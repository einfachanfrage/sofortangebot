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ostenübersicht" sheetId="1" state="visible" r:id="rId3"/>
    <sheet name="Rechnungsjournal" sheetId="2" state="visible" r:id="rId4"/>
    <sheet name="Monatsverlauf" sheetId="3" state="visible" r:id="rId5"/>
    <sheet name="Plan-Deckblatt" sheetId="4" state="visible" r:id="rId6"/>
    <sheet name="Plan-Annahmen" sheetId="5" state="visible" r:id="rId7"/>
    <sheet name="Plan-Kunden" sheetId="6" state="visible" r:id="rId8"/>
    <sheet name="Plan-Kosten" sheetId="7" state="visible" r:id="rId9"/>
    <sheet name="Plan-24M" sheetId="8" state="visible" r:id="rId10"/>
    <sheet name="Plan-Phase B" sheetId="9" state="visible" r:id="rId11"/>
    <sheet name="Legende &amp; offene Punkte" sheetId="10" state="visible" r:id="rId12"/>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5" authorId="0">
      <text>
        <r>
          <rPr>
            <sz val="10"/>
            <rFont val="Arial"/>
            <family val="2"/>
          </rPr>
          <t xml:space="preserve">Freie Zeile für weitere Tools, die Sandy noch ergänzt.</t>
        </r>
      </text>
    </comment>
    <comment ref="A16" authorId="0">
      <text>
        <r>
          <rPr>
            <sz val="10"/>
            <rFont val="Arial"/>
            <family val="2"/>
          </rPr>
          <t xml:space="preserve">Freie Zeile für weitere Tools, die Sandy noch ergänzt.</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22" authorId="0">
      <text>
        <r>
          <rPr>
            <sz val="10"/>
            <rFont val="Arial"/>
            <family val="2"/>
          </rPr>
          <t xml:space="preserve">Ab hier: freie Zeilen für neue Belege. Bitte fortlaufende Beleg-Nr. vergeben (z. B. 2026-018) und nie bestehende Zeilen überschreiben/löschen.</t>
        </r>
      </text>
    </comment>
    <comment ref="N15" authorId="0">
      <text>
        <r>
          <rPr>
            <sz val="10"/>
            <rFont val="Arial"/>
            <family val="2"/>
          </rPr>
          <t xml:space="preserve">Rechnung bündelt mehrere Domains/Positionen unter einer Vertragsnummer — dieser Betrag ist nur der Sofortangebot-Anteil (Brutto), nicht die volle Rechnungssumme. Details in der Notiz-Spalte. Monatsverlauf summiert nach dieser Spalte, nicht nach Brutto-Betrag.</t>
        </r>
      </text>
    </comment>
    <comment ref="N16" authorId="0">
      <text>
        <r>
          <rPr>
            <sz val="10"/>
            <rFont val="Arial"/>
            <family val="2"/>
          </rPr>
          <t xml:space="preserve">Rechnung bündelt mehrere Domains/Positionen unter einer Vertragsnummer — dieser Betrag ist nur der Sofortangebot-Anteil (Brutto), nicht die volle Rechnungssumme. Details in der Notiz-Spalte. Monatsverlauf summiert nach dieser Spalte, nicht nach Brutto-Betrag.</t>
        </r>
      </text>
    </comment>
    <comment ref="P6"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7"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8"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9"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0"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1"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2"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4"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9"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20"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List>
</comments>
</file>

<file path=xl/sharedStrings.xml><?xml version="1.0" encoding="utf-8"?>
<sst xmlns="http://schemas.openxmlformats.org/spreadsheetml/2006/main" count="1364" uniqueCount="815">
  <si>
    <t xml:space="preserve">Sofortangebot — Laufende Geschäftskosten</t>
  </si>
  <si>
    <t xml:space="preserve">Stand: 2026-09-02 · Head of Finance · Bestandsaufnahme CoS-F-001 · Beleg-Details je Rechnung stehen im Blatt 'Rechnungsjournal' · orange = auffällig, bitte klären · grau = noch kein Beleg · Umsatzsteuer-Status aktualisiert 17.09.2026: Regelbesteuerung (Verzicht nach § 19 Abs. 2 UStG), Details in docs/preismodell.md.</t>
  </si>
  <si>
    <t xml:space="preserve">Dienst</t>
  </si>
  <si>
    <t xml:space="preserve">Kategorie</t>
  </si>
  <si>
    <t xml:space="preserve">Währung</t>
  </si>
  <si>
    <t xml:space="preserve">Monatsbetrag (aktuellster Beleg, brutto)</t>
  </si>
  <si>
    <t xml:space="preserve">Abrechnungsrhythmus</t>
  </si>
  <si>
    <t xml:space="preserve">Vertragsstand / Kündigungsfrist</t>
  </si>
  <si>
    <t xml:space="preserve">USt-Behandlung</t>
  </si>
  <si>
    <t xml:space="preserve">Status</t>
  </si>
  <si>
    <t xml:space="preserve">Quelle / Notiz</t>
  </si>
  <si>
    <t xml:space="preserve">Supabase</t>
  </si>
  <si>
    <t xml:space="preserve">Hosting / Datenbank</t>
  </si>
  <si>
    <t xml:space="preserve">USD</t>
  </si>
  <si>
    <t xml:space="preserve">monatlich: Pro Plan $25 Grundgebühr + nutzungsbasierte Zusatzkosten (Compute, Realtime, Egress, Functions, …)</t>
  </si>
  <si>
    <t xml:space="preserve">2 Projekte laut Doku vorgesehen (Staging + Produktion 'yqlledouhfovytifeekd')</t>
  </si>
  <si>
    <t xml:space="preserve">Reverse Charge (§ 13b UStG, Singapur-Anbieter). AKTUALISIERT 17.09.2026: Mit der Regelbesteuerung (Verzicht nach § 19 Abs. 2 UStG, Entscheidung Sandy vom 17.09.2026) ist die Steuer durchlaufend — angemeldet und im selben Zug als Vorsteuer gezogen, Saldo null. Der Monatsbetrag in Spalte D ist damit der volle Kostenwert.</t>
  </si>
  <si>
    <t xml:space="preserve">auffällig — Betrag bestätigt, Trend + Projektanzahl bitte klären</t>
  </si>
  <si>
    <t xml:space="preserve">4 Belege (Journal 2026-003/006/008/016): 23.05. $25,00 / 23.06. $49,97 / 23.07. $54,30 / 23.08. $53,83 — nach dem Anstieg jetzt erstmals leicht rückläufig. Rechnungen zeigten bis Juli 5 Projekt-Referenzen, dokumentiert sind nur 2; im August-Beleg taucht eine davon erstmals nicht mehr auf (jetzt 4). Bitte weiter beobachten/klären, ob alle nötig sind.</t>
  </si>
  <si>
    <t xml:space="preserve">Vercel</t>
  </si>
  <si>
    <t xml:space="preserve">Hosting / Deployment</t>
  </si>
  <si>
    <t xml:space="preserve">monatlich: Pro Plan $20 + 19% USt, seit Juni zusätzlich 'Observability Plus' Position mit $0,00</t>
  </si>
  <si>
    <t xml:space="preserve">Kündigungsfrist unbekannt</t>
  </si>
  <si>
    <t xml:space="preserve">USt. direkt ausgewiesen (EU VAT EU056329113), kein Reverse Charge</t>
  </si>
  <si>
    <t xml:space="preserve">bestätigt</t>
  </si>
  <si>
    <t xml:space="preserve">4 Belege (Journal 2026-002/005/007/015): 22.05., 22.06., 22.07., 22.08. — durchgängig $23,80, stabil. Zahlungsart jetzt bestätigt: Kreditkarte Visa •••3991.</t>
  </si>
  <si>
    <t xml:space="preserve">Anthropic — direkt</t>
  </si>
  <si>
    <t xml:space="preserve">KI / API</t>
  </si>
  <si>
    <t xml:space="preserve">unklar — Beleg trägt 'Prepaid extra usage, Individual plan', evtl. einmaliger Nachkauf statt Fixbetrag</t>
  </si>
  <si>
    <t xml:space="preserve">unbekannt</t>
  </si>
  <si>
    <t xml:space="preserve">USt. direkt ausgewiesen (EU VAT IE4276970QH), kein Reverse Charge</t>
  </si>
  <si>
    <t xml:space="preserve">auffällig — bitte klären ob wiederkehrend</t>
  </si>
  <si>
    <t xml:space="preserve">1 Beleg (Journal 2026-010) vom 17.08.2026 über $45,00 + USt = $53,55, Geschäftsadresse Wielandstraße 11, mit hinterlegter deutscher Steuernummer.</t>
  </si>
  <si>
    <t xml:space="preserve">Claude Pro (Apple/iTunes)</t>
  </si>
  <si>
    <t xml:space="preserve">KI / Software</t>
  </si>
  <si>
    <t xml:space="preserve">EUR</t>
  </si>
  <si>
    <t xml:space="preserve">monatlich, automatische Verlängerung, Zahlung per PayPal</t>
  </si>
  <si>
    <t xml:space="preserve">monatlich kündbar (Apple-Abo)</t>
  </si>
  <si>
    <t xml:space="preserve">USt. direkt von Apple ausgewiesen, kein Reverse Charge</t>
  </si>
  <si>
    <t xml:space="preserve">auffällig — geschäftlich/privat + fehlende Monate klären</t>
  </si>
  <si>
    <t xml:space="preserve">2 Belege (Journal 2026-001/009): 04.05. und 03.08., je 22,00 € — Juni/Juli-Belege fehlen noch. Separates Abo zur direkten Anthropic-Rechnung, andere Rechnungsadresse (Krampasplatz 4b). Bitte klären: zweite geschäftliche Claude-Lizenz oder privates Abo?</t>
  </si>
  <si>
    <t xml:space="preserve">OpenAI</t>
  </si>
  <si>
    <t xml:space="preserve">nutzungsbasiert, Beleg zeigt eine Guthaben-Aufladung ('usage credit'), kein fester Monatsbetrag erkennbar</t>
  </si>
  <si>
    <t xml:space="preserve">USt. direkt ausgewiesen (EU OSS VAT EU372041333), kein Reverse Charge</t>
  </si>
  <si>
    <t xml:space="preserve">1 Beleg (Journal 2026-004) vom 14.06.2026 über $15,00 + USt = $17,85. Rechnungsempfänger 'Hugo' / runningwithhugo@outlook.de — ist Sandys eigener Account, Name/E-Mail-Alias lässt sich bei OpenAI nachträglich nicht mehr ändern (geklärt 19.08.2026).</t>
  </si>
  <si>
    <t xml:space="preserve">Resend</t>
  </si>
  <si>
    <t xml:space="preserve">E-Mail</t>
  </si>
  <si>
    <t xml:space="preserve">?</t>
  </si>
  <si>
    <t xml:space="preserve">kein Beleg gefunden</t>
  </si>
  <si>
    <t xml:space="preserve">Im Code bestätigt (Paket 'resend', RESEND_API_KEY), aber noch keine Rechnung im Belege-Ordner.</t>
  </si>
  <si>
    <t xml:space="preserve">Domain sofortangebot.app</t>
  </si>
  <si>
    <t xml:space="preserve">Domain</t>
  </si>
  <si>
    <t xml:space="preserve">'IONOS Mail Basic 5' (Postfach) laufend 2,50 €/Monat. Domain .app + 'Domain Guard' (Privatsphärenschutz) jährlich, zusammen 13,00 € brutto — nächste Fälligkeit ~06/2027.</t>
  </si>
  <si>
    <t xml:space="preserve">Vertragsnummer 111811442 bei IONOS SE — Achtung: bündelt auf denselben Rechnungen auch mehrere fremde Domains, siehe Journal</t>
  </si>
  <si>
    <t xml:space="preserve">USt. direkt von IONOS ausgewiesen (USt-IdNr. DE815563912), kein Reverse Charge</t>
  </si>
  <si>
    <t xml:space="preserve">5 Belege (Journal 2026-011 bis 2026-015/017 — Rechnungsnummern siehe dort) unter einer gebündelten IONOS-Rechnung. Domain sofortangebot.app wurde 08.06.2026 registriert. Sandy hat am 02.09.2026 bestätigt, dass 'Domain Guard' und 'IONOS Mail Basic 5' ebenfalls zu sofortangebot.app gehören. Fremde Domains ('einfach-anfrage.com', 'einfachanfrage-hochzeitsfotografie.de' u. a.) laufen über denselben IONOS-Vertrag, aber NICHT mitgezählt.</t>
  </si>
  <si>
    <t xml:space="preserve">Sentry</t>
  </si>
  <si>
    <t xml:space="preserve">Monitoring / Error-Tracking</t>
  </si>
  <si>
    <t xml:space="preserve">Im Code gefunden ('@sentry/nextjs'), nicht in Sandys Ausgangsliste, noch keine Rechnung im Ordner.</t>
  </si>
  <si>
    <t xml:space="preserve">Stripe</t>
  </si>
  <si>
    <t xml:space="preserve">Zahlungsabwicklung</t>
  </si>
  <si>
    <t xml:space="preserve">transaktionsbasiert (keine feste Monatsgebühr erwartet)</t>
  </si>
  <si>
    <t xml:space="preserve">kein Beleg erwartet</t>
  </si>
  <si>
    <t xml:space="preserve">Im Code bestätigt ('stripe' Paket). Gebühren pro Transaktion statt Fixkosten — relevant erst mit Umsatz-Tracking in Phase 2.</t>
  </si>
  <si>
    <t xml:space="preserve">GitHub Actions (Backup-Artefakte)</t>
  </si>
  <si>
    <t xml:space="preserve">CI / Infra</t>
  </si>
  <si>
    <t xml:space="preserve">nutzungsbasiert (Speicher/Minuten)</t>
  </si>
  <si>
    <t xml:space="preserve">abhängig vom GitHub-Plan</t>
  </si>
  <si>
    <t xml:space="preserve">zu prüfen</t>
  </si>
  <si>
    <t xml:space="preserve">Tägliches DB-Backup speichert Artefakte 30/90/365 Tage. Kann bei privatem Repo über das Freikontingent hinaus Kosten verursachen — noch kein Beleg.</t>
  </si>
  <si>
    <t xml:space="preserve">DIN Media — VOB Gesamtausgabe 2019 (E-Book)</t>
  </si>
  <si>
    <t xml:space="preserve">Fachliteratur — einmalig</t>
  </si>
  <si>
    <t xml:space="preserve">EUR einmalig</t>
  </si>
  <si>
    <t xml:space="preserve">einmalig, 54,00 € brutto am 04.09.2026 (Beleg 2026-018)</t>
  </si>
  <si>
    <t xml:space="preserve">kein Vertrag, Einmalkauf</t>
  </si>
  <si>
    <t xml:space="preserve">USt. 7 % ermaessigt (E-Book), von DIN Media ausgewiesen</t>
  </si>
  <si>
    <t xml:space="preserve">bestätigt — kein laufender Posten, steht deshalb ohne Monatsbetrag und faellt nicht in die Monatssummen</t>
  </si>
  <si>
    <t xml:space="preserve">Summe USD-Positionen (siehe Status-Spalte für Vorbehalte)</t>
  </si>
  <si>
    <t xml:space="preserve">Summe EUR-Positionen (siehe Status-Spalte für Vorbehalte)</t>
  </si>
  <si>
    <t xml:space="preserve">Summe gesamt in EUR (USD-Positionen zum BMF-Kurs August 2026)</t>
  </si>
  <si>
    <t xml:space="preserve">Hinweis: USD- und EUR-Positionen werden weiterhin getrennt summiert, weil die Belege in unterschiedlichen Währungen vorliegen. Die Gesamtsumme in EUR rechnet die USD-Positionen mit dem amtlichen BMF-Umsatzsteuer-Umrechnungskurs des jeweils letzten Monats um (§ 16 Abs. 6 UStG) — die Kurse stehen im Blatt 'Rechnungsjournal' unter der Journaltabelle. Beleg-Details je Rechnung (Rechnungsnummer, Netto/USt/Brutto, Beleg-Datei) stehen ebenfalls im Blatt 'Rechnungsjournal'.</t>
  </si>
  <si>
    <t xml:space="preserve">Rechnungsjournal — Belege im Detail (für Buchhaltung / Steuerberater)</t>
  </si>
  <si>
    <t xml:space="preserve">Ein Beleg = eine Zeile, chronologisch. Enthält alles, was ein Steuerberater für die Verbuchung braucht: Rechnungsnummer, Leistungszeitraum, Netto/USt/Brutto, steuerliche Einordnung (Reverse Charge ja/nein), Zahlungsart und die Original-Beleg-Datei im Rechnungen-Ordner. Bitte Zeilen hier nie überschreiben, nur neue anhängen (Nachvollziehbarkeit).</t>
  </si>
  <si>
    <t xml:space="preserve">Beleg-Nr.</t>
  </si>
  <si>
    <t xml:space="preserve">Rechnungsdatum</t>
  </si>
  <si>
    <t xml:space="preserve">Rechnungsnr. (Anbieter)</t>
  </si>
  <si>
    <t xml:space="preserve">Leistungszeitraum</t>
  </si>
  <si>
    <t xml:space="preserve">Anbieter</t>
  </si>
  <si>
    <t xml:space="preserve">Anbieter-Land</t>
  </si>
  <si>
    <t xml:space="preserve">Rechnungsempfänger lt. Beleg</t>
  </si>
  <si>
    <t xml:space="preserve">Netto-Betrag</t>
  </si>
  <si>
    <t xml:space="preserve">USt-Satz</t>
  </si>
  <si>
    <t xml:space="preserve">USt-Betrag</t>
  </si>
  <si>
    <t xml:space="preserve">Brutto-Betrag</t>
  </si>
  <si>
    <t xml:space="preserve">Sofortangebot-Anteil (Brutto)</t>
  </si>
  <si>
    <t xml:space="preserve">Steuerliche Einordnung</t>
  </si>
  <si>
    <t xml:space="preserve">Betrag EUR (Brutto, ca.)</t>
  </si>
  <si>
    <t xml:space="preserve">Zahlungsart</t>
  </si>
  <si>
    <t xml:space="preserve">Beleg-Datei (Ordner 'Rechnungen')</t>
  </si>
  <si>
    <t xml:space="preserve">Auffälligkeit / Notiz</t>
  </si>
  <si>
    <t xml:space="preserve">Vorsteuer EUR (erst ab Regelbesteuerung, F-006 = B)</t>
  </si>
  <si>
    <t xml:space="preserve">2026-001</t>
  </si>
  <si>
    <t xml:space="preserve">MVS2VFHBYG / Dok. 846129332588</t>
  </si>
  <si>
    <t xml:space="preserve">04.05.–03.06.2026 (Abo-Monat)</t>
  </si>
  <si>
    <t xml:space="preserve">Apple Distribution International Ltd. (Vertrieb für Claude Pro)</t>
  </si>
  <si>
    <t xml:space="preserve">Irland</t>
  </si>
  <si>
    <t xml:space="preserve">Sandra Holm, Krampasplatz 4b, 14199 Berlin</t>
  </si>
  <si>
    <t xml:space="preserve">USt. (19%) direkt von Apple ausgewiesen, kein Reverse Charge.</t>
  </si>
  <si>
    <t xml:space="preserve">PayPal</t>
  </si>
  <si>
    <t xml:space="preserve">Deine Rechnung von Apple.eml</t>
  </si>
  <si>
    <t xml:space="preserve">Abo verlängert sich automatisch monatlich. Rechnungsadresse weicht von den übrigen Belegen ab (Krampasplatz 4b statt Wielandstraße 11) — bitte klären, welche Adresse aktuell/richtig ist.</t>
  </si>
  <si>
    <t xml:space="preserve">2026-002</t>
  </si>
  <si>
    <t xml:space="preserve">TT0BDQ8S-0001</t>
  </si>
  <si>
    <t xml:space="preserve">22.05.–21.06.2026</t>
  </si>
  <si>
    <t xml:space="preserve">Vercel Inc.</t>
  </si>
  <si>
    <t xml:space="preserve">USA</t>
  </si>
  <si>
    <t xml:space="preserve">einfachanfrage's projects, Wielandstraße 11, 12159 Berlin (einfachanfrage@outlook.com)</t>
  </si>
  <si>
    <t xml:space="preserve">USt. (19%) direkt von Vercel ausgewiesen (EU VAT EU056329113), kein Reverse Charge.</t>
  </si>
  <si>
    <t xml:space="preserve">Kreditkarte Visa •••3991</t>
  </si>
  <si>
    <t xml:space="preserve">Invoice-TT0BDQ8S-0001.pdf / Receipt-2392-5328.pdf</t>
  </si>
  <si>
    <t xml:space="preserve">Zahlungsart nachträglich ergänzt (Update 2026-09-02) anhand Zahlungsbeleg Receipt-2392-5328.pdf.</t>
  </si>
  <si>
    <t xml:space="preserve">2026-003</t>
  </si>
  <si>
    <t xml:space="preserve">MVGOOM-00003</t>
  </si>
  <si>
    <t xml:space="preserve">23.05.–22.06.2026</t>
  </si>
  <si>
    <t xml:space="preserve">Supabase Pte. Ltd.</t>
  </si>
  <si>
    <t xml:space="preserve">Singapur</t>
  </si>
  <si>
    <t xml:space="preserve">Sandra Holm, Wielandstraße 11, Berlin (einfachanfrage@outlook.com)</t>
  </si>
  <si>
    <t xml:space="preserve">Reverse Charge</t>
  </si>
  <si>
    <t xml:space="preserve">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</si>
  <si>
    <t xml:space="preserve">Invoice-MVGOOM-00003.pdf</t>
  </si>
  <si>
    <t xml:space="preserve">Nur Pro-Plan-Grundgebühr, keine Nutzungsgebühren in diesem Monat.</t>
  </si>
  <si>
    <t xml:space="preserve">0,00 (durchlaufend)</t>
  </si>
  <si>
    <t xml:space="preserve">2026-004</t>
  </si>
  <si>
    <t xml:space="preserve">YL9K6L19-0001</t>
  </si>
  <si>
    <t xml:space="preserve">—</t>
  </si>
  <si>
    <t xml:space="preserve">OpenAI OpCo, LLC</t>
  </si>
  <si>
    <t xml:space="preserve">Hugo, Wielandstraße 11, 12159 Berlin (runningwithhugo@outlook.de)</t>
  </si>
  <si>
    <t xml:space="preserve">USt. (19%) direkt von OpenAI ausgewiesen (EU OSS VAT EU372041333), kein Reverse Charge.</t>
  </si>
  <si>
    <t xml:space="preserve">Invoice-YL9K6L19-0001.pdf</t>
  </si>
  <si>
    <t xml:space="preserve">Geklärt (19.08.2026): Konto gehört Sandy, 'Hugo' ist ein historischer Nutzername/E-Mail-Alias bei OpenAI, der sich im Nachhinein nicht mehr auf 'Sandra Holm' ändern lässt. Kein falscher Account — nur zur Info für den Steuerberater vermerkt, falls Name/E-Mail auf dem Beleg auffallen.</t>
  </si>
  <si>
    <t xml:space="preserve">2026-005</t>
  </si>
  <si>
    <t xml:space="preserve">TT0BDQ8S-0003</t>
  </si>
  <si>
    <t xml:space="preserve">22.06.–21.07.2026</t>
  </si>
  <si>
    <t xml:space="preserve">Invoice-TT0BDQ8S-0003.pdf / Receipt-2268-5813.pdf</t>
  </si>
  <si>
    <t xml:space="preserve">Zusätzliche Position 'Observability Plus' mit $0,00 seit diesem Monat. Zahlungsart nachträglich ergänzt (Update 2026-09-02) anhand Zahlungsbeleg Receipt-2268-5813.pdf.</t>
  </si>
  <si>
    <t xml:space="preserve">2026-006</t>
  </si>
  <si>
    <t xml:space="preserve">MVGOOM-00005</t>
  </si>
  <si>
    <t xml:space="preserve">23.05.–22.06.2026 (Nutzung) + 23.06.–22.07.2026 (Pro Plan)</t>
  </si>
  <si>
    <t xml:space="preserve">Invoice-MVGOOM-00005.pdf / Receipt-MVGOOM-00005.pdf</t>
  </si>
  <si>
    <t xml:space="preserve">Erstmals nennenswerte Nutzungsgebühren (Compute Hours) zusätzlich zur Pro-Plan-Grundgebühr. Zahlungsbeleg (Receipt-MVGOOM-00005.pdf) nachträglich ergänzt (Update 2026-09-02), keine neue Zeile — identischer Betrag/Zeitraum wie diese Rechnung.</t>
  </si>
  <si>
    <t xml:space="preserve">2026-007</t>
  </si>
  <si>
    <t xml:space="preserve">TT0BDQ8S-0004</t>
  </si>
  <si>
    <t xml:space="preserve">22.07.–21.08.2026</t>
  </si>
  <si>
    <t xml:space="preserve">Invoice-TT0BDQ8S-0004.pdf / Receipt-2842-3830.pdf</t>
  </si>
  <si>
    <t xml:space="preserve">Zahlungsart nachträglich ergänzt (Update 2026-09-02) anhand Zahlungsbeleg Receipt-2842-3830.pdf.</t>
  </si>
  <si>
    <t xml:space="preserve">2026-008</t>
  </si>
  <si>
    <t xml:space="preserve">MVGOOM-00006</t>
  </si>
  <si>
    <t xml:space="preserve">23.06.–22.07.2026 (Nutzung) + 23.07.–22.08.2026 (Pro Plan)</t>
  </si>
  <si>
    <t xml:space="preserve">Invoice-MVGOOM-00006.pdf / Receipt-MVGOOM-00006.pdf</t>
  </si>
  <si>
    <t xml:space="preserve">Nutzungsgebühren weiter gestiegen, neu: 'Realtime Peak Connections' $10,00. Rechnung listet 5 verschiedene Projekt-Referenzen, dokumentiert sind nur 2 (Staging + Produktion). Zahlungsbeleg (Receipt-MVGOOM-00006.pdf) nachträglich ergänzt (Update 2026-09-02), keine neue Zeile.</t>
  </si>
  <si>
    <t xml:space="preserve">2026-009</t>
  </si>
  <si>
    <t xml:space="preserve">MVS3312KT5 / Dok. 674170779929</t>
  </si>
  <si>
    <t xml:space="preserve">03.08.–02.09.2026 (Abo-Monat)</t>
  </si>
  <si>
    <t xml:space="preserve">Deine Käufe bei Apple.eml</t>
  </si>
  <si>
    <t xml:space="preserve">Belege für die Juni- und Juli-Abbuchung dieses Abos fehlen noch (vermutlich auch je ~22 €) — bitte in Apple-Kaufhistorie/Postfach nachsehen und ergänzen.</t>
  </si>
  <si>
    <t xml:space="preserve">2026-010</t>
  </si>
  <si>
    <t xml:space="preserve">CBBICKXQ-0001</t>
  </si>
  <si>
    <t xml:space="preserve">Anthropic, PBC</t>
  </si>
  <si>
    <t xml:space="preserve">Sandra Holm, Wielandstraße 11, 12159 Berlin, DE STN 89365407818</t>
  </si>
  <si>
    <t xml:space="preserve">USt. (19%) direkt von Anthropic ausgewiesen (EU VAT IE4276970QH), kein Reverse Charge.</t>
  </si>
  <si>
    <t xml:space="preserve">unbekannt (Online-Zahlung)</t>
  </si>
  <si>
    <t xml:space="preserve">Invoice-CBBICKXQ-0001.pdf</t>
  </si>
  <si>
    <t xml:space="preserve">Rechnung nennt eine deutsche Steuernummer (DE STN 89365407818) — da laut Sandy noch kein Gewerbe angemeldet ist (Stand 19.08.2026), vermutlich Sandys private Steuer-ID, nicht zwingend eine Geschäfts-Steuernummer. Position heißt 'Prepaid extra usage, Individual plan' — bitte klären: wiederkehrender Posten oder einmaliger Nachkauf von Nutzungsvolumen?</t>
  </si>
  <si>
    <t xml:space="preserve">2026-011</t>
  </si>
  <si>
    <t xml:space="preserve">100185593347</t>
  </si>
  <si>
    <t xml:space="preserve">Abrechnung 26.04.2026 (Vertragszeitraum Domain: 25.04.2026–24.04.2027)</t>
  </si>
  <si>
    <t xml:space="preserve">IONOS SE</t>
  </si>
  <si>
    <t xml:space="preserve">Deutschland</t>
  </si>
  <si>
    <t xml:space="preserve">Sandra Holm, Wielandstr. 11, 12159 Berlin</t>
  </si>
  <si>
    <t xml:space="preserve">USt. (19%) direkt von IONOS ausgewiesen (deutscher Anbieter, USt-IdNr. DE815563912), kein Reverse Charge.</t>
  </si>
  <si>
    <t xml:space="preserve">IONOS Rechnung 2026-04-26 - RG_100185593347.pdf</t>
  </si>
  <si>
    <t xml:space="preserve">Rechnung betrifft ausschließlich die Domain 'einfach-anfrage.com' (Position 1) — das ist NICHT sofortangebot.app, sondern offensichtlich ein anderes/älteres Projekt. Deshalb Sofortangebot-Anteil = 0,00 €. Alle 5 IONOS-Rechnungen (April–August 2026) laufen unter derselben Vertragsnummer 111811442, die mehrere Domains bündelt — bitte im Blick behalten, dass hier nicht versehentlich fremde Projektkosten mitgezählt werden. Neu entdeckt und nachgetragen: Update 2026-09-02.</t>
  </si>
  <si>
    <t xml:space="preserve">2026-012</t>
  </si>
  <si>
    <t xml:space="preserve">100187536255</t>
  </si>
  <si>
    <t xml:space="preserve">Abrechnung 26.05.2026 (Vertragszeiträume: 11.05.2026–10.05.2027 bzw. 22.05.2026–21.05.2027)</t>
  </si>
  <si>
    <t xml:space="preserve">IONOS Rechnung 2026-05-26 - RG_100187536255.pdf</t>
  </si>
  <si>
    <t xml:space="preserve">Rechnung betrifft drei fremde Domains ('einfachanfrage.com', 'einfachanfrage-hochzeitsfotografie.de', 'einfachanfrage-tattoo.de') plus deren Registrierungsgebühren — keine davon ist sofortangebot.app. Deshalb Sofortangebot-Anteil = 0,00 €. Neu entdeckt und nachgetragen: Update 2026-09-02.</t>
  </si>
  <si>
    <t xml:space="preserve">2026-013</t>
  </si>
  <si>
    <t xml:space="preserve">100189466040</t>
  </si>
  <si>
    <t xml:space="preserve">Abrechnung 26.06.2026 (Domain .app + Domain Guard: 08.06.2026–07.06.2027; IONOS Mail Basic 5: 08.06.–07.07.2026)</t>
  </si>
  <si>
    <t xml:space="preserve">USt. (19%) direkt von IONOS ausgewiesen, kein Reverse Charge. Hinweis für Steuerberater: Die Spalte 'Betrag (EUR)' auf IONOS-Rechnungen zeigt Brutto-Positionsbeträge, obwohl daneben eine MwSt.-Spalte steht — Netto/USt werden nur für die Rechnungssumme insgesamt ausgewiesen, nicht je Zeile. Der Sofortangebot-Anteil (Brutto) wurde deshalb direkt aus den Positionsbeträgen gebildet.</t>
  </si>
  <si>
    <t xml:space="preserve">IONOS Rechnung 2026-06-26 - RG_100189466040.pdf</t>
  </si>
  <si>
    <t xml:space="preserve">Erste Rechnung mit sofortangebot.app: Domain .app registriert 08.06.2026 (12,00 € brutto). Sandy hat am 02.09.2026 bestätigt, dass 'Domain Guard' (1,00 € brutto, Privatsphärenschutz) UND 'IONOS Mail Basic 5' (2,50 €/Monat, ab 08.06.2026) ebenfalls zu sofortangebot.app gehören — damit ist die komplette Rechnung (15,50 €) dem Sofortangebot-Anteil zugeordnet. Alle 5 IONOS-Rechnungen laufen unter Vertragsnummer 111811442, die mehrere fremde Domains bündelt (siehe 2026-011/012), die weiterhin ausgeschlossen bleiben. Neu entdeckt: Update 2026-09-02, Zuordnung bestätigt 2026-09-02.</t>
  </si>
  <si>
    <t xml:space="preserve">2026-014</t>
  </si>
  <si>
    <t xml:space="preserve">100191208015</t>
  </si>
  <si>
    <t xml:space="preserve">08.07.–07.08.2026 (IONOS Mail Basic 5)</t>
  </si>
  <si>
    <t xml:space="preserve">USt. (19%) direkt von IONOS ausgewiesen, kein Reverse Charge.</t>
  </si>
  <si>
    <t xml:space="preserve">IONOS Rechnung 2026-07-26 - RG_100191208015.pdf</t>
  </si>
  <si>
    <t xml:space="preserve">Nur Position 'IONOS Mail Basic 5' (2,50 €) — dasselbe Postfach wie in 2026-013. Sandy hat am 02.09.2026 bestätigt, dass es zu sofortangebot.app gehört. Neu entdeckt: Update 2026-09-02, Zuordnung bestätigt 2026-09-02.</t>
  </si>
  <si>
    <t xml:space="preserve">2026-015</t>
  </si>
  <si>
    <t xml:space="preserve">TT0BDQ8S-0005</t>
  </si>
  <si>
    <t xml:space="preserve">22.08.–21.09.2026</t>
  </si>
  <si>
    <t xml:space="preserve">Invoice-TT0BDQ8S-0005.pdf / Receipt-2017-0960.pdf</t>
  </si>
  <si>
    <t xml:space="preserve">Weiterhin 'Observability Plus' Position mit $0,00. Zahlungsart über Zahlungsbeleg bestätigt: Visa-Karte endet auf 3991 (gilt rückwirkend auch für 2026-002/005/007, dort ergänzt).</t>
  </si>
  <si>
    <t xml:space="preserve">2026-016</t>
  </si>
  <si>
    <t xml:space="preserve">MVGOOM-00007</t>
  </si>
  <si>
    <t xml:space="preserve">23.07.–22.08.2026 (Nutzung) + 23.08.–22.09.2026 (Pro Plan)</t>
  </si>
  <si>
    <t xml:space="preserve">Invoice-MVGOOM-00007.pdf / Receipt-MVGOOM-00007.pdf</t>
  </si>
  <si>
    <t xml:space="preserve">Nutzungsgebühren leicht gesunken ggü. Juli ($54,30 → $53,83). Positiv aufgefallen: nur noch 4 Projekt-Referenzen in den Positionen sichtbar (bkldyddstovvkkhpiqiy, ezgyklsigzaowrrpqtpv, qsdbnckgzllyypmkmzhc, yqlledouhfovytifeekd) — die fünfte aus den Vormonaten ('ytvysmwepajatcdhkgup') taucht hier nicht mehr auf. Könnte bedeuten, dass ein ungenutztes Projekt zwischenzeitlich entfernt wurde (siehe offener Punkt '5 vs. 2 dokumentierte Projekte').</t>
  </si>
  <si>
    <t xml:space="preserve">2026-017</t>
  </si>
  <si>
    <t xml:space="preserve">100192688572</t>
  </si>
  <si>
    <t xml:space="preserve">08.08.–07.09.2026 (IONOS Mail Basic 5)</t>
  </si>
  <si>
    <t xml:space="preserve">IONOS Rechnung 2026-08-26 - RG_100192688572.pdf</t>
  </si>
  <si>
    <t xml:space="preserve">Wie Juli: nur 'IONOS Mail Basic 5' (2,50 €). Sandy hat am 02.09.2026 bestätigt, dass es zu sofortangebot.app gehört (siehe 2026-013/014).</t>
  </si>
  <si>
    <t xml:space="preserve">2026-018</t>
  </si>
  <si>
    <t xml:space="preserve">B6818653</t>
  </si>
  <si>
    <t xml:space="preserve">Leistung/Lieferung 04.09.2026 (Download), Bestellung 02.09.2026</t>
  </si>
  <si>
    <t xml:space="preserve">DIN Media GmbH</t>
  </si>
  <si>
    <t xml:space="preserve">Fachliteratur — VOB Gesamtausgabe 2019, Teil A/B/C (E-Book)</t>
  </si>
  <si>
    <t xml:space="preserve">USt. (7 % ermaessigt, § 12 Abs. 2 Nr. 14 UStG — E-Book) direkt von DIN Media ausgewiesen, USt-IdNr. DE811236989. Inlandsrechnung, kein Reverse Charge.</t>
  </si>
  <si>
    <t xml:space="preserve">Vorkasse, bezahlt 03.09.2026 (Auftrag 11964539), Rechnung weist 54,00 EUR als bereits gezahlt aus</t>
  </si>
  <si>
    <t xml:space="preserve">406270316_ZUGFeRD.pdf</t>
  </si>
  <si>
    <t xml:space="preserve">ERSTE ECHTE E-RECHNUNG IM EINGANG. ZUGFeRD/Factur-X, Profil EXTENDED, EN-16931-konform, TestIndicator=false; strukturierter Teil factur-x.xml im PDF/A-3 eingebettet. 11-Punkte-Pruefung nach § 14 UStG vollstaendig bestanden, Sicht- und XML-Teil stimmen ueberein. Einmalige Anschaffung — bewusst NICHT im Blatt Kostenuebersicht/Monatsverlauf, die nur laufende Kosten fuehren. Bestellt ueber die Privatadresse sk-holm@hotmail.de, kuenftig rechnung@sofortangebot.app verwenden.</t>
  </si>
  <si>
    <t xml:space="preserve">Summe erfasste Vorsteuer 2026 (Reverse Charge steht mit 0, weil durchlaufend) →</t>
  </si>
  <si>
    <t xml:space="preserve">davon noch OFFEN — aus zwei verschiedenen Gruenden (Belege 2026-001, -009, -012) →</t>
  </si>
  <si>
    <t xml:space="preserve">unstrittig abziehbar →</t>
  </si>
  <si>
    <t xml:space="preserve">KORREKTUR 17.09.2026 (Head of Finance), nach einem berechtigten Einwand von Sandy: Die erste Fassung dieser Zeilen hat 14,76 EUR als strittig gefuehrt und dabei die KLEINBETRAGSREGELUNG uebersehen. Nach § 33 UStDV braucht eine Rechnung bis 250 EUR brutto WEDER Namen NOCH Anschrift des Leistungsempfaengers — nur Lieferant, Datum, Leistung, Bruttobetrag und Steuersatz. Damit ist Beleg 2026-004 (OpenAI, "Hugo", 15,50 EUR brutto) vollstaendig abzugsfaehig, und bei den Apple-Belegen ist die abweichende Anschrift ebenfalls unschaedlich. Fast alle Belege dieses Betriebs liegen unter 250 EUR. ES BLEIBEN ZWEI ECHTE PUNKTE, beide KEINE Formfehler: (1) 2026-001 und 2026-009, Claude Pro ueber Apple, zusammen 7,02 EUR — offen ist die BETRIEBLICHE VERANLASSUNG (geschaeftlich oder privat genutzt), seit 02.09. vermerkt. (2) 2026-012, IONOS, 5,27 EUR — die Rechnung betrifft drei fremde Domains, Sofortangebot-Anteil 0,00 EUR, also insoweit keine betriebliche Veranlassung. Ausnahme von § 33 UStDV, die hier nicht greift: bei Reverse-Charge-Umsaetzen (§ 13b) gilt die Erleichterung NICHT — die Supabase-Belege brauchen weiter volle Angaben.</t>
  </si>
  <si>
    <t xml:space="preserve">Umrechnung USD → EUR — BMF-Umsatzsteuer-Umrechnungskurse (§ 16 Abs. 6 UStG)</t>
  </si>
  <si>
    <t xml:space="preserve">Monat 2026</t>
  </si>
  <si>
    <t xml:space="preserve">Kurs (USD je 1 EUR)</t>
  </si>
  <si>
    <t xml:space="preserve">Mai</t>
  </si>
  <si>
    <t xml:space="preserve">Juni</t>
  </si>
  <si>
    <t xml:space="preserve">Juli</t>
  </si>
  <si>
    <t xml:space="preserve">August</t>
  </si>
  <si>
    <t xml:space="preserve">Maßgeblich ist der Monat des Rechnungsdatums (bei Supabase zugleich der Monat, in dem die Dauerleistung endet und die Steuer nach § 13b UStG entsteht). Quelle: BMF-Schreiben vom 01.09.2026, Gz. III C 3 - S 7329/00014/008/112, monatlich fortgeschriebene Übersicht 2026. Neuen Monat hier ergänzen — Spalte P rechnet dann von selbst. Für EUR-Belege verweist Spalte P unverändert auf den Bruttobetrag.</t>
  </si>
  <si>
    <t xml:space="preserve">Monatsverlauf laufende Kosten</t>
  </si>
  <si>
    <t xml:space="preserve">Werte werden per Formel aus dem 'Rechnungsjournal' gezogen (nach Rechnungsmonat, Dienst und Währung) — beim Ergänzen neuer Belege im Journal aktualisiert sich diese Ansicht automatisch. Leere Zelle = noch kein Beleg für diesen Monat gefunden.</t>
  </si>
  <si>
    <t xml:space="preserve">Mai 2026</t>
  </si>
  <si>
    <t xml:space="preserve">Jun 2026</t>
  </si>
  <si>
    <t xml:space="preserve">Jul 2026</t>
  </si>
  <si>
    <t xml:space="preserve">Aug 2026</t>
  </si>
  <si>
    <t xml:space="preserve">Sep 2026</t>
  </si>
  <si>
    <t xml:space="preserve">Okt 2026</t>
  </si>
  <si>
    <t xml:space="preserve">Nov 2026</t>
  </si>
  <si>
    <t xml:space="preserve">Dez 2026</t>
  </si>
  <si>
    <t xml:space="preserve">Gesamt (Zeitraum)</t>
  </si>
  <si>
    <t xml:space="preserve">Monatssumme USD</t>
  </si>
  <si>
    <t xml:space="preserve">Monatssumme EUR</t>
  </si>
  <si>
    <t xml:space="preserve">Finanzplan Sofortangebot — Deckblatt (Fassung 2, 03.09.2026)</t>
  </si>
  <si>
    <t xml:space="preserve">Die Zahlen, die Sandy braucht, je Szenario. Alles Weitere ist Beleg: 'Plan-Annahmen' (alle Eingaben, gelb) · 'Plan-Kunden' (Kanalmodell und Zeitbudget) · 'Plan-Kosten' (Vollständigkeits-Katalog A–H) · 'Plan-24M' (Monatsraster) · 'Plan-Phase B' (Ausstiegsstufen). Diese Fassung rechnet mit der Rechtsform-Entscheidung vom Abend des 03.09.2026: Einzelunternehmen ab Oktober 2026, UG erst bei rund 20 zahlenden Betrieben. Die erste Fassung (UG ab Monat 1) ist ersetzt — der Vergleich steht unten, die Begründung in docs/chief-of-staff-finance-todos.md.</t>
  </si>
  <si>
    <t xml:space="preserve">Was der Plan jetzt kostet statt vorher: 15 € Gründung statt rund 1.700 € (Notar, Handelsregister, Stammkapital) und 800 €/Jahr Buchhaltung statt 3.000 €/Jahr — solange Sandy Einzelunternehmerin ist. Gewerbesteuer und IHK-Beitrag fallen im ganzen Horizont weg (Freibetrag § 11 GewStG, Gründerbefreiung § 3 Abs. 3 IHKG). — Nachtrag 17.09.2026: Mit der Regelbesteuerung sinken die laufenden Kosten um rund 17 €/Monat (Vorsteuer auf Lexware, Vercel, Anthropic, Claude Pro, IONOS). Das verschiebt den Break-even im realistischen Szenario NICHT (weiter Monat 11), verbessert aber den Tiefpunkt der Liquiditaet um rund 300 € und im vorsichtigen Szenario den ersten profitablen Monat von 23 auf 21.</t>
  </si>
  <si>
    <t xml:space="preserve">Szenario</t>
  </si>
  <si>
    <t xml:space="preserve">Vorsichtig</t>
  </si>
  <si>
    <t xml:space="preserve">Realistisch</t>
  </si>
  <si>
    <t xml:space="preserve">Optimistisch</t>
  </si>
  <si>
    <t xml:space="preserve">Neukunden aus dem Kanalplan (Σ 24 Monate, Marketing)</t>
  </si>
  <si>
    <t xml:space="preserve">davon zusätzlich durch Mundpropaganda</t>
  </si>
  <si>
    <t xml:space="preserve">Abwanderung Standardkunden pro Monat (Annahme)</t>
  </si>
  <si>
    <t xml:space="preserve">Zahlende Betriebe am Ende (Monat 24)</t>
  </si>
  <si>
    <t xml:space="preserve">1) Wann trägt es sich?</t>
  </si>
  <si>
    <t xml:space="preserve">Erster Monat mit positivem Monatsergebnis — NEUE Fassung</t>
  </si>
  <si>
    <t xml:space="preserve">… alte Fassung (UG ab Monat 1)</t>
  </si>
  <si>
    <t xml:space="preserve">&gt; 24 Monate</t>
  </si>
  <si>
    <t xml:space="preserve">… Kalendermonat</t>
  </si>
  <si>
    <t xml:space="preserve">… zahlende Betriebe in diesem Monat</t>
  </si>
  <si>
    <t xml:space="preserve">Umsatz Monat 24 (netto)</t>
  </si>
  <si>
    <t xml:space="preserve">Umsatz Jahr 1 (Sep 26 – Aug 27)</t>
  </si>
  <si>
    <t xml:space="preserve">Umsatz Jahr 2 (Sep 27 – Aug 28)</t>
  </si>
  <si>
    <t xml:space="preserve">2) Wie viel muss Sandy vorstrecken? (mit Vorher/Nachher)</t>
  </si>
  <si>
    <t xml:space="preserve">Tiefpunkt der Liquidität — NEUE Fassung (Einzelunternehmen)</t>
  </si>
  <si>
    <t xml:space="preserve">Tiefpunkt der Liquidität — alte Fassung (UG ab Monat 1)</t>
  </si>
  <si>
    <t xml:space="preserve">Ersparnis gegenüber der alten Fassung</t>
  </si>
  <si>
    <t xml:space="preserve">… davon Reserven, die Vermögen bleiben</t>
  </si>
  <si>
    <t xml:space="preserve">… Monat des Tiefpunkts</t>
  </si>
  <si>
    <t xml:space="preserve">Erster Monat mit dauerhaft positiver Liquidität</t>
  </si>
  <si>
    <t xml:space="preserve">Kumuliertes Ergebnis nach Steuerrücklage, Monat 24</t>
  </si>
  <si>
    <t xml:space="preserve">3) Wann wird aus dem Einzelunternehmen eine UG?</t>
  </si>
  <si>
    <t xml:space="preserve">UG-Monat (erste 20 aktive Betriebe)</t>
  </si>
  <si>
    <t xml:space="preserve">… Notartermin spätestens im Monat (4–6 Wochen Vorlauf)</t>
  </si>
  <si>
    <t xml:space="preserve">Zusätzliche Kosten ab diesem Monat (€/Monat)</t>
  </si>
  <si>
    <t xml:space="preserve">Einmalig im UG-Monat (Notar, Eröffnungsbilanz)</t>
  </si>
  <si>
    <t xml:space="preserve">Zusätzlich gebunden: Stammkapital</t>
  </si>
  <si>
    <t xml:space="preserve">Ab dem UG-Monat gilt mein Vorbehalt zur Besteuerung wieder: Das Raster rechnet die Steuer wie beim Einzelunternehmen (Gewinn oben auf Sandys Gehalt). Für die Einzelunternehmens-Phase ist das korrekt; ab der UG kämen Körperschaft- und Gewerbesteuer auf Gesellschaftsebene und danach Gehalt oder Ausschüttung — eine Steuerberater-Rechnung. Im vorsichtigen Szenario wird die UG im Horizont gar nicht erreicht, dort ist der Vorbehalt gegenstandslos.</t>
  </si>
  <si>
    <t xml:space="preserve">4) Ab wann kann Sandy reduzieren — und ganz aufhören?</t>
  </si>
  <si>
    <t xml:space="preserve">Der Ausstieg ist eine Treppe: In Stufe B1 läuft das Teilzeitgehalt weiter und die Krankenversicherung bleibt beim Arbeitgeber — Sofortangebot muss nur die Lücke zu 2.500 € netto schließen. Erst in B2 kommt alles zusammen.</t>
  </si>
  <si>
    <t xml:space="preserve">WICHTIG, und anders als erwartet: Die Ausstiegs-Treppe bewegt sich durch die Rechtsform-Entscheidung NICHT — die Zahlen der alten und der neuen Fassung sind identisch. Der Grund: Jede Ausstiegsstufe verlangt mindestens 37 zahlende Betriebe und liegt damit weit über dem UG-Auslöser von rund 20. An dem Punkt, an dem Sandy reduzieren könnte, gibt es die UG längst — also gelten dort auch wieder die vollen UG-Kosten. Die Ersparnis der Einzelunternehmens-Phase wirkt ausschließlich in der Anlaufzeit davor: früherer Break-even und ein deutlich flacherer Liquiditäts-Tiefpunkt (Abschnitte 1 und 2).</t>
  </si>
  <si>
    <t xml:space="preserve">Stufe</t>
  </si>
  <si>
    <t xml:space="preserve">Nötige Betriebe (neu)</t>
  </si>
  <si>
    <t xml:space="preserve">Nötiger Umsatz/Monat (neu)</t>
  </si>
  <si>
    <t xml:space="preserve">Nötige Betriebe (alt)</t>
  </si>
  <si>
    <t xml:space="preserve">Stufe B1 — 30 Std./Woche</t>
  </si>
  <si>
    <t xml:space="preserve">Stufe B1 — 25 Std./Woche</t>
  </si>
  <si>
    <t xml:space="preserve">Stufe B2 — Anstellung fällt weg</t>
  </si>
  <si>
    <t xml:space="preserve">Erreicht in Monat …</t>
  </si>
  <si>
    <t xml:space="preserve">Stufe B1 (30 Std.) — neue Fassung</t>
  </si>
  <si>
    <t xml:space="preserve">Stufe B1 (30 Std.) — alte Fassung (UG ab Monat 1)</t>
  </si>
  <si>
    <t xml:space="preserve">Stufe B1 (25 Std.) — neue Fassung</t>
  </si>
  <si>
    <t xml:space="preserve">Stufe B1 (25 Std.) — alte Fassung (UG ab Monat 1)</t>
  </si>
  <si>
    <t xml:space="preserve">Stufe B2 — neue Fassung</t>
  </si>
  <si>
    <t xml:space="preserve">Stufe B2 — alte Fassung (UG ab Monat 1)</t>
  </si>
  <si>
    <t xml:space="preserve">Teilzeitantrag (30 Std.) spätestens im Monat — 3 Monate Vorlauf, § 8/§ 9a TzBfG</t>
  </si>
  <si>
    <t xml:space="preserve">5) Umsatzsteuer — Regelbesteuerung (Verzicht nach § 19 Abs. 2 UStG, entschieden 17.09.2026)</t>
  </si>
  <si>
    <t xml:space="preserve">Kalenderjahr (Umsatz netto)</t>
  </si>
  <si>
    <t xml:space="preserve">2026 (Sep–Dez)</t>
  </si>
  <si>
    <t xml:space="preserve">2027 (Jan–Dez)</t>
  </si>
  <si>
    <t xml:space="preserve">2028 (Jan–Aug, angeschnitten)</t>
  </si>
  <si>
    <t xml:space="preserve">Höchster Jahreswert über 25.000 €?</t>
  </si>
  <si>
    <t xml:space="preserve">GEAENDERT 17.09.2026 (Head of Finance): Sandy hat sich fuer den freiwilligen Verzicht auf die Kleinunternehmerregelung entschieden (docs/preismodell.md). Der Schalter 'Regelbesteuerung' auf 'Plan-Annahmen' steht damit auf 1. Die Werte unten sind KEINE Entscheidungsgrundlage mehr, sondern Beobachtung: Der Verzicht bindet fuenf Jahre (bis 2031), die 25.000-€-Grenze ist bis dahin ohne Bedeutung. Erklaert wird der Verzicht erst im Fragebogen zur steuerlichen Erfassung nach der Gewerbeanmeldung in KW 41 — bis dahin ist nichts beim Finanzamt.</t>
  </si>
  <si>
    <t xml:space="preserve">6) Der Engpass: Zeit, nicht Geld</t>
  </si>
  <si>
    <t xml:space="preserve">Benötigte Stunden im Monat 24</t>
  </si>
  <si>
    <t xml:space="preserve">Monate über der Dauerlinie (65 Std.) von 24</t>
  </si>
  <si>
    <t xml:space="preserve">Monate über der Sprintlinie (86 Std.) von 24</t>
  </si>
  <si>
    <t xml:space="preserve">Erster Monat über der Dauerlinie</t>
  </si>
  <si>
    <t xml:space="preserve">Die Kapazitätsgrenze kommt vor der Rentabilitätsgrenze: Solange Sandy Vollzeit angestellt ist, begrenzt nicht die Nachfrage das Wachstum, sondern ihre Zeit. Stufe B1 ist der Mechanismus, der diese Grenze anhebt (43 bzw. 65 Stunden mehr im Monat), bevor die Einnahmen sie tragen müssten. Die Rechnung hängt an zwei Annahmen von mir: 18 Minuten Support je Betrieb und Monat und 25 Stunden Grundlast — beide gelb auf 'Plan-Annahmen'.</t>
  </si>
  <si>
    <t xml:space="preserve">Offene Zahlen, die den Plan verschieben (alle gelb): Sandys echtes Bruttogehalt · Beitrag der IT-Haftpflicht · das Steuerberater-Honorar (800 €/Jahr gilt nur, wenn Sandy die Buchhaltung selbst macht — bei voller Abgabe eher 1.500 €) · die Abwanderungsrate · Support- und Grundlast-Stunden · Anthropic-Direktrechnung einmalig oder wiederkehrend · Empfehlungs-Anreiz ein/aus.</t>
  </si>
  <si>
    <t xml:space="preserve">Bewusst vorsichtig gerechnet: keine Verlustverrechnung mit dem Gehalt, frei werdende Gruenderplaetze werden nicht neu vergeben, Steuer sofort zurueckgelegt, September 2026 als Monat 1 voll gezaehlt. Die Vorsteuer ist seit dem 17.09.2026 eingerechnet — je Kostenzeile (Plan-Kosten, Spalte AL), nicht pauschal, und nur dort, wo der eingetragene Betrag nachweislich brutto ist. Versicherungen, Stripe, Amtsgebuehren und die Supabase-Reverse-Charge-Rechnungen bringen keine Vorsteuer; wo eine Betragsangabe netto gemeint ist, wird nichts abgezogen. Die Umsatzsteuer auf den Umsatz ist ein durchlaufender Posten und steht deshalb nicht im Raster — der Zeitversatz zwischen Vereinnahmen und Abfuehren (Liquiditaets-vorteil) ist ebenfalls nicht angesetzt.</t>
  </si>
  <si>
    <t xml:space="preserve">Plan-Annahmen — Finanzplan CoS-F-003 (Fassung 2, 03.09.2026)</t>
  </si>
  <si>
    <t xml:space="preserve">Alle Eingaben des Plans an einer Stelle. Gelb = Annahme, bitte nur hier aendern. Jede Zeile nennt ihre Quelle. Horizont September 2026 bis August 2028. Rechtsform in dieser Fassung: Einzelunternehmen / Kleingewerbe, UMSATZSTEUERLICH AB 17.09.2026: Regelbesteuerung (Verzicht nach § 19 Abs. 2 UStG, Entscheidung Sandy, docs/preismodell.md) — Schalter Zeile 61 steht auf 1. UG erst ab rund 20 aktiven Betrieben.</t>
  </si>
  <si>
    <t xml:space="preserve">1) Zeitrahmen</t>
  </si>
  <si>
    <t xml:space="preserve">Bezeichnung</t>
  </si>
  <si>
    <t xml:space="preserve">Wert</t>
  </si>
  <si>
    <t xml:space="preserve">Einheit</t>
  </si>
  <si>
    <t xml:space="preserve">Quelle / Kommentar</t>
  </si>
  <si>
    <t xml:space="preserve">Startmonat des Plans (Monat 1)</t>
  </si>
  <si>
    <t xml:space="preserve">Datum</t>
  </si>
  <si>
    <t xml:space="preserve">Horizont Sep 2026 – Aug 2028 (24 Monate), Auftrag CoS-F-003.</t>
  </si>
  <si>
    <t xml:space="preserve">Gate 1 — begleitete Testnutzer ab Monat</t>
  </si>
  <si>
    <t xml:space="preserve">Monat-Nr.</t>
  </si>
  <si>
    <t xml:space="preserve">Nachtrag 6: Gate 1 Anfang Dezember 2026 = Monat 4. September bis November sind reine Kosten-Monate (Oktober Vorbereitung, 02.11.–03.12. Thailand, docs/kalender.md) — bewusst nicht mit Einnahmen geglättet.</t>
  </si>
  <si>
    <t xml:space="preserve">Öffentlicher Launch ab Monat</t>
  </si>
  <si>
    <t xml:space="preserve">Nachtrag 6: Januar 2027 = Monat 5.</t>
  </si>
  <si>
    <t xml:space="preserve">2) Preise und Stückkosten (vormals Blatt 'Marge &amp; Tragfähigkeit')</t>
  </si>
  <si>
    <t xml:space="preserve">Gründerpreis</t>
  </si>
  <si>
    <t xml:space="preserve">€/Monat</t>
  </si>
  <si>
    <t xml:space="preserve">docs/preismodell.md, entschieden 03.09.2026: dauerhaft für die ersten 25 zahlenden Betriebe, kein Hochlaufen auf 49 €.</t>
  </si>
  <si>
    <t xml:space="preserve">Standardpreis</t>
  </si>
  <si>
    <t xml:space="preserve">docs/preismodell.md, entschieden 03.09.2026.</t>
  </si>
  <si>
    <t xml:space="preserve">Gründerpreis-Plätze</t>
  </si>
  <si>
    <t xml:space="preserve">Kunden</t>
  </si>
  <si>
    <t xml:space="preserve">docs/preismodell.md. Der Preisknick bei Kunde 26 ist im Kundenmodell explizit abgebildet, nicht mit einem Mischpreis geglättet (Nachtrag 3).</t>
  </si>
  <si>
    <t xml:space="preserve">KI-Kosten je Angebot (konservativ)</t>
  </si>
  <si>
    <t xml:space="preserve">Cent</t>
  </si>
  <si>
    <t xml:space="preserve">Messung Head of Product Engineering (chief-of-staff-finance-todos.md, 'Rohdaten für CoS-F-002'): gemessen 2,2 Cent (Whisper $0,0060 + Chip-Vorschau $0,0002 + volle Extraktion $0,0172). Konservative Variante 2,5 Cent, weil die Aufnahmedauer nie gemessen wurde — ausdrückliche Vorgabe Chief of Staff, diesen Wert zu verwenden.</t>
  </si>
  <si>
    <t xml:space="preserve">Stripe-Gebühr variabel (EU-Karten)</t>
  </si>
  <si>
    <t xml:space="preserve">% (Dezimal)</t>
  </si>
  <si>
    <t xml:space="preserve">kosten.org, Stripe-Gebührenrechner (Abruf 03.09.2026): 1,5 % + 0,25 € für europäische Karten. stripe.com/pricing lieferte beim ersten Abruf einen US-Wert (2,9 % + 30 ¢) — verworfen.</t>
  </si>
  <si>
    <t xml:space="preserve">Stripe-Gebühr fix je Zahlung</t>
  </si>
  <si>
    <t xml:space="preserve">€</t>
  </si>
  <si>
    <t xml:space="preserve">Gleiche Quelle wie Zeile oben.</t>
  </si>
  <si>
    <t xml:space="preserve">USD/EUR-Kurs</t>
  </si>
  <si>
    <t xml:space="preserve">EUR je USD</t>
  </si>
  <si>
    <t xml:space="preserve">exchange-rates.org: 01.09.2026 = 0,8626, 02.09.2026 = 0,8631, YTD-Ø 0,8603. Supabase, Vercel, OpenAI und Anthropic rechnen in US-Dollar — der Kurs steht deshalb sichtbar hier. Nachgeprüft 17.09.2026 (Head of Finance): Der amtliche BMF-Umsatzsteuer-Umrechnungskurs für August 2026 beträgt 1,1593 USD je EUR = 0,8626 EUR je USD und bestätigt diesen Planwert (Abweichung 0,3 %, rund 0,33 € im Monat). Bewusst zwei verschiedene Kurse mit zwei verschiedenen Aufgaben: hier ein Planungskurs für künftige Monate, im Blatt Rechnungsjournal der amtliche Monatskurs für die Buchung bereits vorliegender Belege (§ 16 Abs. 6 UStG). Bitte nicht angleichen.</t>
  </si>
  <si>
    <t xml:space="preserve">Angebote je Kunde und Monat</t>
  </si>
  <si>
    <t xml:space="preserve">Angebote</t>
  </si>
  <si>
    <t xml:space="preserve">Stützpunkt CoS-P-008 (Platform). Liegt über dem typischen Kunden (5 Angebote) — für die Kostenseite konservativ.</t>
  </si>
  <si>
    <t xml:space="preserve">3) Deckungsbeitrag je Kunde (Antwort auf CoS-F-002, hierher übernommen)</t>
  </si>
  <si>
    <t xml:space="preserve">Deckungsbeitrag = Preis − KI-Kosten (Angebote × Kosten je Angebot) − Stripe-Gebühr (Preis × variable Gebühr + fixe Gebühr). Der Vielnutzer-Fall mit 40 Angebten im Monat beantwortet die Frage, ob 'unbegrenzt Angebote' trägt.</t>
  </si>
  <si>
    <t xml:space="preserve">Angebote / Monat</t>
  </si>
  <si>
    <t xml:space="preserve">KI-Kosten gesamt</t>
  </si>
  <si>
    <t xml:space="preserve">Stripe-Gebühr</t>
  </si>
  <si>
    <t xml:space="preserve">Deckungsbeitrag @29€</t>
  </si>
  <si>
    <t xml:space="preserve">Deckungsbeitrag @49€</t>
  </si>
  <si>
    <t xml:space="preserve">Hinweis</t>
  </si>
  <si>
    <t xml:space="preserve">Leichtnutzer</t>
  </si>
  <si>
    <t xml:space="preserve">typischer Kunde</t>
  </si>
  <si>
    <t xml:space="preserve">Planannahme dieses Modells</t>
  </si>
  <si>
    <t xml:space="preserve">Vielnutzer-Fall — testet 'unbegrenzt Angebote'</t>
  </si>
  <si>
    <t xml:space="preserve">Ergebnis (CoS-F-002): Auch im Vielnutzer-Fall bleiben beide Deckungsbeiträge klar positiv — 40 Angebote kosten nur 1,00 € an KI. 'Unbegrenzt Angebote' ist bei diesen Preisen finanziell unkritisch. Der Plan rechnet durchgehend mit 8 Angeboten je Kunde und Monat.</t>
  </si>
  <si>
    <t xml:space="preserve">4) Kundenmodell (Kanalplan CoS-M-007 + Mundpropaganda + Abwanderung)</t>
  </si>
  <si>
    <t xml:space="preserve">Neukunden je Kanal und Monat</t>
  </si>
  <si>
    <t xml:space="preserve">siehe Blatt 'Plan-Kunden'</t>
  </si>
  <si>
    <t xml:space="preserve">Zulieferung Head of Marketing, docs/gtm-kanalplan.xlsx, Blatt 'Kanal x Monat' (CoS-M-007): sechs Kanäle, drei Szenarien, 24 Monate. Summen ohne Mundpropaganda und Abwanderung: 16,5 / 52,25 / 103,5 Betriebe. Werte blau auf 'Plan-Kunden' — die Bewertung des Vertriebs liegt bei Marketing, die Rechnung bei mir.</t>
  </si>
  <si>
    <t xml:space="preserve">Mundpropaganda: Empfehlungen pro Jahr je aktivem Betrieb — Vorsichtig</t>
  </si>
  <si>
    <t xml:space="preserve">% pro Jahr</t>
  </si>
  <si>
    <t xml:space="preserve">gtm-kanalplan.xlsx, Blatt 'Mundpropaganda' (Parameter von Marketing, Anwendung auf die aktive Basis bei mir).</t>
  </si>
  <si>
    <t xml:space="preserve">Mundpropaganda: Empfehlungen pro Jahr je aktivem Betrieb — Realistisch</t>
  </si>
  <si>
    <t xml:space="preserve">Mundpropaganda: Empfehlungen pro Jahr je aktivem Betrieb — Optimistisch</t>
  </si>
  <si>
    <t xml:space="preserve">Mundpropaganda: davon zahlend — Vorsichtig</t>
  </si>
  <si>
    <t xml:space="preserve">%</t>
  </si>
  <si>
    <t xml:space="preserve">gtm-kanalplan.xlsx, Blatt 'Mundpropaganda'.</t>
  </si>
  <si>
    <t xml:space="preserve">Mundpropaganda: davon zahlend — Realistisch</t>
  </si>
  <si>
    <t xml:space="preserve">Mundpropaganda: davon zahlend — Optimistisch</t>
  </si>
  <si>
    <t xml:space="preserve">Mundpropaganda: Verzögerung bis zur Empfehlung — Vorsichtig</t>
  </si>
  <si>
    <t xml:space="preserve">Monate</t>
  </si>
  <si>
    <t xml:space="preserve">gtm-kanalplan.xlsx: ein Handwerker empfiehlt erst, wenn es sich bewährt hat. Rechenregel: aktive Betriebe (Monat − Verzögerung) × Jahresanteil ÷ 12 × Zahlend-Anteil.</t>
  </si>
  <si>
    <t xml:space="preserve">Mundpropaganda: Verzögerung bis zur Empfehlung — Realistisch</t>
  </si>
  <si>
    <t xml:space="preserve">Mundpropaganda: Verzögerung bis zur Empfehlung — Optimistisch</t>
  </si>
  <si>
    <t xml:space="preserve">Abwanderung Standardkunden pro Monat — Vorsichtig</t>
  </si>
  <si>
    <t xml:space="preserve">% der Kunden</t>
  </si>
  <si>
    <t xml:space="preserve">MEINE Annahme (Abwanderung ist laut Nachtrag 3 Finance-Annahme). Marketing nennt 3–5 % im ersten Jahr als plausibel. Es gibt keinen Erfahrungswert — laut Chief of Staff bleibt diese Zelle gelb bis mindestens März 2027. Sie ist die wirksamste Stellschraube im Modell.</t>
  </si>
  <si>
    <t xml:space="preserve">Abwanderung Standardkunden pro Monat — Realistisch</t>
  </si>
  <si>
    <t xml:space="preserve">Abwanderung Standardkunden pro Monat — Optimistisch</t>
  </si>
  <si>
    <t xml:space="preserve">Abwanderung Gründerkunden pro Monat — Vorsichtig</t>
  </si>
  <si>
    <t xml:space="preserve">MEINE Annahme, deutlich unter der Standardrate — Marketing: Gründerkunden binden stärker (Preis dauerhaft 29 €, Feedback-Bindung).</t>
  </si>
  <si>
    <t xml:space="preserve">Abwanderung Gründerkunden pro Monat — Realistisch</t>
  </si>
  <si>
    <t xml:space="preserve">Abwanderung Gründerkunden pro Monat — Optimistisch</t>
  </si>
  <si>
    <t xml:space="preserve">Empfehlungs-Anreiz aktiv? (1 = ja, 0 = nein)</t>
  </si>
  <si>
    <t xml:space="preserve">Schalter</t>
  </si>
  <si>
    <t xml:space="preserve">'Ein Kollege, ein Monat geschenkt' — von Marketing vorgeschlagen, SANDY ENTSCHEIDET. Deshalb Schalter, standardmäßig aus. Bei 1 kostet jede Empfehlung einmalig 49 € Umsatz.</t>
  </si>
  <si>
    <t xml:space="preserve">… erwarteter Aufschlag auf die Empfehlungsquote</t>
  </si>
  <si>
    <t xml:space="preserve">% relativ</t>
  </si>
  <si>
    <t xml:space="preserve">Bewusst 0: Marketing schreibt 'hebt die Quote spürbar', nennt aber keine Zahl — ich erfinde keine. Wer den Effekt sehen will, trägt hier z. B. 25 % ein.</t>
  </si>
  <si>
    <t xml:space="preserve">Zahlungsausfälle / Lastschrift-Rückläufer</t>
  </si>
  <si>
    <t xml:space="preserve">% vom Umsatz</t>
  </si>
  <si>
    <t xml:space="preserve">Katalog G, meine Annahme (2 %), keine Erfahrungswerte.</t>
  </si>
  <si>
    <t xml:space="preserve">Kulanz / Erstattungen</t>
  </si>
  <si>
    <t xml:space="preserve">Katalog G, meine Annahme (1 %).</t>
  </si>
  <si>
    <t xml:space="preserve">5) Rechtsform — Einzelunternehmen jetzt, UG ab rund 20 Betrieben</t>
  </si>
  <si>
    <t xml:space="preserve">GEÄNDERT gegenüber der ersten Fassung (Nachtrag 8 + 9): Dort war UG ab Monat 1 unterstellt. Sandy hat am Abend des 03.09.2026 anders entschieden — Einzelunternehmen / Kleingewerbe ab Oktober 2026, UG erst bei rund 20 aktiven zahlenden Betrieben. Quelle: entscheidungen-fuer-sandy.md 'S-4, Teil 4', eingeordnet von Head of Legal, freigegeben vom Chief of Staff. Der Auslöser hängt bewusst an der Kundenzahl, nicht an einem Datum — dann verschiebt er sich mit der Kundenkurve mit.</t>
  </si>
  <si>
    <t xml:space="preserve">Gewerbeanmeldung (Einzelunternehmen) ab Monat</t>
  </si>
  <si>
    <t xml:space="preserve">Oktober 2026 = Monat 2 (Legal, S-4 Teil 4; Terminplan legal-007-plan-fuer-sandy.md). Ab hier laufen die Betriebsausgaben der Einzelunternehmung.</t>
  </si>
  <si>
    <t xml:space="preserve">UG-Gründung ab … aktiven zahlenden Betrieben</t>
  </si>
  <si>
    <t xml:space="preserve">Betriebe</t>
  </si>
  <si>
    <t xml:space="preserve">Sandys Vorgabe (Nachtrag 9): 'nicht 5 Kunden sondern eher 20 oder so'. Der Schalter wirkt je Szenario auf dem Blatt 'Plan-Kunden' und löst im Raster Gründungskosten, den höheren Steuerberatersatz, IHK und das Geschäftskonto aus.</t>
  </si>
  <si>
    <t xml:space="preserve">Vorlauf für die UG-Gründung (Notartermin bis Eintragung)</t>
  </si>
  <si>
    <t xml:space="preserve">Legal: 4–6 Wochen ab Notartermin. Im Deckblatt als 'Notartermin spätestens' ausgewiesen; im Raster fallen die Kosten im Monat der Schwelle an.</t>
  </si>
  <si>
    <t xml:space="preserve">Regelbesteuerung statt Kleinunternehmer? (1 = ja, 0 = nein)</t>
  </si>
  <si>
    <t xml:space="preserve">GESETZT AUF 1 am 17.09.2026 (Head of Finance): Sandy hat am 17.09.2026 Variante B gewaehlt — freiwilliger Verzicht auf die Kleinunternehmerregelung nach § 19 Abs. 2 UStG, Bindung fuenf Jahre (docs/preismodell.md). Scharf geschaltet wird der Verzicht erst im Fragebogen zur steuerlichen Erfassung nach der Gewerbeanmeldung in KW 41 — der Plan rechnet ihn aber ab jetzt. Bei 1 wird die Vorsteuer je Kostenzeile erstattet (Plan-Kosten, Spalte AL), die Preise sind netto und die Umsatzsteuer auf den Umsatz ist ein durchlaufender Posten.</t>
  </si>
  <si>
    <t xml:space="preserve">… vorsteuerfaehiger Kostenanteil (Naeherung) — NICHT MEHR VERWENDET</t>
  </si>
  <si>
    <t xml:space="preserve">Anteil</t>
  </si>
  <si>
    <t xml:space="preserve">ERSETZT am 17.09.2026 (Head of Finance). Bis dahin: pauschal 60 % aller Kosten mit 19/119. Beim Gegenpruefen gegen die 18 echten Belege war die Pauschale in beide Richtungen falsch — Versicherungen, Stripe, Amtsgebuehren und die Supabase-Reverse-Charge-Rechnungen tragen gar keine abziehbare Vorsteuer, Fachliteratur nur 7 %, und einmalige Grossposten (Anwalt, Marke) haetten die Erstattung im Monat ihres Anfalls kuenstlich aufgeblaeht. Die Vorsteuer wird jetzt je Zeile gerechnet: Plan-Kosten, Spalte AL. Diese Zelle bleibt nur als Spur stehen.</t>
  </si>
  <si>
    <t xml:space="preserve">Kleinunternehmergrenze Vorjahresumsatz</t>
  </si>
  <si>
    <t xml:space="preserve">€ netto</t>
  </si>
  <si>
    <t xml:space="preserve">§ 19 UStG, mehrfach webverifiziert am 03.09.2026 (Taxfix, Tide, Finanzamt NRW), deckt sich mit der Angabe des Legal-Teams.</t>
  </si>
  <si>
    <t xml:space="preserve">Kleinunternehmergrenze laufendes Jahr</t>
  </si>
  <si>
    <t xml:space="preserve">Gleiche Quelle.</t>
  </si>
  <si>
    <t xml:space="preserve">6) Zeitbudget (Nachtrag 4 — harte Nebenbedingung)</t>
  </si>
  <si>
    <t xml:space="preserve">Kapazitätslinie 1 — Sprint (15–20 Std./Woche)</t>
  </si>
  <si>
    <t xml:space="preserve">Std./Monat</t>
  </si>
  <si>
    <t xml:space="preserve">Nachtrag 4: Sandy hat 15–20 Std./Woche, seit rund zwei Monaten so gelebt. 20 × 4,33 ≈ 86 Std. im Monat für ALLES: Produkt, Support, Verwaltung, Vertrieb.</t>
  </si>
  <si>
    <t xml:space="preserve">Kapazitätslinie 2 — Dauerlinie konservativ (15 Std./Woche)</t>
  </si>
  <si>
    <t xml:space="preserve">Konservative Linie für den Fall, dass sich das Tempo über 24 Monate neben einer Vollzeitstelle nicht halten lässt. Der Abstand zwischen beiden Linien ist selbst die Information.</t>
  </si>
  <si>
    <t xml:space="preserve">Grundlast Produkt / Verwaltung / Buchhaltung</t>
  </si>
  <si>
    <t xml:space="preserve">MEINE Annahme. Laut Chief of Staff kann Sandy das aus zwei Monaten Erfahrung besser schätzen — bitte überschreiben. Zusammen mit der Abwanderung die wirksamste Stellschraube.</t>
  </si>
  <si>
    <t xml:space="preserve">Support je aktivem Betrieb und Monat</t>
  </si>
  <si>
    <t xml:space="preserve">Std.</t>
  </si>
  <si>
    <t xml:space="preserve">MEINE Annahme (18 Minuten je Kunde und Monat). Support ist Sandys Zeit, nicht Geld.</t>
  </si>
  <si>
    <t xml:space="preserve">Onboarding je neuem Betrieb (einmalig)</t>
  </si>
  <si>
    <t xml:space="preserve">MEINE Annahme: Ersteinrichtung und Begleitung des ersten Angebots.</t>
  </si>
  <si>
    <t xml:space="preserve">Vertriebsstunden Sandy je Monat</t>
  </si>
  <si>
    <t xml:space="preserve">Zulieferung Marketing: 4 / 18 / 5 / 15 / 16 … ≈ 19,5 Std. im Regelbetrieb, Summe 424 Std. über 24 Monate. Marketing führt die Stunden nur einmal, nicht je Szenario — sie gelten deshalb in allen drei Szenarien gleich (im optimistischen eher zu niedrig).</t>
  </si>
  <si>
    <t xml:space="preserve">7) Phase A — Sofortangebot neben der Vollzeitstelle</t>
  </si>
  <si>
    <t xml:space="preserve">Bruttogehalt Anstellung, Vollzeit 40 Std. (Jahr)</t>
  </si>
  <si>
    <t xml:space="preserve">€/Jahr</t>
  </si>
  <si>
    <t xml:space="preserve">ANNAHME, bitte durch Sandys echtes Brutto ersetzen: aus 'mindestens 2.500 € netto' zurückgerechnet — rund 4.000 €/Monat brutto ergeben in Steuerklasse I ohne Kirchensteuer etwa 2.650 € netto. Bestimmt den Grenzsteuersatz, mit dem der Gewinn OBEN auf das Gehalt versteuert wird.</t>
  </si>
  <si>
    <t xml:space="preserve">Arbeitnehmeranteil Sozialversicherung (Näherung)</t>
  </si>
  <si>
    <t xml:space="preserve">Anteil vom Brutto</t>
  </si>
  <si>
    <t xml:space="preserve">RV 9,3 % + KV 7,3 % + halber Zusatzbeitrag + Pflege + Arbeitslosenversicherung ≈ 20,5 % (Werte 2026).</t>
  </si>
  <si>
    <t xml:space="preserve">Werbungskosten-Pauschbetrag</t>
  </si>
  <si>
    <t xml:space="preserve">§ 9a EStG.</t>
  </si>
  <si>
    <t xml:space="preserve">Abzugsfähige Vorsorgeaufwendungen (Anteil vom Brutto)</t>
  </si>
  <si>
    <t xml:space="preserve">Näherung für das zu versteuernde Einkommen. Der Steuerberater rechnet das exakt.</t>
  </si>
  <si>
    <t xml:space="preserve">Zu versteuerndes Einkommen aus dem Gehalt (Näherung)</t>
  </si>
  <si>
    <t xml:space="preserve">Brutto − Werbungskosten − Vorsorge − Sonderausgaben-Pauschbetrag.</t>
  </si>
  <si>
    <t xml:space="preserve">Grenzsteuersatz auf den Gewinn (Phase A)</t>
  </si>
  <si>
    <t xml:space="preserve">Einkommensteuertarif 2026 (§ 32a EStG, Fassung ab VZ 2026, lxgesetze.de/estg/32a: Grundfreibetrag 12.348 €, Zonen bis 17.799 / 69.878 / 277.825 €) auf zvE + 1.000 € minus Tarif auf zvE. In der Einzelunternehmens-Phase ist das die RICHTIGE Rechnung: der Gewinn sind gewerbliche Einkünfte, die oben auf das Gehalt kommen. Ohne Solidaritätszuschlag (Freigrenze nicht erreicht) und ohne Kirchensteuer. Verlustverrechnung mit dem Gehalt ist NICHT eingerechnet — vorsichtig gerechnet.</t>
  </si>
  <si>
    <t xml:space="preserve">8) Phase B — der Ausstieg als Treppe (Nachtrag 5)</t>
  </si>
  <si>
    <t xml:space="preserve">Netto-Bedarf pro Monat (Untergrenze)</t>
  </si>
  <si>
    <t xml:space="preserve">Sandy: 'mein aktuelles netto gehalt … brauch ich mindestens'. Laut Chief of Staff als Untergrenze zu behandeln, nicht als Ziel.</t>
  </si>
  <si>
    <t xml:space="preserve">Puffer auf den Netto-Bedarf (realistische Schwelle)</t>
  </si>
  <si>
    <t xml:space="preserve">MEINE Annahme: +20 % für Urlaub, schwache Monate, Rücklage.</t>
  </si>
  <si>
    <t xml:space="preserve">Altersvorsorge pro Monat (realistische Schwelle)</t>
  </si>
  <si>
    <t xml:space="preserve">MEINE Annahme: als Selbstständige entfällt der Arbeitgeberanteil zur Rente.</t>
  </si>
  <si>
    <t xml:space="preserve">Teilzeit-Variante 1</t>
  </si>
  <si>
    <t xml:space="preserve">Std./Woche</t>
  </si>
  <si>
    <t xml:space="preserve">Nachtrag 5: Sandy erwägt 30 oder 25 Stunden.</t>
  </si>
  <si>
    <t xml:space="preserve">Teilzeit-Variante 2</t>
  </si>
  <si>
    <t xml:space="preserve">Nachtrag 5.</t>
  </si>
  <si>
    <t xml:space="preserve">Zusätzliche Zeit für Sofortangebot bei 30 Std.</t>
  </si>
  <si>
    <t xml:space="preserve">Nachtrag 5: 40 → 30 sind rund 10 Std./Woche ≈ 43 Std./Monat. Das Zeitbudget ist damit stufenabhängig, keine Konstante.</t>
  </si>
  <si>
    <t xml:space="preserve">Zusätzliche Zeit für Sofortangebot bei 25 Std.</t>
  </si>
  <si>
    <t xml:space="preserve">Nachtrag 5: 40 → 25 sind rund 15 Std./Woche ≈ 65 Std./Monat.</t>
  </si>
  <si>
    <t xml:space="preserve">Vorlauf für den Teilzeitantrag</t>
  </si>
  <si>
    <t xml:space="preserve">Nachtrag 5: mindestens drei Monate vorher schriftlich (§ 8 bzw. § 9a TzBfG). Rechtsstand vom Chief of Staff nachgesehen, keine Rechtsberatung — für den konkreten Vertrag prüfen lassen. Zwei Wege: § 8 unbefristete Teilzeit (kein Rückkehrrecht) und § 9a Brückenteilzeit (ab 45 Beschäftigten, 1–5 Jahre, danach automatische Rückkehr). Die Wahl ist Sandys Entscheidung.</t>
  </si>
  <si>
    <t xml:space="preserve">9) Krankenversicherung und Pflege in Stufe B2 (Werte 2026)</t>
  </si>
  <si>
    <t xml:space="preserve">Krankenversicherung, allgemeiner Beitragssatz</t>
  </si>
  <si>
    <t xml:space="preserve">GKV 2026, freiwillig versichert, voller Beitrag ohne Arbeitgeberanteil (papierkram.de). Ermäßigt ohne Krankengeld wären 14,0 % — hier der höhere Satz.</t>
  </si>
  <si>
    <t xml:space="preserve">… Zusatzbeitrag (Durchschnitt 2026)</t>
  </si>
  <si>
    <t xml:space="preserve">2,9 % Durchschnitt 2026 (papierkram.de), kassenabhängig.</t>
  </si>
  <si>
    <t xml:space="preserve">Pflegeversicherung inkl. Zuschlag für Kinderlose</t>
  </si>
  <si>
    <t xml:space="preserve">3,6 % + 0,6 % (papierkram.de). Bei Kindern niedriger.</t>
  </si>
  <si>
    <t xml:space="preserve">Mindestbemessungsgrundlage</t>
  </si>
  <si>
    <t xml:space="preserve">2026 (papierkram.de).</t>
  </si>
  <si>
    <t xml:space="preserve">Beitragsbemessungsgrenze</t>
  </si>
  <si>
    <t xml:space="preserve">2026: 5.812,50 €/Monat = 69.750 €/Jahr (papierkram.de, bundesregierung.de).</t>
  </si>
  <si>
    <t xml:space="preserve">Sonderausgaben-Pauschbetrag</t>
  </si>
  <si>
    <t xml:space="preserve">§ 10c EStG.</t>
  </si>
  <si>
    <t xml:space="preserve">In Stufe B1 bleibt die Krankenversicherung beim Arbeitgeber — der größte Einzelsprung fällt erst in Stufe B2 an. Genau deshalb ist B1 deutlich früher erreichbar.</t>
  </si>
  <si>
    <t xml:space="preserve">Plan-Kunden — Kundenmodell aus Kanälen und Zeitbudget</t>
  </si>
  <si>
    <t xml:space="preserve">Neukunden kommen aus dem Kanalplan von Head of Marketing (blau = Zulieferung aus docs/gtm-kanalplan.xlsx, CoS-M-007), ergänzt um Mundpropaganda als einzigen Selbstverstärker aus der aktiven Kundenbasis — mit Verzögerung und dadurch von Natur aus gedeckelt. Abwanderung ist getrennt nach Gründer- und Standardkunden geführt. Rechts das Zeitbudget: Vertrieb + Support je Kunde + Onboarding je Neukunde + Grundlast gegen Sandys zwei Kapazitätslinien; eine 1 heißt, dieser Monat verlangt mehr Stunden, als sie hat. Die letzte Spalte schaltet die UG scharf, sobald die aktive Kundenzahl die Schwelle aus 'Plan-Annahmen' erreicht.</t>
  </si>
  <si>
    <t xml:space="preserve">Szenario: Vorsichtig</t>
  </si>
  <si>
    <t xml:space="preserve">Kanäle Σ 16.5 Betriebe (Marketing)</t>
  </si>
  <si>
    <t xml:space="preserve">Monat</t>
  </si>
  <si>
    <t xml:space="preserve">Kalendermonat</t>
  </si>
  <si>
    <t xml:space="preserve">Neukunden Kanäle</t>
  </si>
  <si>
    <t xml:space="preserve">Neukunden Mundpropaganda</t>
  </si>
  <si>
    <t xml:space="preserve">Neukunden gesamt</t>
  </si>
  <si>
    <t xml:space="preserve">davon Gründerplätze</t>
  </si>
  <si>
    <t xml:space="preserve">davon Standard</t>
  </si>
  <si>
    <t xml:space="preserve">Gründerplätze vergeben (kum.)</t>
  </si>
  <si>
    <t xml:space="preserve">Gründerkunden aktiv</t>
  </si>
  <si>
    <t xml:space="preserve">Standardkunden aktiv</t>
  </si>
  <si>
    <t xml:space="preserve">Kunden aktiv gesamt</t>
  </si>
  <si>
    <t xml:space="preserve">Std. Vertrieb (Marketing)</t>
  </si>
  <si>
    <t xml:space="preserve">Std. Support</t>
  </si>
  <si>
    <t xml:space="preserve">Std. Onboarding</t>
  </si>
  <si>
    <t xml:space="preserve">Std. Grundlast</t>
  </si>
  <si>
    <t xml:space="preserve">Std. gesamt</t>
  </si>
  <si>
    <t xml:space="preserve">über Dauerlinie (65)?</t>
  </si>
  <si>
    <t xml:space="preserve">über Sprintlinie (86)?</t>
  </si>
  <si>
    <t xml:space="preserve">UG-Schwelle erreicht?</t>
  </si>
  <si>
    <t xml:space="preserve">Σ / Ende</t>
  </si>
  <si>
    <t xml:space="preserve">Szenario: Realistisch</t>
  </si>
  <si>
    <t xml:space="preserve">Kanäle Σ 52.25 Betriebe (Marketing)</t>
  </si>
  <si>
    <t xml:space="preserve">Szenario: Optimistisch</t>
  </si>
  <si>
    <t xml:space="preserve">Kanäle Σ 103.5 Betriebe (Marketing)</t>
  </si>
  <si>
    <t xml:space="preserve">In der Summenzeile steht unter 'UG-Schwelle erreicht?' der erste Monat, in dem das Szenario die Schwelle reißt (999 = nie im Horizont) — daran hängen im Raster die UG-Kosten. Die Spalten davor zählen, in wie vielen der 24 Monate das Szenario mehr Stunden verlangt, als die jeweilige Kapazitätslinie hergibt. Ein Szenario, das die Sprintlinie regelmäßig reißt, ist nicht optimistisch, sondern nicht durchführbar, solange Sandy Vollzeit angestellt ist.</t>
  </si>
  <si>
    <t xml:space="preserve">Plan-Kosten — Vollständigkeits-Katalog A–H, Rechtsform Einzelunternehmen (UG später)</t>
  </si>
  <si>
    <t xml:space="preserve">Jeder Posten aus dem Katalog des Chief of Staff steht als Zeile, auch die nicht zutreffenden — mit Begründung, damit kein Kästchen leer bleibt. Spalte 'Phase': 'immer' = unabhängig von der Rechtsform · 'EU' = nur in der Einzelunternehmens-Phase · 'UG' = erst ab der UG-Gründung, gesteuert über die Kundenzahl (Block unten, wird je Szenario im Raster zugeschaltet). Typ: laufend · einmalig · Monatsvektor (Werte je Monat aus einer Zulieferung) · Reserve (Liquiditätsbindung, kein Aufwand) · variabel (im Raster aus Kunden und Umsatz gerechnet). Die 17 Belege aus Mai bis August 2026 sind Privatausgaben und NICHT Teil dieser Kostenbasis — sie bleiben im Rechnungsjournal als Historie; Sandy nimmt den Anmeldetag als Startdatum.</t>
  </si>
  <si>
    <t xml:space="preserve">Nr</t>
  </si>
  <si>
    <t xml:space="preserve">Kat.</t>
  </si>
  <si>
    <t xml:space="preserve">Posten</t>
  </si>
  <si>
    <t xml:space="preserve">Typ</t>
  </si>
  <si>
    <t xml:space="preserve">Betrag</t>
  </si>
  <si>
    <t xml:space="preserve">Phase</t>
  </si>
  <si>
    <t xml:space="preserve">Start (Monat)</t>
  </si>
  <si>
    <t xml:space="preserve">€ umgerechnet</t>
  </si>
  <si>
    <t xml:space="preserve">Quelle / Begründung</t>
  </si>
  <si>
    <t xml:space="preserve">Vorsteuer je € (Anteil am eingetragenen Betrag)</t>
  </si>
  <si>
    <t xml:space="preserve">Basis des Betrags — warum dieser Anteil</t>
  </si>
  <si>
    <t xml:space="preserve">A</t>
  </si>
  <si>
    <t xml:space="preserve">Gewerbeanmeldung Berlin (online)</t>
  </si>
  <si>
    <t xml:space="preserve">einmalig</t>
  </si>
  <si>
    <t xml:space="preserve">€ einmalig</t>
  </si>
  <si>
    <t xml:space="preserve">EU</t>
  </si>
  <si>
    <t xml:space="preserve">15 € online über eMeldung, 26 € persönlich im Ordnungsamt (gewerbeanmeldung.de/gewerbeamt/berlin, Abruf 03.09.2026) — deckt sich mit Legals Angabe. Statt der 1.700 € aus der ersten Planfassung.</t>
  </si>
  <si>
    <t xml:space="preserve">Behoerdengebuehr (eMeldung Berlin) — hoheitliche Leistung, keine Umsatzsteuer, keine Vorsteuer.</t>
  </si>
  <si>
    <t xml:space="preserve">UG: Notar + Handelsregister (Musterprotokoll)</t>
  </si>
  <si>
    <t xml:space="preserve">UG-Block</t>
  </si>
  <si>
    <t xml:space="preserve">UG</t>
  </si>
  <si>
    <t xml:space="preserve">entscheidungen-fuer-sandy.md S-4 (Legal): 300–480 €, oberes Ende. Fällt erst im UG-Monat an, s. UG-Block unten.</t>
  </si>
  <si>
    <t xml:space="preserve">→ UG-Block unten</t>
  </si>
  <si>
    <t xml:space="preserve">UG-Block, steht nicht in der Basissumme.</t>
  </si>
  <si>
    <t xml:space="preserve">UG: Eröffnungsbilanz (Steuerberater)</t>
  </si>
  <si>
    <t xml:space="preserve">Teil der von Legal genannten Zusatzkosten im Gründungsjahr. Annahme.</t>
  </si>
  <si>
    <t xml:space="preserve">UG: Stammkapital (Einzahlung)</t>
  </si>
  <si>
    <t xml:space="preserve">UG-Reserve</t>
  </si>
  <si>
    <t xml:space="preserve">Legal: 1.000 €. Kein Aufwand — bleibt Vermögen der UG, bindet aber Liquidität ab dem UG-Monat. In der Einzelunternehmens-Phase entfällt die Bindung vollständig.</t>
  </si>
  <si>
    <t xml:space="preserve">Reserve, kein Aufwand.</t>
  </si>
  <si>
    <t xml:space="preserve">Anwalt für individuelle Satzung</t>
  </si>
  <si>
    <t xml:space="preserve">nicht zutreffend</t>
  </si>
  <si>
    <t xml:space="preserve">trifft nicht zu, weil Musterprotokoll (Ein-Personen-UG). Bei individueller Satzung 500–1.500 €.</t>
  </si>
  <si>
    <t xml:space="preserve">trifft nicht zu.</t>
  </si>
  <si>
    <t xml:space="preserve">Geschäftskonto (Kontoführung)</t>
  </si>
  <si>
    <t xml:space="preserve">Bei der UG zwingend, beim Einzelunternehmen nicht (Legal). Für die saubere Trennung privat/geschäftlich trotzdem empfehlenswert — dann hier auf 'immer' umstellen.</t>
  </si>
  <si>
    <t xml:space="preserve">UG-Block; Kontofuehrung ist ausserdem nach § 4 Nr. 8 UStG steuerfrei.</t>
  </si>
  <si>
    <t xml:space="preserve">IHK-Beitrag</t>
  </si>
  <si>
    <t xml:space="preserve">trifft in der Einzelunternehmens-Phase nicht zu: Existenzgründer sind in den ersten zwei Jahren beitragsfrei (§ 3 Abs. 3 IHKG, Gewerbeertrag unter 25.000 €, nicht im Handelsregister) — das ist genau der Planhorizont. Ab UG-Gründung fällt der Grundbeitrag an, s. UG-Block.</t>
  </si>
  <si>
    <t xml:space="preserve">IHK-Beitrag ab UG-Gründung</t>
  </si>
  <si>
    <t xml:space="preserve">Die UG ist im Handelsregister eingetragen, die Gründerbefreiung gilt dort nicht. Grundbeitrag je IHK und Stufe 30–300 €/Jahr, Annahme 200 €.</t>
  </si>
  <si>
    <t xml:space="preserve">UG-Block; Kammerbeitrag ohne Umsatzsteuer.</t>
  </si>
  <si>
    <t xml:space="preserve">B</t>
  </si>
  <si>
    <t xml:space="preserve">Anwaltliche Prüfung AGB / Datenschutz / AVV vor dem Launch</t>
  </si>
  <si>
    <t xml:space="preserve">immer</t>
  </si>
  <si>
    <t xml:space="preserve">Katalog B, Größenordnung 800–2.500 € für ein SaaS-Rechtstextpaket, vor Gate 1 angesetzt. Die interne Legal-Rolle ersetzt keine haftende Kanzlei — ob Sandy das will, ist ihre Entscheidung, die Position gehört aber in den Plan.</t>
  </si>
  <si>
    <t xml:space="preserve">Honorarspanne aus B2B-Quellen = NETTO angesetzt. Unter Regelbesteuerung ist netto der richtige Planwert; ein zusaetzlicher Abzug waere doppelt gezaehlt.</t>
  </si>
  <si>
    <t xml:space="preserve">Markenanmeldung DPMA (elektronisch, bis 3 Klassen)</t>
  </si>
  <si>
    <t xml:space="preserve">DPMA-Gebührenverzeichnis (fixmarke.de): 290 € elektronisch inkl. 3 Klassen, je weitere Klasse 100 €, Verlängerung nach 10 Jahren 750 € (außerhalb des Horizonts).</t>
  </si>
  <si>
    <t xml:space="preserve">DPMA-Amtsgebuehr, keine Umsatzsteuer.</t>
  </si>
  <si>
    <t xml:space="preserve">DIN-Normtexte 18363 / 18365</t>
  </si>
  <si>
    <t xml:space="preserve">CoS-F-Info 01.09.2026, von Sandy freigegeben; Beleg folgt.</t>
  </si>
  <si>
    <t xml:space="preserve">Fachliteratur/E-Book: 7 % (§ 12 Abs. 2 Nr. 14 UStG), Betrag brutto — gemessen an Beleg 2026-018 (DIN Media, 54,00 € brutto = 50,47 + 3,53).</t>
  </si>
  <si>
    <t xml:space="preserve">Weitere Normtexte bei neuen Gewerken</t>
  </si>
  <si>
    <t xml:space="preserve">laufend</t>
  </si>
  <si>
    <t xml:space="preserve">Annahme: etwa ein weiterer Normtext pro Jahr ab Jahr 2.</t>
  </si>
  <si>
    <t xml:space="preserve">wie Zeile darueber.</t>
  </si>
  <si>
    <t xml:space="preserve">Rechtstexte-Abo statt Einzelprüfung</t>
  </si>
  <si>
    <t xml:space="preserve">trifft nicht zu, weil die Einzelprüfung angesetzt ist — nicht beides. Alternative 10–30 €/Monat.</t>
  </si>
  <si>
    <t xml:space="preserve">Rücklage Abmahnung / Rechtsstreit</t>
  </si>
  <si>
    <t xml:space="preserve">Reserve</t>
  </si>
  <si>
    <t xml:space="preserve">Katalog B: Liquiditätsreserve ab dem öffentlichen Launch, kein Aufwand.</t>
  </si>
  <si>
    <t xml:space="preserve">C</t>
  </si>
  <si>
    <t xml:space="preserve">IT-Vermögensschaden-Haftpflicht (exali/Markel, 1 Mio. €)</t>
  </si>
  <si>
    <t xml:space="preserve">OFFENE ZAHL — Beitrag unbekannt, S-4 wartet auf Sandy. Früherer Stand 200–400 €/Jahr, Platzhalter 300 €. Rechtsformunabhängig, also in beiden Phasen gleich (Legal).</t>
  </si>
  <si>
    <t xml:space="preserve">Versicherungsbeitrag: steuerfrei nach § 4 Nr. 10 UStG (dafuer Versicherungsteuer) — keine Vorsteuer.</t>
  </si>
  <si>
    <t xml:space="preserve">Betriebshaftpflicht</t>
  </si>
  <si>
    <t xml:space="preserve">Annahme 100 €/Jahr; prüfen, ob im exali-Paket enthalten — dann 0.</t>
  </si>
  <si>
    <t xml:space="preserve">Versicherungsbeitrag: steuerfrei nach § 4 Nr. 10 UStG — keine Vorsteuer.</t>
  </si>
  <si>
    <t xml:space="preserve">Cyber-Deckung</t>
  </si>
  <si>
    <t xml:space="preserve">trifft nicht zu, weil der Cyber-Drittschaden bei der IT-Haftpflicht üblicherweise enthalten ist.</t>
  </si>
  <si>
    <t xml:space="preserve">D</t>
  </si>
  <si>
    <t xml:space="preserve">Steuerberater / Buchhaltung — Einzelunternehmen (EÜR)</t>
  </si>
  <si>
    <t xml:space="preserve">Legal nennt 0–800 €/Jahr; hier das obere Ende. ACHTUNG, eigener Hinweis: Diese Spanne setzt voraus, dass Sandy die laufende Buchhaltung selbst macht (Lexware) und höchstens die EÜR prüfen lässt. Für einen Steuerberater, der alles übernimmt, liegt die belegte Spanne bei 1.000–2.500 €/Jahr (onlinebilanz.de, 2026). Wenn Sandy abgeben will, hier auf ~1.500 € erhöhen.</t>
  </si>
  <si>
    <t xml:space="preserve">Honorarspanne = NETTO angesetzt (Legal nennt 0–800 €/Jahr). Kein zusaetzlicher Abzug.</t>
  </si>
  <si>
    <t xml:space="preserve">Steuerberater ab UG-Gründung (Bilanz, KSt/GewSt, Offenlegung)</t>
  </si>
  <si>
    <t xml:space="preserve">onlinebilanz.de (2026): Kleinst-GmbH/UG 2.500–4.500 €/Jahr, Annahme 3.000 €. Im UG-Block wird nur die DIFFERENZ zum EÜR-Satz zugeschaltet, damit nichts doppelt zählt.</t>
  </si>
  <si>
    <t xml:space="preserve">UG-Block.</t>
  </si>
  <si>
    <t xml:space="preserve">Buchhaltungssoftware (Lexware Office, Tarif M)</t>
  </si>
  <si>
    <t xml:space="preserve">trusted.de: 11,90 €/Monat netto = 14,16 € brutto.</t>
  </si>
  <si>
    <t xml:space="preserve">Betrag ausdruecklich brutto (11,90 € netto = 14,16 € brutto, Quellenzeile daneben).</t>
  </si>
  <si>
    <t xml:space="preserve">Einkommensteuer-Rücklage</t>
  </si>
  <si>
    <t xml:space="preserve">variabel</t>
  </si>
  <si>
    <t xml:space="preserve">% vom Gewinn</t>
  </si>
  <si>
    <t xml:space="preserve">Im Raster: Grenzsteuersatz auf positive Monatsergebnisse, sofort zurückgelegt statt erst beim Bescheid. In der Einzelunternehmens-Phase ist das die korrekte Rechnung (gewerbliche Einkünfte oben auf das Gehalt).</t>
  </si>
  <si>
    <t xml:space="preserve">Einkommensteuer, keine Vorsteuer.</t>
  </si>
  <si>
    <t xml:space="preserve">Gewerbesteuer</t>
  </si>
  <si>
    <t xml:space="preserve">trifft im ganzen Horizont nicht zu: Freibetrag 24.500 € Gewerbeertrag für natürliche Personen (§ 11 GewStG), der Gewinn bleibt weit darunter. Ab UG-Gründung entfällt der Freibetrag — Teil der nicht simulierten UG-Besteuerung.</t>
  </si>
  <si>
    <t xml:space="preserve">Körperschaft- und Gewerbesteuer der UG</t>
  </si>
  <si>
    <t xml:space="preserve">nicht simuliert</t>
  </si>
  <si>
    <t xml:space="preserve">VORBEHALT, hängt am UG-Schalter: Für die Einzelunternehmens-Phase ist er gegenstandslos, das Raster rechnet dort korrekt. Ab dem UG-Monat gilt er unverändert: KSt 15 % + Soli + Gewerbesteuer auf Gesellschaftsebene, danach erst Geschäftsführergehalt oder Ausschüttung. Das ist eine Steuerberater-Rechnung, die ich nicht verbindlich aufstellen darf.</t>
  </si>
  <si>
    <t xml:space="preserve">nicht simuliert.</t>
  </si>
  <si>
    <t xml:space="preserve">Solidaritätszuschlag</t>
  </si>
  <si>
    <t xml:space="preserve">trifft nicht zu (Freigrenze nicht erreicht). Bei der UG fällt Soli auf die Körperschaftsteuer an.</t>
  </si>
  <si>
    <t xml:space="preserve">Umsatzsteuer / Vorsteuer</t>
  </si>
  <si>
    <t xml:space="preserve">Beide Varianten rechenbar. Die Preise sind netto und die Kunden Unternehmen — die Umsatzsteuer läuft durch, die Wirkung liegt allein im Vorsteuerabzug (Zeile unten). Die Kleinunternehmergrenze wird im Horizont nicht gerissen, s. Deckblatt.</t>
  </si>
  <si>
    <t xml:space="preserve">Schalterzeile, kein Betrag.</t>
  </si>
  <si>
    <t xml:space="preserve">Vorsteuer-Erstattung bei Regelbesteuerung (mindernd, Näherung)</t>
  </si>
  <si>
    <t xml:space="preserve">Im Raster als negative Kostenzeile: (laufende + einmalige Kosten) × vorsteuerfähiger Anteil × 19/119 × Schalter. Bei ausgeschaltetem Schalter 0.</t>
  </si>
  <si>
    <t xml:space="preserve">Ergebniszeile, wird unten gerechnet.</t>
  </si>
  <si>
    <t xml:space="preserve">E</t>
  </si>
  <si>
    <t xml:space="preserve">Supabase (2 Projekte, Pro-Tarif, flach)</t>
  </si>
  <si>
    <t xml:space="preserve">USD/Monat</t>
  </si>
  <si>
    <t xml:space="preserve">CoS-P-008 (Platform): 2 × 25 $ Pro-Tarif, 0 % Nutzungsaufschlag (DB 22 MB von 8 GB, Speicher 87 MB von 100 GB). Flach, wächst bis weit über den Horizont hinaus nicht mit der Kundenzahl. Der letzte Einzelbeleg lag bei 53,83 $, noch vor der Bereinigung der Extra-Projekte.</t>
  </si>
  <si>
    <t xml:space="preserve">Reverse Charge § 13b UStG: Supabase weist keine USt aus. Unter Regelbesteuerung angemeldet und im selben Zug gezogen — durchlaufend, Saldo null.</t>
  </si>
  <si>
    <t xml:space="preserve">Vercel (Pro-Seat)</t>
  </si>
  <si>
    <t xml:space="preserve">Stabil über vier Belege (Journal 2026-002/005/007/015), inkl. USt. Wächst mit Personal, nicht mit Kunden.</t>
  </si>
  <si>
    <t xml:space="preserve">Beleg brutto inkl. 19 % (Journal 2026-002/005/007/015, EU VAT EU056329113) — Vercel rechnet KEIN Reverse Charge ab.</t>
  </si>
  <si>
    <t xml:space="preserve">Anthropic — direkt (KI-Rollen, Entwicklung)</t>
  </si>
  <si>
    <t xml:space="preserve">Journal 2026-010 vom 17.08.2026. OFFEN, ob wiederkehrend oder einmaliger Nachkauf — hier vorsichtshalber monatlich (46 €/Monat Unterschied).</t>
  </si>
  <si>
    <t xml:space="preserve">Beleg brutto inkl. 19 % (Journal 2026-010, EU VAT IE4276970QH).</t>
  </si>
  <si>
    <t xml:space="preserve">Von Sandy als geschäftlich bestätigt (03.09.2026). Monatlich, automatische Verlängerung.</t>
  </si>
  <si>
    <t xml:space="preserve">Beleg brutto inkl. 19 % (Journal 2026-001/009, Apple Distribution International).</t>
  </si>
  <si>
    <t xml:space="preserve">Domain / IONOS (nur Sofortangebot-Anteil)</t>
  </si>
  <si>
    <t xml:space="preserve">2,50 €/Monat (IONOS Mail Basic 5) + 13,00 €/Jahr (Domain .app + Domain Guard) anteilig = 2,50 + 13/12. Fremde Domains auf denselben Rechnungen bleiben ausgeschlossen (Rechnungsjournal, Spalte 'Sofortangebot-Anteil').</t>
  </si>
  <si>
    <t xml:space="preserve">Beleg brutto inkl. 19 % (Journal 2026-011 bis -017, IONOS SE, USt-IdNr. DE815563912).</t>
  </si>
  <si>
    <t xml:space="preserve">Resend / Sentry / GitHub-Plan</t>
  </si>
  <si>
    <t xml:space="preserve">Aktuell 0 € (Free-Tier, keine Belege). Im Code bestätigt.</t>
  </si>
  <si>
    <t xml:space="preserve">Betrag 0.</t>
  </si>
  <si>
    <t xml:space="preserve">Resend Pro ab ~200 aktiven Betrieben</t>
  </si>
  <si>
    <t xml:space="preserve">trifft im Horizont nicht zu: selbst das optimistische Szenario erreicht keine 200 Betriebe (Schwelle aus CoS-P-008).</t>
  </si>
  <si>
    <t xml:space="preserve">OpenAI (Whisper + GPT-4o) — KI-Kosten je Angebot</t>
  </si>
  <si>
    <t xml:space="preserve">Cent/Angebot</t>
  </si>
  <si>
    <t xml:space="preserve">Im Raster: aktive Kunden × Angebote × 2,5 Cent. Bewusst nicht zusätzlich als Fixkosten — sonst Doppelzählung.</t>
  </si>
  <si>
    <t xml:space="preserve">variabel, laeuft im Raster ueber Plan-24M Spalte K (unveraendert). Die 2,5 Cent sind ein Netto-Listenpreis in USD — unter Regelbesteuerung damit bereits der richtige Kostenwert.</t>
  </si>
  <si>
    <t xml:space="preserve">Stripe-Transaktionsgebühren</t>
  </si>
  <si>
    <t xml:space="preserve">% + fix</t>
  </si>
  <si>
    <t xml:space="preserve">Im Raster je zahlendem Kunden und Monat: 1,5 % + 0,25 €.</t>
  </si>
  <si>
    <t xml:space="preserve">Zahlungsdienstleistung, steuerfrei nach § 4 Nr. 8 UStG — keine Vorsteuer.</t>
  </si>
  <si>
    <t xml:space="preserve">Objektspeicher Sprachaufnahmen / Fotos</t>
  </si>
  <si>
    <t xml:space="preserve">trifft im Horizont nicht zu: 87 MB von 100 GB inklusive. Vorbehalt Platform: der 30-Tage-Aufräumjob läuft noch nicht (CRON_SECRET) — auch linear wachsend bleibt es weit unter dem Limit.</t>
  </si>
  <si>
    <t xml:space="preserve">Apple Developer Program (native App)</t>
  </si>
  <si>
    <t xml:space="preserve">99 €/Jahr; native App ab Mitte 2027 fest eingeplant (docs/vision-strategie.md) = Monat 10.</t>
  </si>
  <si>
    <t xml:space="preserve">als NETTO angesetzt, bis der erste Beleg vorliegt: Apple stellt Entwicklern mit USt-IdNr. ohne deutsche USt. Sobald ein Beleg mit USt-Ausweis da ist, hier 19/119 eintragen.</t>
  </si>
  <si>
    <t xml:space="preserve">Google Play Console (Registrierung)</t>
  </si>
  <si>
    <t xml:space="preserve">USD einmalig</t>
  </si>
  <si>
    <t xml:space="preserve">25 $ einmalig. Im Katalog fehlten die Store-Gebühren neben Apple — ergänzt.</t>
  </si>
  <si>
    <t xml:space="preserve">als NETTO angesetzt, bis der erste Beleg vorliegt — wie Apple Developer.</t>
  </si>
  <si>
    <t xml:space="preserve">KI-Rollen-Ausbau nach Gate 1</t>
  </si>
  <si>
    <t xml:space="preserve">Das Team besteht aus KI-Rollen: jede neue Rolle erhöht die Anthropic-Kosten statt der Lohnkosten. Platzhalter +50 $/Monat, Höhe und Zeitpunkt offen.</t>
  </si>
  <si>
    <t xml:space="preserve">Platzhalter fuer zusaetzliche Anthropic-Kosten — wie Zeile 29 brutto inkl. 19 %.</t>
  </si>
  <si>
    <t xml:space="preserve">F</t>
  </si>
  <si>
    <t xml:space="preserve">Bezahltes Werbebudget</t>
  </si>
  <si>
    <t xml:space="preserve">trifft nicht zu — bewusste Festlegung (docs/vision-strategie.md). Der Kanalplan rechnet ausdrücklich ohne Werbebudget.</t>
  </si>
  <si>
    <t xml:space="preserve">Marketing-Sachkosten laut Kanalplan</t>
  </si>
  <si>
    <t xml:space="preserve">Monatsvektor</t>
  </si>
  <si>
    <t xml:space="preserve">€ Σ 24 M</t>
  </si>
  <si>
    <t xml:space="preserve">Zulieferung Marketing (gtm-kanalplan.xlsx, 'Sachkosten — gesamt'): Oktober 260 € (Flyer, Aufsteller, Anstecker), dann 10–20 €/Monat, ab April 2027 je 100 € pro kaltem Fachhandel-Laden. Summe 1.430 €. Werte je Monat rechts — Größenordnungen, keine Angebote.</t>
  </si>
  <si>
    <t xml:space="preserve">Groessenordnungen von Marketing, als NETTO angesetzt. Liegen spaeter Druckerei-Rechnungen brutto vor, hier 19/119 eintragen — das waeren rund 230 € Vorsteuer ueber 24 Monate.</t>
  </si>
  <si>
    <t xml:space="preserve">Social-Media- / Scheduling-Tools</t>
  </si>
  <si>
    <t xml:space="preserve">trifft nach Marketing-Einschätzung nicht zu: die kostenlosen Stufen sollten reichen.</t>
  </si>
  <si>
    <t xml:space="preserve">Domain- / Markenvarianten</t>
  </si>
  <si>
    <t xml:space="preserve">trifft nicht zu: die weiteren Domains auf den IONOS-Rechnungen gehören anderen Projekten.</t>
  </si>
  <si>
    <t xml:space="preserve">Arbeitszeit Sandy / Clemens / KI-Rollen</t>
  </si>
  <si>
    <t xml:space="preserve">kein Geldposten — aber der eigentliche Engpass. Als Stundenmodell auf 'Plan-Kunden' geführt.</t>
  </si>
  <si>
    <t xml:space="preserve">G</t>
  </si>
  <si>
    <t xml:space="preserve">Im Raster als Abzug vom Umsatz.</t>
  </si>
  <si>
    <t xml:space="preserve">Erloesminderung, keine Vorsteuer.</t>
  </si>
  <si>
    <t xml:space="preserve">Gründerpreis 29 € dauerhaft für die ersten 25</t>
  </si>
  <si>
    <t xml:space="preserve">Im Kundenmodell explizit abgebildet: die Gründerkohorte wird getrennt geführt, mit eigener, niedrigerer Abwanderungsrate. Frei werdende Gründerplätze werden NICHT neu vergeben — vorsichtig.</t>
  </si>
  <si>
    <t xml:space="preserve">Preiszeile, kein Kostenbetrag.</t>
  </si>
  <si>
    <t xml:space="preserve">Empfehlungs-Anreiz 'ein Kollege, ein Monat geschenkt'</t>
  </si>
  <si>
    <t xml:space="preserve">Marketing schlägt vor, Sandy entscheidet — Schalter, standardmäßig aus. Bei 1 kostet jede Empfehlungs-Neukundin einmalig 49 € Umsatz.</t>
  </si>
  <si>
    <t xml:space="preserve">H</t>
  </si>
  <si>
    <t xml:space="preserve">Netto-Bedarf, Krankenversicherung, Altersvorsorge, Übergangspuffer</t>
  </si>
  <si>
    <t xml:space="preserve">keine Betriebskosten — vollständig auf 'Plan-Phase B' als Stufenmodell gerechnet.</t>
  </si>
  <si>
    <t xml:space="preserve">Summe laufende Kosten Basis (€/Monat)</t>
  </si>
  <si>
    <t xml:space="preserve">Summe Einmalkosten Basis (€ im Monat)</t>
  </si>
  <si>
    <t xml:space="preserve">Summe Reserven Basis (€ im Monat)</t>
  </si>
  <si>
    <t xml:space="preserve">Vorsteuer-Erstattung bei Regelbesteuerung (mindernd) — je Zeile aus Spalte AL, nicht pauschal</t>
  </si>
  <si>
    <t xml:space="preserve">Laufende Kosten Basis nach Vorsteuer (€/Monat) — geht ins Raster</t>
  </si>
  <si>
    <t xml:space="preserve">UG-Block — wird je Szenario ab dem UG-Monat zugeschaltet</t>
  </si>
  <si>
    <t xml:space="preserve">€/Monat bzw. € einmalig</t>
  </si>
  <si>
    <t xml:space="preserve">Steuerberater-Mehrkosten UG gegenüber EÜR</t>
  </si>
  <si>
    <t xml:space="preserve">Geschäftskonto (bei der UG zwingend)</t>
  </si>
  <si>
    <t xml:space="preserve">IHK-Grundbeitrag (Gründerbefreiung gilt nicht)</t>
  </si>
  <si>
    <t xml:space="preserve">Notar + Handelsregister (einmalig)</t>
  </si>
  <si>
    <t xml:space="preserve">Eröffnungsbilanz (einmalig)</t>
  </si>
  <si>
    <t xml:space="preserve">Stammkapital (Reserve, kein Aufwand)</t>
  </si>
  <si>
    <t xml:space="preserve">UG-Mehrkosten laufend gesamt (€/Monat)</t>
  </si>
  <si>
    <t xml:space="preserve">UG-Einmalkosten gesamt (€ im UG-Monat)</t>
  </si>
  <si>
    <t xml:space="preserve">UG-Reserve (€ im UG-Monat, bleibt Vermögen)</t>
  </si>
  <si>
    <t xml:space="preserve">Warum der UG-Block separat steht: Der Zeitpunkt der UG-Gründung hängt an der Kundenzahl (rund 20 aktive Betriebe) und ist deshalb in jedem Szenario ein anderer Monat. Die Basiskosten oben gelten für alle Szenarien gleich; das Raster schaltet den UG-Block je Szenario ab dem Monat zu, in dem die Schwelle fällt. Beim Steuerberater wird nur die Differenz zugeschaltet (3.000 statt 800 €/Jahr), damit nichts doppelt zählt.</t>
  </si>
  <si>
    <t xml:space="preserve">Im Katalog A–H nicht enthalten und von mir ergänzt: Google-Play-Registrierung neben der Apple-Gebühr · Kontoführung des bei der UG zwingenden Geschäftskontos · Marketing-Sachkosten als Monatsvektor · die schaltbare Vorsteuer-Zeile. Als 'trifft nicht zu' geführt statt weggelassen: Werbebudget, Social-Tools, Cyber-Deckung, Rechtstexte-Abo, Objektspeicher, Resend Pro, Domainvarianten, Solidaritätszuschlag, Gewerbesteuer, IHK (Gründerbefreiung), individuelle Satzung. — NACHTRAG 17.09.2026 (Head of Finance): Die Vorsteuerzeile 60 rechnet seit heute je Kostenzeile ueber Spalte AL statt mit einer 60-%-Pauschale. Spalte AM sagt je Zeile, ob der eingetragene Betrag brutto oder netto gemeint ist — das ist die Angabe, an der die Pauschale gescheitert ist.</t>
  </si>
  <si>
    <t xml:space="preserve">Plan-24M — Monatsraster September 2026 bis August 2028, drei Szenarien</t>
  </si>
  <si>
    <t xml:space="preserve">Kundenzahlen kommen vom Blatt 'Plan-Kunden', Kosten vom Blatt 'Plan-Kosten'. Umsatz: Gründerkunden × 29 € + Standardkunden × 49 €, abzüglich Ausfall und Kulanz. Die Spalten 'UG-Mehrkosten' und 'UG-Einmalkosten' schalten sich in dem Monat zu, in dem das jeweilige Szenario rund 20 aktive Betriebe erreicht — der UG-Monat steht in der Kopfzeile jedes Szenarios. Steuerrücklage: Grenzsteuersatz auf positive Monatsergebnisse, sofort zurückgelegt. Liquidität = kumulierter Cashflow minus gebundene Reserven; ihr Tiefpunkt ist der Betrag, den Sandy vorstrecken muss.</t>
  </si>
  <si>
    <t xml:space="preserve">Liquiditäts-Tiefpunkt in Monat:</t>
  </si>
  <si>
    <t xml:space="preserve">UG-Gründung in Monat:</t>
  </si>
  <si>
    <t xml:space="preserve">Neukunden</t>
  </si>
  <si>
    <t xml:space="preserve">Kunden aktiv</t>
  </si>
  <si>
    <t xml:space="preserve">Kunden @29€</t>
  </si>
  <si>
    <t xml:space="preserve">Kunden @49€</t>
  </si>
  <si>
    <t xml:space="preserve">Umsatz netto</t>
  </si>
  <si>
    <t xml:space="preserve">Ausfall + Kulanz</t>
  </si>
  <si>
    <t xml:space="preserve">Stripe-Gebühren</t>
  </si>
  <si>
    <t xml:space="preserve">KI-Kosten</t>
  </si>
  <si>
    <t xml:space="preserve">Empfehlungs-Anreiz</t>
  </si>
  <si>
    <t xml:space="preserve">Laufende Kosten Basis</t>
  </si>
  <si>
    <t xml:space="preserve">UG-Mehrkosten laufend</t>
  </si>
  <si>
    <t xml:space="preserve">Einmalkosten Basis</t>
  </si>
  <si>
    <t xml:space="preserve">UG-Einmalkosten</t>
  </si>
  <si>
    <t xml:space="preserve">Kosten gesamt</t>
  </si>
  <si>
    <t xml:space="preserve">Ergebnis vor Steuer</t>
  </si>
  <si>
    <t xml:space="preserve">Steuerrücklage</t>
  </si>
  <si>
    <t xml:space="preserve">Cashflow nach Steuer</t>
  </si>
  <si>
    <t xml:space="preserve">kumuliert</t>
  </si>
  <si>
    <t xml:space="preserve">Reserven kumuliert</t>
  </si>
  <si>
    <t xml:space="preserve">Liquidität</t>
  </si>
  <si>
    <t xml:space="preserve">Ergebnis &gt; 0?</t>
  </si>
  <si>
    <t xml:space="preserve">über Dauerlinie?</t>
  </si>
  <si>
    <t xml:space="preserve">Kunden ≥ B1 (30 Std.)?</t>
  </si>
  <si>
    <t xml:space="preserve">Kunden ≥ B1 (25 Std.)?</t>
  </si>
  <si>
    <t xml:space="preserve">Kunden ≥ B2?</t>
  </si>
  <si>
    <t xml:space="preserve">Liquidität ≥ 0 nach Tiefpunkt?</t>
  </si>
  <si>
    <t xml:space="preserve">UG aktiv?</t>
  </si>
  <si>
    <t xml:space="preserve">Σ 24 Monate</t>
  </si>
  <si>
    <t xml:space="preserve">Plan-Phase B — der Ausstieg als Treppe, nicht als Sprung</t>
  </si>
  <si>
    <t xml:space="preserve">Drei Stufen: A = heute (40 Std., das Gehalt deckt den Bedarf) · B1 = Teilzeit (30 oder 25 Std., Sofortangebot schließt nur die LÜCKE zum reduzierten Netto, die Krankenversicherung bleibt beim Arbeitgeber) · B2 = Anstellung fällt ganz weg (volle 2.500 € netto plus alles, was der Arbeitgeber bisher getragen hat). Für B1 wird der zusätzliche Gewinn mit dem Grenzsteuersatz auf dem jeweils kleineren Gehalt versteuert, für B2 greift die Nachschlagetabelle unten. Gerechnet als Einzelunternehmen — in der Einzelunternehmens-Phase ist das die richtige Rechnung; ab einer UG-Gründung käme die Besteuerung der Gesellschaft dazwischen (Steuerberater).</t>
  </si>
  <si>
    <t xml:space="preserve">Die Stufen</t>
  </si>
  <si>
    <t xml:space="preserve">Stufe A — 40 Std. (heute)</t>
  </si>
  <si>
    <t xml:space="preserve">Stufe B1 — 30 Std.</t>
  </si>
  <si>
    <t xml:space="preserve">Stufe B1 — 25 Std.</t>
  </si>
  <si>
    <t xml:space="preserve">Stufe B2 — 0 Std.</t>
  </si>
  <si>
    <t xml:space="preserve">Wochenstunden in der Anstellung</t>
  </si>
  <si>
    <t xml:space="preserve">Bruttogehalt (Jahr)</t>
  </si>
  <si>
    <t xml:space="preserve">zu versteuerndes Einkommen aus dem Gehalt</t>
  </si>
  <si>
    <t xml:space="preserve">Einkommensteuer auf das Gehalt (Jahr)</t>
  </si>
  <si>
    <t xml:space="preserve">Nettogehalt pro Monat (Näherung)</t>
  </si>
  <si>
    <t xml:space="preserve">Lücke zu 2.500 € netto, die Sofortangebot schließen muss (pro Monat)</t>
  </si>
  <si>
    <t xml:space="preserve">Krankenversicherung</t>
  </si>
  <si>
    <t xml:space="preserve">Arbeitgeber</t>
  </si>
  <si>
    <t xml:space="preserve">selbst (voll)</t>
  </si>
  <si>
    <t xml:space="preserve">Grenzsteuersatz auf den Sofortangebot-Gewinn</t>
  </si>
  <si>
    <t xml:space="preserve">Nötiger Gewinn aus Sofortangebot (pro Monat, vor Steuer)</t>
  </si>
  <si>
    <t xml:space="preserve">Laufende Kosten Sofortangebot (€/Monat, Stand Monat 24)</t>
  </si>
  <si>
    <t xml:space="preserve">In den Spalten B1 und B2 sind die UG-Mehrkosten (210 €/Monat) enthalten: Jede Ausstiegsstufe verlangt mehr als 30 zahlende Betriebe und liegt damit weit über dem UG-Auslöser von rund 20 — an diesen Punkten gibt es die UG also bereits. Stufe A zeigt die heutige Kostenbasis ohne UG.</t>
  </si>
  <si>
    <t xml:space="preserve">Deckungsbeitrag je Gründerkunde (29 €, 8 Angebote, nach Ausfall/Kulanz)</t>
  </si>
  <si>
    <t xml:space="preserve">Deckungsbeitrag je Standardkunde (49 €, 8 Angebote, nach Ausfall/Kulanz)</t>
  </si>
  <si>
    <t xml:space="preserve">Nötiger Deckungsbeitrag pro Monat (Gewinn + laufende Kosten)</t>
  </si>
  <si>
    <t xml:space="preserve">Nötige zahlende Betriebe (25 Gründerpreis zuerst, Rest zu 49 €)</t>
  </si>
  <si>
    <t xml:space="preserve">Nötiger Umsatz pro Monat (netto)</t>
  </si>
  <si>
    <t xml:space="preserve">Zusätzlich frei werdende Zeit für Sofortangebot</t>
  </si>
  <si>
    <t xml:space="preserve">Kapazität gesamt (Dauerlinie + frei werdende Zeit)</t>
  </si>
  <si>
    <t xml:space="preserve">Stufe B1 ist der eigentliche Hebel: Weil das Teilzeitgehalt weiterläuft und die Krankenversicherung beim Arbeitgeber bleibt, muss Sofortangebot nur die Lücke schließen — ein Bruchteil dessen, was für B2 nötig wäre. Zusätzlich setzt jede Stufe Zeit frei (43 bzw. 65 Stunden im Monat), und daran hängt das weitere Wachstum.</t>
  </si>
  <si>
    <t xml:space="preserve">Antragsfristen: Ein Teilzeitantrag muss mindestens drei Monate vorher schriftlich gestellt werden (§ 8 bzw. § 9a TzBfG). Der Antragsmonat steht im Deckblatt drei Monate vor dem Monat, in dem B1 finanziell trägt. Zwei Wege: § 8 unbefristete Teilzeit (kein Rückkehrrecht) und § 9a Brückenteilzeit (ab 45 Beschäftigten, 1–5 Jahre, danach automatische Rückkehr — eine Absicherung, falls B1 nicht trägt, mit einem Mindestjahr, das den frühesten B2-Zeitpunkt beeinflusst). Die Wahl ist Sandys Entscheidung. Rechtsstand vom Chief of Staff nachgesehen, keine Rechtsberatung.</t>
  </si>
  <si>
    <t xml:space="preserve">Zusätzlich empfohlen und bewusst nicht im Raster: ein privates Polster von drei bis sechs Monatsbedarfen vor dem Schritt nach B2 (Katalog H). Das ist keine Betriebsausgabe.</t>
  </si>
  <si>
    <t xml:space="preserve">Nachschlagetabelle für Stufe B2: Jahresgewinn → Netto (Einkommensteuer 2026, KV/PV 2026)</t>
  </si>
  <si>
    <t xml:space="preserve">Jahresgewinn vor Steuern</t>
  </si>
  <si>
    <t xml:space="preserve">KV + PV (Jahr)</t>
  </si>
  <si>
    <t xml:space="preserve">zvE ohne Altersvorsorge</t>
  </si>
  <si>
    <t xml:space="preserve">Einkommensteuer</t>
  </si>
  <si>
    <t xml:space="preserve">Netto (Untergrenze)</t>
  </si>
  <si>
    <t xml:space="preserve">zvE mit Altersvorsorge</t>
  </si>
  <si>
    <t xml:space="preserve">Einkommensteuer mit AV</t>
  </si>
  <si>
    <t xml:space="preserve">Netto nach Altersvorsorge</t>
  </si>
  <si>
    <t xml:space="preserve">Tabelle in 1.000-€-Schritten: KV/PV auf den Gewinn (Mindest- und Höchstbemessung 2026), zu versteuerndes Einkommen = Gewinn − KV/PV (− Altersvorsorge) − 36 € Pauschbetrag, Einkommensteuer nach § 32a EStG 2026, Netto = Gewinn − KV/PV − Steuer. Vereinfachungen: KV/PV und Basis-Altersvorsorge voll abzugsfähig, kein Solidaritätszuschlag, keine Kirchensteuer, keine Gewerbesteuer (Freibetrag).</t>
  </si>
  <si>
    <t xml:space="preserve">Legende &amp; Anleitung — Kostenübersicht Sofortangebot</t>
  </si>
  <si>
    <t xml:space="preserve">Warum diese Struktur (für Sandy, in einfach)</t>
  </si>
  <si>
    <t xml:space="preserve">Diese Datei ist so aufgebaut, dass sie später direkt an einen Steuerberater übergeben werden kann, ohne dass jemand alles neu zusammensuchen muss: jede Rechnung einzeln mit Rechnungs-nummer, Netto-/USt-/Brutto-Betrag, steuerlicher Einordnung und Verweis auf die Original-Datei im Rechnungen-Ordner. Wichtig: Ich bin kein Steuerberater — ich bereite die Zahlen sauber auf, die steuerliche Bewertung (z. B. Reverse Charge, Kleinunternehmer-Status, Vorsteuerabzug) muss ein echter Steuerberater bestätigen.</t>
  </si>
  <si>
    <t xml:space="preserve">Farben</t>
  </si>
  <si>
    <t xml:space="preserve">Blaue Schrift = Wert direkt aus einem Beleg übernommen.</t>
  </si>
  <si>
    <t xml:space="preserve">Grüne Schrift = Formel/Verweis auf ein anderes Feld oder Blatt.</t>
  </si>
  <si>
    <t xml:space="preserve">Orange Füllung = Betrag/Angabe liegt vor, aber es gibt eine Auffälligkeit, die Sandy klären muss.</t>
  </si>
  <si>
    <t xml:space="preserve">Gelbe Füllung = noch offen / noch kein Wert eingetragen (z. B. fehlender Monat, noch nicht aufgefundener Beleg).</t>
  </si>
  <si>
    <t xml:space="preserve">Graue Füllung = Dienst bekannt, aber noch gar kein Beleg gefunden.</t>
  </si>
  <si>
    <t xml:space="preserve">Blätter in dieser Datei</t>
  </si>
  <si>
    <t xml:space="preserve">1) Kostenübersicht — ein Dienst pro Zeile: aktuellster Betrag, Rhythmus, USt-Behandlung, Status.</t>
  </si>
  <si>
    <t xml:space="preserve">2) Rechnungsjournal — die eigentliche Beleg-Ebene: eine Zeile pro Rechnung, mit allem, was für die Buchhaltung zählt (Rechnungsnummer, Leistungszeitraum, Netto/USt/Brutto, Reverse-Charge-Kennzeichnung, Zahlungsart, Verweis auf die Beleg-Datei im Ordner). Neue Belege bitte als neue Zeile anhängen, nie bestehende Zeilen überschreiben (Nachvollziehbarkeit/GoBD-Grundsatz). Seit 2026-09-02 zusätzlich Spalte 'Sofortangebot-Anteil (Brutto)': bei Rechnungen, die mehrere Domains/Projekte bündeln (aktuell nur die IONOS-Domainrechnungen), steht in 'Brutto-Betrag' weiterhin die volle Original-Rechnungssumme (GoBD-Vollständigkeit), aber in 'Sofortangebot-Anteil' nur der Teil, der tatsächlich zu Sofortangebot gehört. Monatsverlauf rechnet mit dem Anteil, nicht mit dem vollen Brutto-Betrag.</t>
  </si>
  <si>
    <t xml:space="preserve">3) Monatsverlauf — zieht die Beträge per Formel automatisch aus dem Rechnungsjournal (nach Monat, Dienst, Währung). Aktualisiert sich von selbst, sobald neue Journal-Zeilen dazukommen.</t>
  </si>
  <si>
    <t xml:space="preserve">4) Plan-Deckblatt — der Finanzplan auf einer Seite: ab wann trägt es sich, wie viel muss Sandy vorstrecken, wann wird aus dem Einzelunternehmen eine UG, ab wann kann sie reduzieren und ganz aufhören — je Szenario, mit Vorher/Nachher gegenüber der ersten Planfassung. Alles Weitere ist Beleg.</t>
  </si>
  <si>
    <t xml:space="preserve">5) Plan-Annahmen — alle Eingaben des Finanzplans an einer Stelle. Gelb = hier ändern, nirgends sonst. Enthält Sandys Netto-Bedarf und Zeitbudget, das (noch anzupassende) Bruttogehalt, Preise und Stückkosten mit der Deckungsbeitragsrechnung, Abwanderungsraten, Mundpropaganda-Parameter, den UG-Auslöser, die Ausstiegsstufen sowie die Steuer- und Krankenversicherungswerte 2026.</t>
  </si>
  <si>
    <t xml:space="preserve">6) Plan-Kunden — das Kundenmodell: Neukunden je Monat aus dem Kanalplan von Head of Marketing (docs/gtm-kanalplan.xlsx), zusätzlich Mundpropaganda aus der aktiven Kundenbasis, abzüglich Abwanderung (Gründer- und Standardkunden getrennt). Rechts das Zeitbudget: Vertrieb, Support, Onboarding und Grundlast gegen Sandys zwei Kapazitätslinien.</t>
  </si>
  <si>
    <t xml:space="preserve">7) Plan-Kosten — der Vollständigkeits-Katalog A–H des Chief of Staff: Gründung, Recht, Versicherungen, Steuern/Buchhaltung, Technik, Marketing, Kundenrisiken, Privatseite. Auch Posten, die nicht zutreffen, stehen drin — mit Begründung, damit kein Kästchen leer bleibt. Rechts eine Monatsmatrix 1–24, die das Raster speist; unten der UG-Block, der erst ab der UG-Gründung zugeschaltet wird.</t>
  </si>
  <si>
    <t xml:space="preserve">8) Plan-24M — Monatsraster September 2026 bis August 2028, drei Szenarien: Kunden, Umsatz, Kosten, Ergebnis, Steuerrücklage und Liquidität Monat für Monat.</t>
  </si>
  <si>
    <t xml:space="preserve">9) Plan-Phase B — der Ausstieg aus der Anstellung als Treppe: Stufe A (40 Std.), Stufe B1 (30 bzw. 25 Std. — Sofortangebot schließt nur die Lücke, die Krankenversicherung bleibt beim Arbeitgeber) und Stufe B2 (Anstellung fällt ganz weg). Je Stufe: nötige Betriebe und nötiger Umsatz.</t>
  </si>
  <si>
    <t xml:space="preserve">10) Diese Seite.</t>
  </si>
  <si>
    <t xml:space="preserve">Der Finanzplan (CoS-F-003, Fassung 2 vom 03.09.2026)</t>
  </si>
  <si>
    <t xml:space="preserve">24-Monats-Finanzplan (September 2026 bis August 2028) auf Basis derselben Preise und laufenden Kosten wie der Rest der Datei — bewusst keine zweite Zahlenwelt. Die Kundenzahlen kommen aus dem Kanalplan von Head of Marketing (CoS-M-007), die Kostenliste aus dem Vollständigkeits-Katalog des Chief of Staff, das Zeitbudget aus Sandys eigener Angabe (15–20 Std./Woche). Drei Dinge, die man beim Lesen wissen sollte. Erstens die Rechtsform: Sandy hat am Abend des 03.09.2026 entschieden, als Einzelunternehmen (Kleingewerbe, §19 UStG) ab Oktober 2026 zu starten und die UG erst bei rund 20 zahlenden Betrieben zu gründen — der UG-Schalter hängt deshalb an der Kundenzahl, nicht an einem Datum, und springt in jedem Szenario in einem anderen Monat an. Zweitens: Die 17 Belege aus Mai bis August 2026 sind Privatausgaben und NICHT Teil der Kostenbasis des Plans; sie bleiben im Rechnungsjournal als Historie stehen, Sandy nimmt den Anmeldetag als Startdatum. Drittens die Steuer: Für die Einzelunternehmens-Phase rechnet der Plan korrekt (Gewinn als gewerbliche Einkünfte oben auf Sandys Gehalt). Ab dem UG-Monat gilt ein Vorbehalt — Körperschaft- und Gewerbesteuer auf Gesellschaftsebene und danach Gehalt oder Ausschüttung sind eine Steuerberater-Rechnung, die ich nicht verbindlich aufstellen darf. Ansonsten durchgehend vorsichtig gerechnet: keine Verlustverrechnung mit dem Gehalt, kein Vorsteuerabzug ohne Regelbesteuerung, frei werdende Gründerplätze werden nicht neu vergeben, Steuer sofort zurückgelegt. Die frühere Fassung (UG ab Monat 1) und die beiden CoS-F-002-Blätter wurden auf Sandys Wunsch ersetzt statt danebengestellt — eine Datei, ein Plan. Die Begründung, was sich warum geändert hat, steht in docs/chief-of-staff-finance-todos.md.</t>
  </si>
  <si>
    <t xml:space="preserve">CoS-F-002 — Marge &amp; Tragfähigkeit (03.09.2026)</t>
  </si>
  <si>
    <t xml:space="preserve">Auftrag von Chief of Staff, ausgelöst durch Sandys Preisentscheidung (docs/preismodell.md, ✅ entschieden 03.09.2026): Kosten pro Angebot, Deckungsbeitrag bei 49€/29€ (inkl. Vielnutzer-Fall), Break-even-Kundenzahl und Zeitpunkt der Kleinunternehmergrenze durchrechnen — vor einem Steuerberater-Gespräch. Ausdrücklich NICHT Teil des Auftrags: eine Preisempfehlung — der Preis ist entschieden, ein ungünstiges Ergebnis wäre ein Befund zum Zurückmelden, keine Aufforderung, den Preis zu ändern. Auf ausdrückliche Vorgabe von Chief of Staff wird der konservative KI-Kosten-Wert (2,5 Cent/Angebot) verwendet, nicht der gemessene Wert (2,2 Cent). Fundstellen-Hinweis: docs/ki-kosten-messung.md wird an drei Stellen in den Koordinationsdateien als fertige Messung referenziert, existiert aber nirgends im Repository (weder committed noch als unversionierte Datei) — die Kernzahlen liegen glücklicherweise wortgleich auch direkt in chief-of-staff-finance-todos.md vor, wurden von dort übernommen, die Analyse musste dadurch nicht blockiert werden. Details, Annahmen und Quellen: Blätter 'Marge &amp; Tragfähigkeit' und 'Kleinunternehmergrenze'.</t>
  </si>
  <si>
    <t xml:space="preserve">Stand zur Gewerbeanmeldung / USt-Status (aktualisiert 17.09.2026)</t>
  </si>
  <si>
    <t xml:space="preserve">Sandy hat noch KEIN Gewerbe angemeldet; geplant ist die Anmeldung in KW 41 (nach der Italienreise 18.–25.09.2026). Umsatzsteuerlich gilt ab dann NICHT mehr § 19: Sandy hat am 17.09.2026 den freiwilligen Verzicht auf die Kleinunternehmerregelung gewaehlt (§ 19 Abs. 2 UStG, Bindung fuenf Jahre, Heimat der Entscheidung: docs/preismodell.md). Erklaert wird der Verzicht im Fragebogen zur steuerlichen Erfassung — vorher ist nichts beim Finanzamt. Alle bisherigen Belege stammen aus der Zeit vor der Gruendung; sie bleiben als vorweggenommene Betriebsausgaben ansetzbar, der Vorsteuerabzug daraus ist eine Frage fuer das Steuerberater-Erstgespraech.</t>
  </si>
  <si>
    <t xml:space="preserve">Auffälligkeiten aus den bisherigen 17 Belegen (Stand 2026-09-02) — bitte von Sandy klären</t>
  </si>
  <si>
    <t xml:space="preserve">• Supabase: Kosten seit Mai gestiegen ($25,00 → $49,97 → $54,30), im August leicht gesunken auf $53,83. Weiterhin 5 verschiedene Projekt-Referenzen in älteren Belegen, dokumentiert sind nur 2 (Staging + Produktion) — im August-Beleg (MVGOOM-00007) taucht eine der 5 Referenzen ('ytvysmwepajatcdhkgup') erstmals nicht mehr auf. Werden die verbleibenden 4 alle gebraucht?</t>
  </si>
  <si>
    <t xml:space="preserve">• Zwei offenbar getrennte Claude-Positionen: direkte Anthropic-Rechnung (Geschäftsadresse) UND Claude-Pro-Abo über Apple/iTunes (22 €/Monat, andere Adresse, PayPal). Geschäftlich oder privat?</t>
  </si>
  <si>
    <t xml:space="preserve">• Claude-Pro-Apple-Abo: Belege für Juni und Juli fehlen weiterhin (nur Mai und August vorhanden) — bitte in der Apple-Kaufhistorie nachsehen und ergänzen, damit der Monatsverlauf vollständig ist.</t>
  </si>
  <si>
    <t xml:space="preserve">• Zwei unterschiedliche Adressen für Sandra Holm (Wielandstraße 11 vs. Krampasplatz 4b) — vermutlich alt/neu, bitte kurz bestätigen.</t>
  </si>
  <si>
    <t xml:space="preserve">• Genaues Datum der geplanten Gewerbeanmeldung? Hilft bei der sauberen Abgrenzung, welche Belege als vorweggenommene Betriebsausgaben zählen. Zusätzlich jetzt relevant: Sandy erwägt statt/neben dem Kleingewerbe eine UG (haftungsbeschränkt) — betrifft auch die Buchführungspflichten, siehe Update im Koordinations-Dokument.</t>
  </si>
  <si>
    <t xml:space="preserve">• ERLEDIGT 17.09.2026 (Head of Finance): Supabase-Reverse-Charge-Rechnungen bei § 19 UStG — Sandy schuldet die 19 % deutsche USt selbst (§ 13b Abs. 2 Nr. 1 i. V. m. Abs. 5 UStG); § 19 schützt nur die eigenen Verkäufe, ein Vorsteuerabzug besteht nicht (§ 19 Abs. 1 i. V. m. § 15 UStG). Es sind also echte Kosten. Bisher aufgelaufen: 34,79 USD auf 183,10 USD Netto (Belege 2026-003/006/008/016), laufend rund 10 USD je Monat. Voranmeldung für die betroffenen Zeiträume nach § 18 Abs. 4a UStG. Nur noch für den Steuerberater: ab wann die Unternehmereigenschaft bestand (Vorbereitungshandlungen ab Mai 2026) und wie das über den Fragebogen zur steuerlichen Erfassung nach der Gewerbeanmeldung (KW 41) nachgeholt wird. Herleitung und Quellen im Eintrag vom 17.09.2026 in docs/chief-of-staff-finance-todos.md. Ergänzt 17.09.2026: in Euro sind das 30,17 € Umsatzsteuer auf 158,79 € Netto (Umrechnung zu den amtlichen BMF-Monatskursen, siehe Kurstabelle im Blatt Rechnungsjournal); laufend rund 8,80 € im Monat.</t>
  </si>
  <si>
    <t xml:space="preserve">• IONOS-Domainrechnungen (Vertragsnummer 111811442) bündeln mehrere Domains — nur sofortangebot.app zählt für Sofortangebot (siehe Journal 2026-011 bis 2026-017 und Spalte 'Sofortangebot-Anteil'). Geklärt (Sandy, 02.09.2026): 'Domain Guard' (1,00 €, Privatsphärenschutz) und 'IONOS Mail Basic 5' (2,50 €/Monat) gehören beide zu sofortangebot.app — entsprechend im Anteil berücksichtigt. Die übrigen, klar fremden Domains auf denselben Rechnungen bleiben weiterhin ausgeschlossen.</t>
  </si>
  <si>
    <t xml:space="preserve">• Noch keine Belege gefunden für: Resend, Sentry, GitHub-Plan.</t>
  </si>
  <si>
    <t xml:space="preserve">• Anthropic-Direktrechnung: einmaliger Nachkauf oder wiederkehrender Posten?</t>
  </si>
  <si>
    <t xml:space="preserve">• ERLEDIGT 17.09.2026 (Head of Finance): EUR-Umrechnung der USD-Rechnungen. Es braucht dafür keine Entscheidung des Steuerberaters — § 16 Abs. 6 UStG schreibt die vom BMF monatlich veröffentlichten Durchschnittskurse zwingend vor. Maßgeblich ist der Monat des Rechnungsdatums. Kurse 2026 (USD je 1 EUR): Mai 1,1673 · Juni 1,1518 · Juli 1,1417 · August 1,1593 (BMF-Schreiben vom 01.09.2026, Gz. III C 3 - S 7329/00014/008/112). Spalte 'Betrag EUR' im Journal ist gefüllt und rechnet über die Kurstabelle unter der Journaltabelle; ein neuer Monat wird dort eingetragen, nicht in jede Zeile. Für die Einnahmenüberschussrechnung wird derselbe Kurs verwendet, damit nur eine Methode im Haus ist.</t>
  </si>
  <si>
    <t xml:space="preserve">• ERLEDIGT 17.09.2026 (Head of Finance): Die 19 % Reverse-Charge-Steuer auf die Supabase-Rechnungen (rund 10 USD/Monat) waeren nur unter § 19 UStG echte Kosten gewesen. Mit der Entscheidung fuer die Regelbesteuerung (17.09.2026, docs/preismodell.md) sind sie durchlaufend: angemeldet und im selben Zug als Vorsteuer gezogen, Saldo null. Im Finanzplan steht die Supabase-Zeile deshalb mit Vorsteueranteil 0 (Plan-Kosten, Spalte AL).</t>
  </si>
  <si>
    <t xml:space="preserve">• NEU 17.09.2026 (Head of Finance): Beleg 2026-018, DIN Media GmbH, 54,00 € brutto (50,47 € netto + 3,53 € USt zu 7 %) — die erste echte E-Rechnung im Eingang (ZUGFeRD/Factur-X EXTENDED). Einmalige Anschaffung, deshalb NUR im Rechnungsjournal und NICHT in Kostenuebersicht-Monatsbetrag oder Monatsverlauf: beide fuehren ausschliesslich laufende Kosten. Wer die Gesamtausgaben 2026 braucht, summiert das Rechnungsjournal, nicht die Kostenuebersicht. Unter Regelbesteuerung (Entscheidung F-006 = B) sind die 3,53 € Vorsteuer.</t>
  </si>
  <si>
    <t xml:space="preserve">Hinweis: Diese Datei liegt unter docs/kostenuebersicht-finance.xlsx im Repo und wird von Head of Finance gepflegt. Fortschritt/Rückfragen laufen über docs/chief-of-staff-finance-todos.md (CoS-F-001). Original-Belege liegen unverändert im Ordner 'Rechnungen' auf Sandys Rechner.</t>
  </si>
</sst>
</file>

<file path=xl/styles.xml><?xml version="1.0" encoding="utf-8"?>
<styleSheet xmlns="http://schemas.openxmlformats.org/spreadsheetml/2006/main">
  <numFmts count="11">
    <numFmt numFmtId="164" formatCode="General"/>
    <numFmt numFmtId="165" formatCode="#,##0.00&quot; $&quot;;\(#,##0.00&quot; $)&quot;"/>
    <numFmt numFmtId="166" formatCode="#,##0.00&quot; €&quot;;\(#,##0.00&quot; €)&quot;"/>
    <numFmt numFmtId="167" formatCode="#,##0.00"/>
    <numFmt numFmtId="168" formatCode="dd\.mm\.yyyy"/>
    <numFmt numFmtId="169" formatCode="0%"/>
    <numFmt numFmtId="170" formatCode="0.0000"/>
    <numFmt numFmtId="171" formatCode="#,##0.0"/>
    <numFmt numFmtId="172" formatCode="0.0%"/>
    <numFmt numFmtId="173" formatCode="mmm\ yyyy"/>
    <numFmt numFmtId="174" formatCode="#,##0"/>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666666"/>
      <name val="Arial"/>
      <family val="0"/>
      <charset val="1"/>
    </font>
    <font>
      <b val="true"/>
      <sz val="11"/>
      <color rgb="FFFFFFFF"/>
      <name val="Arial"/>
      <family val="0"/>
      <charset val="1"/>
    </font>
    <font>
      <sz val="11"/>
      <color rgb="FF000000"/>
      <name val="Arial"/>
      <family val="0"/>
      <charset val="1"/>
    </font>
    <font>
      <sz val="11"/>
      <color rgb="FF0000FF"/>
      <name val="Arial"/>
      <family val="0"/>
      <charset val="1"/>
    </font>
    <font>
      <b val="true"/>
      <sz val="11"/>
      <color rgb="FFCC0000"/>
      <name val="Arial"/>
      <family val="0"/>
      <charset val="1"/>
    </font>
    <font>
      <b val="true"/>
      <sz val="11"/>
      <name val="Arial"/>
      <family val="0"/>
      <charset val="1"/>
    </font>
    <font>
      <sz val="10"/>
      <name val="Arial"/>
      <family val="2"/>
    </font>
    <font>
      <sz val="11"/>
      <color rgb="FF008000"/>
      <name val="Arial"/>
      <family val="0"/>
      <charset val="1"/>
    </font>
    <font>
      <b val="true"/>
      <sz val="11"/>
      <color rgb="FF1F4E78"/>
      <name val="Cambria"/>
      <family val="0"/>
      <charset val="1"/>
    </font>
    <font>
      <b val="true"/>
      <sz val="11"/>
      <name val="Cambria"/>
      <family val="0"/>
      <charset val="1"/>
    </font>
    <font>
      <sz val="11"/>
      <color rgb="FF0000FF"/>
      <name val="Cambria"/>
      <family val="0"/>
      <charset val="1"/>
    </font>
    <font>
      <b val="true"/>
      <sz val="14"/>
      <color rgb="FF000000"/>
      <name val="Arial"/>
      <family val="0"/>
      <charset val="1"/>
    </font>
    <font>
      <b val="true"/>
      <sz val="11"/>
      <color rgb="FF000000"/>
      <name val="Arial"/>
      <family val="0"/>
      <charset val="1"/>
    </font>
    <font>
      <i val="true"/>
      <sz val="11"/>
      <color rgb="FF000000"/>
      <name val="Arial"/>
      <family val="0"/>
      <charset val="1"/>
    </font>
  </fonts>
  <fills count="7">
    <fill>
      <patternFill patternType="none"/>
    </fill>
    <fill>
      <patternFill patternType="gray125"/>
    </fill>
    <fill>
      <patternFill patternType="solid">
        <fgColor rgb="FF1F4E78"/>
        <bgColor rgb="FF003366"/>
      </patternFill>
    </fill>
    <fill>
      <patternFill patternType="solid">
        <fgColor rgb="FFFFD966"/>
        <bgColor rgb="FFFFFF99"/>
      </patternFill>
    </fill>
    <fill>
      <patternFill patternType="solid">
        <fgColor rgb="FFF2F2F2"/>
        <bgColor rgb="FFFFFFFF"/>
      </patternFill>
    </fill>
    <fill>
      <patternFill patternType="solid">
        <fgColor rgb="FFD9E1F2"/>
        <bgColor rgb="FFF2F2F2"/>
      </patternFill>
    </fill>
    <fill>
      <patternFill patternType="solid">
        <fgColor rgb="FFFFFF00"/>
        <bgColor rgb="FFFFFF00"/>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8"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8" fillId="3" borderId="1" xfId="0" applyFont="true" applyBorder="true" applyAlignment="true" applyProtection="false">
      <alignment horizontal="general" vertical="top" textRotation="0" wrapText="true" indent="0" shrinkToFit="false"/>
      <protection locked="true" hidden="false"/>
    </xf>
    <xf numFmtId="167" fontId="8" fillId="4"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true" applyProtection="false">
      <alignment horizontal="general" vertical="bottom" textRotation="0" wrapText="false" indent="0" shrinkToFit="false"/>
      <protection locked="true" hidden="false"/>
    </xf>
    <xf numFmtId="164" fontId="0" fillId="5" borderId="1" xfId="0" applyFont="false" applyBorder="true" applyAlignment="true" applyProtection="false">
      <alignment horizontal="general" vertical="bottom" textRotation="0" wrapText="false" indent="0" shrinkToFit="false"/>
      <protection locked="true" hidden="false"/>
    </xf>
    <xf numFmtId="165" fontId="10" fillId="5" borderId="1" xfId="0" applyFont="true" applyBorder="true" applyAlignment="true" applyProtection="false">
      <alignment horizontal="general" vertical="bottom" textRotation="0" wrapText="false" indent="0" shrinkToFit="false"/>
      <protection locked="true" hidden="false"/>
    </xf>
    <xf numFmtId="166" fontId="10" fillId="5" borderId="1"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4" fontId="14" fillId="0" borderId="1" xfId="0" applyFont="true" applyBorder="true" applyAlignment="true" applyProtection="false">
      <alignment horizontal="general" vertical="bottom" textRotation="0" wrapText="false" indent="0" shrinkToFit="false"/>
      <protection locked="true" hidden="false"/>
    </xf>
    <xf numFmtId="170" fontId="15"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5" fontId="10" fillId="0" borderId="1" xfId="0" applyFont="true" applyBorder="true" applyAlignment="true" applyProtection="false">
      <alignment horizontal="general" vertical="bottom" textRotation="0" wrapText="false" indent="0" shrinkToFit="false"/>
      <protection locked="true" hidden="false"/>
    </xf>
    <xf numFmtId="166" fontId="0" fillId="0" borderId="1" xfId="0" applyFont="false" applyBorder="true" applyAlignment="true" applyProtection="false">
      <alignment horizontal="general" vertical="bottom" textRotation="0" wrapText="false" indent="0" shrinkToFit="false"/>
      <protection locked="true" hidden="false"/>
    </xf>
    <xf numFmtId="166" fontId="10" fillId="0" borderId="1" xfId="0" applyFont="true" applyBorder="true" applyAlignment="true" applyProtection="false">
      <alignment horizontal="general" vertical="bottom" textRotation="0" wrapText="false" indent="0" shrinkToFit="false"/>
      <protection locked="true" hidden="false"/>
    </xf>
    <xf numFmtId="164" fontId="0" fillId="4" borderId="1" xfId="0" applyFont="fals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0" fillId="5"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71" fontId="12" fillId="0" borderId="1" xfId="0" applyFont="true" applyBorder="true" applyAlignment="true" applyProtection="false">
      <alignment horizontal="right" vertical="bottom" textRotation="0" wrapText="false" indent="0" shrinkToFit="false"/>
      <protection locked="true" hidden="false"/>
    </xf>
    <xf numFmtId="172" fontId="12" fillId="0" borderId="1" xfId="0" applyFont="true" applyBorder="true" applyAlignment="true" applyProtection="false">
      <alignment horizontal="right" vertical="bottom" textRotation="0" wrapText="false" indent="0" shrinkToFit="false"/>
      <protection locked="true" hidden="false"/>
    </xf>
    <xf numFmtId="171" fontId="10" fillId="5" borderId="1" xfId="0" applyFont="true" applyBorder="true" applyAlignment="true" applyProtection="false">
      <alignment horizontal="right"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7" fontId="10" fillId="5" borderId="1" xfId="0" applyFont="true" applyBorder="true" applyAlignment="true" applyProtection="false">
      <alignment horizontal="right"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right" vertical="bottom" textRotation="0" wrapText="false" indent="0" shrinkToFit="false"/>
      <protection locked="true" hidden="false"/>
    </xf>
    <xf numFmtId="173" fontId="12" fillId="0" borderId="1" xfId="0" applyFont="true" applyBorder="true" applyAlignment="true" applyProtection="false">
      <alignment horizontal="right" vertical="bottom" textRotation="0" wrapText="false" indent="0" shrinkToFit="false"/>
      <protection locked="true" hidden="false"/>
    </xf>
    <xf numFmtId="166" fontId="12" fillId="0" borderId="1" xfId="0" applyFont="true" applyBorder="true" applyAlignment="true" applyProtection="false">
      <alignment horizontal="right" vertical="bottom" textRotation="0" wrapText="false" indent="0" shrinkToFit="false"/>
      <protection locked="true" hidden="false"/>
    </xf>
    <xf numFmtId="166" fontId="10" fillId="5" borderId="1" xfId="0" applyFont="true" applyBorder="true" applyAlignment="true" applyProtection="false">
      <alignment horizontal="right" vertical="bottom" textRotation="0" wrapText="false" indent="0" shrinkToFit="false"/>
      <protection locked="true" hidden="false"/>
    </xf>
    <xf numFmtId="166" fontId="8" fillId="0" borderId="1" xfId="0" applyFont="true" applyBorder="true" applyAlignment="true" applyProtection="false">
      <alignment horizontal="right" vertical="bottom" textRotation="0" wrapText="false" indent="0" shrinkToFit="false"/>
      <protection locked="true" hidden="false"/>
    </xf>
    <xf numFmtId="167" fontId="12" fillId="0" borderId="1" xfId="0" applyFont="true" applyBorder="true" applyAlignment="true" applyProtection="false">
      <alignment horizontal="right"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74" fontId="10" fillId="5" borderId="1" xfId="0" applyFont="true" applyBorder="true" applyAlignment="true" applyProtection="false">
      <alignment horizontal="general" vertical="bottom" textRotation="0" wrapText="false" indent="0" shrinkToFit="false"/>
      <protection locked="true" hidden="false"/>
    </xf>
    <xf numFmtId="174" fontId="8" fillId="5" borderId="1" xfId="0" applyFont="true" applyBorder="true" applyAlignment="true" applyProtection="false">
      <alignment horizontal="general" vertical="bottom" textRotation="0" wrapText="false" indent="0" shrinkToFit="false"/>
      <protection locked="true" hidden="false"/>
    </xf>
    <xf numFmtId="174" fontId="10" fillId="5" borderId="1" xfId="0" applyFont="true" applyBorder="true" applyAlignment="true" applyProtection="false">
      <alignment horizontal="right" vertical="bottom" textRotation="0" wrapText="false" indent="0" shrinkToFit="false"/>
      <protection locked="true" hidden="false"/>
    </xf>
    <xf numFmtId="173" fontId="8" fillId="6" borderId="1" xfId="0" applyFont="true" applyBorder="true" applyAlignment="tru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67" fontId="8" fillId="6" borderId="1" xfId="0" applyFont="true" applyBorder="true" applyAlignment="true" applyProtection="false">
      <alignment horizontal="general" vertical="bottom" textRotation="0" wrapText="false" indent="0" shrinkToFit="false"/>
      <protection locked="true" hidden="false"/>
    </xf>
    <xf numFmtId="172" fontId="8" fillId="6" borderId="1" xfId="0" applyFont="true" applyBorder="true" applyAlignment="true" applyProtection="false">
      <alignment horizontal="general" vertical="bottom" textRotation="0" wrapText="false" indent="0" shrinkToFit="false"/>
      <protection locked="true" hidden="false"/>
    </xf>
    <xf numFmtId="167" fontId="8" fillId="0" borderId="1"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bottom" textRotation="0" wrapText="false" indent="0" shrinkToFit="false"/>
      <protection locked="true" hidden="false"/>
    </xf>
    <xf numFmtId="167" fontId="7" fillId="0" borderId="1" xfId="0" applyFont="true" applyBorder="true" applyAlignment="true" applyProtection="false">
      <alignment horizontal="general" vertical="bottom" textRotation="0" wrapText="false" indent="0" shrinkToFit="false"/>
      <protection locked="true" hidden="false"/>
    </xf>
    <xf numFmtId="174" fontId="7" fillId="0" borderId="1"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73" fontId="12" fillId="0" borderId="1" xfId="0" applyFont="true" applyBorder="true" applyAlignment="true" applyProtection="false">
      <alignment horizontal="general" vertical="bottom" textRotation="0" wrapText="false" indent="0" shrinkToFit="false"/>
      <protection locked="true" hidden="false"/>
    </xf>
    <xf numFmtId="167" fontId="12" fillId="0" borderId="1" xfId="0" applyFont="true" applyBorder="true" applyAlignment="true" applyProtection="false">
      <alignment horizontal="general" vertical="bottom" textRotation="0" wrapText="false" indent="0" shrinkToFit="false"/>
      <protection locked="true" hidden="false"/>
    </xf>
    <xf numFmtId="171" fontId="7" fillId="0" borderId="1" xfId="0" applyFont="true" applyBorder="true" applyAlignment="true" applyProtection="false">
      <alignment horizontal="general" vertical="bottom" textRotation="0" wrapText="false" indent="0" shrinkToFit="false"/>
      <protection locked="true" hidden="false"/>
    </xf>
    <xf numFmtId="171" fontId="10" fillId="0" borderId="1" xfId="0" applyFont="true" applyBorder="true" applyAlignment="true" applyProtection="false">
      <alignment horizontal="general" vertical="bottom" textRotation="0" wrapText="false" indent="0" shrinkToFit="false"/>
      <protection locked="true" hidden="false"/>
    </xf>
    <xf numFmtId="171" fontId="8" fillId="0" borderId="1" xfId="0" applyFont="true" applyBorder="true" applyAlignment="true" applyProtection="false">
      <alignment horizontal="general" vertical="bottom" textRotation="0" wrapText="false" indent="0" shrinkToFit="false"/>
      <protection locked="true" hidden="false"/>
    </xf>
    <xf numFmtId="171" fontId="12" fillId="0" borderId="1" xfId="0" applyFont="true" applyBorder="true" applyAlignment="true" applyProtection="false">
      <alignment horizontal="general" vertical="bottom" textRotation="0" wrapText="false" indent="0" shrinkToFit="false"/>
      <protection locked="true" hidden="false"/>
    </xf>
    <xf numFmtId="171" fontId="10" fillId="5" borderId="1" xfId="0" applyFont="true" applyBorder="true" applyAlignment="tru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general" vertical="bottom" textRotation="0" wrapText="false" indent="0" shrinkToFit="false"/>
      <protection locked="true" hidden="false"/>
    </xf>
    <xf numFmtId="164" fontId="10" fillId="6" borderId="1" xfId="0" applyFont="true" applyBorder="true" applyAlignment="tru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6" fontId="7" fillId="6" borderId="1" xfId="0" applyFont="true" applyBorder="tru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4" fontId="10" fillId="4" borderId="1" xfId="0" applyFont="true" applyBorder="true" applyAlignment="true" applyProtection="false">
      <alignment horizontal="general" vertical="bottom" textRotation="0" wrapText="false" indent="0" shrinkToFit="false"/>
      <protection locked="true" hidden="false"/>
    </xf>
    <xf numFmtId="167" fontId="8" fillId="4"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bottom" textRotation="0" wrapText="false" indent="0" shrinkToFit="false"/>
      <protection locked="true" hidden="false"/>
    </xf>
    <xf numFmtId="167" fontId="8" fillId="3" borderId="1" xfId="0" applyFont="true" applyBorder="tru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6" fontId="7" fillId="3" borderId="1" xfId="0" applyFont="true" applyBorder="true" applyAlignment="true" applyProtection="false">
      <alignment horizontal="general" vertical="bottom" textRotation="0" wrapText="false" indent="0" shrinkToFit="false"/>
      <protection locked="true" hidden="false"/>
    </xf>
    <xf numFmtId="167" fontId="12" fillId="3" borderId="1" xfId="0" applyFont="true" applyBorder="true" applyAlignment="true" applyProtection="false">
      <alignment horizontal="general" vertical="bottom" textRotation="0" wrapText="false" indent="0" shrinkToFit="false"/>
      <protection locked="true" hidden="false"/>
    </xf>
    <xf numFmtId="172" fontId="12" fillId="0" borderId="1" xfId="0" applyFont="true" applyBorder="true" applyAlignment="true" applyProtection="false">
      <alignment horizontal="general" vertical="bottom" textRotation="0" wrapText="false" indent="0" shrinkToFit="false"/>
      <protection locked="true" hidden="false"/>
    </xf>
    <xf numFmtId="164" fontId="0" fillId="3" borderId="1" xfId="0" applyFont="false" applyBorder="true" applyAlignment="tru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general" vertical="bottom" textRotation="0" wrapText="false" indent="0" shrinkToFit="false"/>
      <protection locked="true" hidden="false"/>
    </xf>
    <xf numFmtId="167" fontId="7" fillId="4" borderId="1" xfId="0" applyFont="true" applyBorder="true" applyAlignment="true" applyProtection="false">
      <alignment horizontal="general" vertical="bottom" textRotation="0" wrapText="false" indent="0" shrinkToFit="false"/>
      <protection locked="true" hidden="false"/>
    </xf>
    <xf numFmtId="166" fontId="12" fillId="0" borderId="1" xfId="0" applyFont="true" applyBorder="true" applyAlignment="true" applyProtection="false">
      <alignment horizontal="general" vertical="bottom" textRotation="0" wrapText="false" indent="0" shrinkToFit="false"/>
      <protection locked="true" hidden="false"/>
    </xf>
    <xf numFmtId="164" fontId="0" fillId="6" borderId="1" xfId="0" applyFont="false" applyBorder="true" applyAlignment="true" applyProtection="false">
      <alignment horizontal="general" vertical="bottom" textRotation="0" wrapText="false" indent="0" shrinkToFit="false"/>
      <protection locked="true" hidden="false"/>
    </xf>
    <xf numFmtId="164" fontId="5" fillId="6" borderId="1" xfId="0" applyFont="true" applyBorder="true" applyAlignment="true" applyProtection="false">
      <alignment horizontal="general" vertical="bottom" textRotation="0" wrapText="false" indent="0" shrinkToFit="false"/>
      <protection locked="true" hidden="false"/>
    </xf>
    <xf numFmtId="174" fontId="10" fillId="0" borderId="0" xfId="0" applyFont="true" applyBorder="false" applyAlignment="true" applyProtection="false">
      <alignment horizontal="general" vertical="bottom" textRotation="0" wrapText="false" indent="0" shrinkToFit="false"/>
      <protection locked="true" hidden="false"/>
    </xf>
    <xf numFmtId="174" fontId="12" fillId="0" borderId="1" xfId="0" applyFont="true" applyBorder="true" applyAlignment="true" applyProtection="false">
      <alignment horizontal="general" vertical="bottom" textRotation="0" wrapText="false" indent="0" shrinkToFit="false"/>
      <protection locked="true" hidden="false"/>
    </xf>
    <xf numFmtId="164" fontId="12" fillId="0" borderId="1" xfId="0" applyFont="true" applyBorder="true" applyAlignment="true" applyProtection="false">
      <alignment horizontal="general" vertical="bottom" textRotation="0" wrapText="false" indent="0" shrinkToFit="false"/>
      <protection locked="true" hidden="false"/>
    </xf>
    <xf numFmtId="174" fontId="8" fillId="0" borderId="1"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6"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0"/>
    <col collapsed="false" customWidth="true" hidden="false" outlineLevel="0" max="4" min="4" style="1" width="18"/>
    <col collapsed="false" customWidth="true" hidden="false" outlineLevel="0" max="5" min="5" style="1" width="30"/>
    <col collapsed="false" customWidth="true" hidden="false" outlineLevel="0" max="6" min="6" style="1" width="28"/>
    <col collapsed="false" customWidth="true" hidden="false" outlineLevel="0" max="7" min="7" style="1" width="32"/>
    <col collapsed="false" customWidth="true" hidden="false" outlineLevel="0" max="8" min="8" style="1" width="24"/>
    <col collapsed="false" customWidth="true" hidden="false" outlineLevel="0" max="9" min="9" style="1" width="55"/>
  </cols>
  <sheetData>
    <row r="1" customFormat="false" ht="17.25" hidden="false" customHeight="true" outlineLevel="0" collapsed="false">
      <c r="A1" s="2" t="s">
        <v>0</v>
      </c>
      <c r="B1" s="2"/>
      <c r="C1" s="2"/>
      <c r="D1" s="2"/>
      <c r="E1" s="2"/>
      <c r="F1" s="2"/>
      <c r="G1" s="2"/>
      <c r="H1" s="2"/>
      <c r="I1" s="2"/>
    </row>
    <row r="2" customFormat="false" ht="15" hidden="false" customHeight="true" outlineLevel="0" collapsed="false">
      <c r="A2" s="3" t="s">
        <v>1</v>
      </c>
      <c r="B2" s="3"/>
      <c r="C2" s="3"/>
      <c r="D2" s="3"/>
      <c r="E2" s="3"/>
      <c r="F2" s="3"/>
      <c r="G2" s="3"/>
      <c r="H2" s="3"/>
      <c r="I2" s="3"/>
    </row>
    <row r="4" customFormat="false" ht="39" hidden="false" customHeight="true" outlineLevel="0" collapsed="false">
      <c r="A4" s="4" t="s">
        <v>2</v>
      </c>
      <c r="B4" s="4" t="s">
        <v>3</v>
      </c>
      <c r="C4" s="4" t="s">
        <v>4</v>
      </c>
      <c r="D4" s="4" t="s">
        <v>5</v>
      </c>
      <c r="E4" s="4" t="s">
        <v>6</v>
      </c>
      <c r="F4" s="4" t="s">
        <v>7</v>
      </c>
      <c r="G4" s="4" t="s">
        <v>8</v>
      </c>
      <c r="H4" s="4" t="s">
        <v>9</v>
      </c>
      <c r="I4" s="4" t="s">
        <v>10</v>
      </c>
    </row>
    <row r="5" customFormat="false" ht="90" hidden="false" customHeight="true" outlineLevel="0" collapsed="false">
      <c r="A5" s="5" t="s">
        <v>11</v>
      </c>
      <c r="B5" s="5" t="s">
        <v>12</v>
      </c>
      <c r="C5" s="5" t="s">
        <v>13</v>
      </c>
      <c r="D5" s="6" t="n">
        <v>53.83</v>
      </c>
      <c r="E5" s="5" t="s">
        <v>14</v>
      </c>
      <c r="F5" s="5" t="s">
        <v>15</v>
      </c>
      <c r="G5" s="5" t="s">
        <v>16</v>
      </c>
      <c r="H5" s="7" t="s">
        <v>17</v>
      </c>
      <c r="I5" s="5" t="s">
        <v>18</v>
      </c>
    </row>
    <row r="6" customFormat="false" ht="51.75" hidden="false" customHeight="true" outlineLevel="0" collapsed="false">
      <c r="A6" s="5" t="s">
        <v>19</v>
      </c>
      <c r="B6" s="5" t="s">
        <v>20</v>
      </c>
      <c r="C6" s="5" t="s">
        <v>13</v>
      </c>
      <c r="D6" s="8" t="n">
        <v>23.8</v>
      </c>
      <c r="E6" s="5" t="s">
        <v>21</v>
      </c>
      <c r="F6" s="5" t="s">
        <v>22</v>
      </c>
      <c r="G6" s="5" t="s">
        <v>23</v>
      </c>
      <c r="H6" s="5" t="s">
        <v>24</v>
      </c>
      <c r="I6" s="5" t="s">
        <v>25</v>
      </c>
    </row>
    <row r="7" customFormat="false" ht="51.75" hidden="false" customHeight="true" outlineLevel="0" collapsed="false">
      <c r="A7" s="5" t="s">
        <v>26</v>
      </c>
      <c r="B7" s="5" t="s">
        <v>27</v>
      </c>
      <c r="C7" s="5" t="s">
        <v>13</v>
      </c>
      <c r="D7" s="6" t="n">
        <v>53.55</v>
      </c>
      <c r="E7" s="5" t="s">
        <v>28</v>
      </c>
      <c r="F7" s="5" t="s">
        <v>29</v>
      </c>
      <c r="G7" s="5" t="s">
        <v>30</v>
      </c>
      <c r="H7" s="7" t="s">
        <v>31</v>
      </c>
      <c r="I7" s="5" t="s">
        <v>32</v>
      </c>
    </row>
    <row r="8" customFormat="false" ht="64.5" hidden="false" customHeight="true" outlineLevel="0" collapsed="false">
      <c r="A8" s="5" t="s">
        <v>33</v>
      </c>
      <c r="B8" s="5" t="s">
        <v>34</v>
      </c>
      <c r="C8" s="5" t="s">
        <v>35</v>
      </c>
      <c r="D8" s="9" t="n">
        <v>22</v>
      </c>
      <c r="E8" s="5" t="s">
        <v>36</v>
      </c>
      <c r="F8" s="5" t="s">
        <v>37</v>
      </c>
      <c r="G8" s="5" t="s">
        <v>38</v>
      </c>
      <c r="H8" s="7" t="s">
        <v>39</v>
      </c>
      <c r="I8" s="5" t="s">
        <v>40</v>
      </c>
    </row>
    <row r="9" customFormat="false" ht="64.5" hidden="false" customHeight="true" outlineLevel="0" collapsed="false">
      <c r="A9" s="5" t="s">
        <v>41</v>
      </c>
      <c r="B9" s="5" t="s">
        <v>27</v>
      </c>
      <c r="C9" s="5" t="s">
        <v>13</v>
      </c>
      <c r="D9" s="8" t="n">
        <v>17.85</v>
      </c>
      <c r="E9" s="5" t="s">
        <v>42</v>
      </c>
      <c r="F9" s="5" t="s">
        <v>29</v>
      </c>
      <c r="G9" s="5" t="s">
        <v>43</v>
      </c>
      <c r="H9" s="5" t="s">
        <v>24</v>
      </c>
      <c r="I9" s="5" t="s">
        <v>44</v>
      </c>
    </row>
    <row r="10" customFormat="false" ht="26.25" hidden="false" customHeight="true" outlineLevel="0" collapsed="false">
      <c r="A10" s="5" t="s">
        <v>45</v>
      </c>
      <c r="B10" s="5" t="s">
        <v>46</v>
      </c>
      <c r="C10" s="5" t="s">
        <v>47</v>
      </c>
      <c r="D10" s="10"/>
      <c r="E10" s="5" t="s">
        <v>29</v>
      </c>
      <c r="F10" s="5" t="s">
        <v>29</v>
      </c>
      <c r="G10" s="5" t="s">
        <v>29</v>
      </c>
      <c r="H10" s="11" t="s">
        <v>48</v>
      </c>
      <c r="I10" s="5" t="s">
        <v>49</v>
      </c>
    </row>
    <row r="11" customFormat="false" ht="115.5" hidden="false" customHeight="true" outlineLevel="0" collapsed="false">
      <c r="A11" s="5" t="s">
        <v>50</v>
      </c>
      <c r="B11" s="5" t="s">
        <v>51</v>
      </c>
      <c r="C11" s="5" t="s">
        <v>35</v>
      </c>
      <c r="D11" s="12" t="n">
        <v>2.5</v>
      </c>
      <c r="E11" s="5" t="s">
        <v>52</v>
      </c>
      <c r="F11" s="5" t="s">
        <v>53</v>
      </c>
      <c r="G11" s="5" t="s">
        <v>54</v>
      </c>
      <c r="H11" s="5" t="s">
        <v>24</v>
      </c>
      <c r="I11" s="5" t="s">
        <v>55</v>
      </c>
    </row>
    <row r="12" customFormat="false" ht="26.25" hidden="false" customHeight="true" outlineLevel="0" collapsed="false">
      <c r="A12" s="5" t="s">
        <v>56</v>
      </c>
      <c r="B12" s="5" t="s">
        <v>57</v>
      </c>
      <c r="C12" s="5" t="s">
        <v>47</v>
      </c>
      <c r="D12" s="10"/>
      <c r="E12" s="5" t="s">
        <v>29</v>
      </c>
      <c r="F12" s="5" t="s">
        <v>29</v>
      </c>
      <c r="G12" s="5" t="s">
        <v>29</v>
      </c>
      <c r="H12" s="11" t="s">
        <v>48</v>
      </c>
      <c r="I12" s="5" t="s">
        <v>58</v>
      </c>
    </row>
    <row r="13" customFormat="false" ht="39" hidden="false" customHeight="true" outlineLevel="0" collapsed="false">
      <c r="A13" s="5" t="s">
        <v>59</v>
      </c>
      <c r="B13" s="5" t="s">
        <v>60</v>
      </c>
      <c r="C13" s="5" t="s">
        <v>47</v>
      </c>
      <c r="D13" s="10"/>
      <c r="E13" s="5" t="s">
        <v>61</v>
      </c>
      <c r="F13" s="5" t="s">
        <v>29</v>
      </c>
      <c r="G13" s="5" t="s">
        <v>29</v>
      </c>
      <c r="H13" s="11" t="s">
        <v>62</v>
      </c>
      <c r="I13" s="5" t="s">
        <v>63</v>
      </c>
    </row>
    <row r="14" customFormat="false" ht="39" hidden="false" customHeight="true" outlineLevel="0" collapsed="false">
      <c r="A14" s="5" t="s">
        <v>64</v>
      </c>
      <c r="B14" s="5" t="s">
        <v>65</v>
      </c>
      <c r="C14" s="5" t="s">
        <v>47</v>
      </c>
      <c r="D14" s="10"/>
      <c r="E14" s="5" t="s">
        <v>66</v>
      </c>
      <c r="F14" s="5" t="s">
        <v>67</v>
      </c>
      <c r="G14" s="5" t="s">
        <v>29</v>
      </c>
      <c r="H14" s="11" t="s">
        <v>68</v>
      </c>
      <c r="I14" s="5" t="s">
        <v>69</v>
      </c>
    </row>
    <row r="15" customFormat="false" ht="15" hidden="false" customHeight="true" outlineLevel="0" collapsed="false">
      <c r="A15" s="11"/>
      <c r="B15" s="5"/>
      <c r="C15" s="5"/>
      <c r="D15" s="13"/>
      <c r="E15" s="5"/>
      <c r="F15" s="5"/>
      <c r="G15" s="5"/>
      <c r="H15" s="5"/>
      <c r="I15" s="5"/>
    </row>
    <row r="16" customFormat="false" ht="15" hidden="false" customHeight="true" outlineLevel="0" collapsed="false">
      <c r="A16" s="5" t="s">
        <v>70</v>
      </c>
      <c r="B16" s="5" t="s">
        <v>71</v>
      </c>
      <c r="C16" s="5" t="s">
        <v>72</v>
      </c>
      <c r="D16" s="12"/>
      <c r="E16" s="5" t="s">
        <v>73</v>
      </c>
      <c r="F16" s="5" t="s">
        <v>74</v>
      </c>
      <c r="G16" s="5" t="s">
        <v>75</v>
      </c>
      <c r="H16" s="5" t="s">
        <v>76</v>
      </c>
      <c r="I16" s="5"/>
    </row>
    <row r="18" customFormat="false" ht="15" hidden="false" customHeight="true" outlineLevel="0" collapsed="false">
      <c r="A18" s="14" t="s">
        <v>77</v>
      </c>
      <c r="B18" s="15"/>
      <c r="C18" s="15"/>
      <c r="D18" s="16" t="n">
        <f aca="false">SUMIF(C5:C16,"USD",D5:D16)</f>
        <v>149.03</v>
      </c>
      <c r="E18" s="15"/>
      <c r="F18" s="15"/>
      <c r="G18" s="15"/>
      <c r="H18" s="15"/>
      <c r="I18" s="15"/>
    </row>
    <row r="19" customFormat="false" ht="15" hidden="false" customHeight="true" outlineLevel="0" collapsed="false">
      <c r="A19" s="14" t="s">
        <v>78</v>
      </c>
      <c r="B19" s="15"/>
      <c r="C19" s="15"/>
      <c r="D19" s="17" t="n">
        <f aca="false">SUMIF(C5:C16,"EUR",D5:D16)</f>
        <v>24.5</v>
      </c>
      <c r="E19" s="15"/>
      <c r="F19" s="15"/>
      <c r="G19" s="15"/>
      <c r="H19" s="15"/>
      <c r="I19" s="15"/>
    </row>
    <row r="20" customFormat="false" ht="15" hidden="false" customHeight="false" outlineLevel="0" collapsed="false">
      <c r="A20" s="18" t="s">
        <v>79</v>
      </c>
      <c r="D20" s="19" t="n">
        <f aca="false">D19+D18/Rechnungsjournal!$B$42</f>
        <v>153.051712240145</v>
      </c>
    </row>
    <row r="21" customFormat="false" ht="15" hidden="false" customHeight="true" outlineLevel="0" collapsed="false">
      <c r="A21" s="3" t="s">
        <v>80</v>
      </c>
      <c r="B21" s="3"/>
      <c r="C21" s="3"/>
      <c r="D21" s="3"/>
      <c r="E21" s="3"/>
      <c r="F21" s="3"/>
      <c r="G21" s="3"/>
      <c r="H21" s="3"/>
      <c r="I21" s="3"/>
    </row>
  </sheetData>
  <mergeCells count="3">
    <mergeCell ref="A1:I1"/>
    <mergeCell ref="A2:I2"/>
    <mergeCell ref="A21:I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13"/>
    <col collapsed="false" customWidth="true" hidden="false" outlineLevel="0" max="3" min="3" style="1" width="20"/>
    <col collapsed="false" customWidth="true" hidden="false" outlineLevel="0" max="5" min="4" style="1" width="26"/>
    <col collapsed="false" customWidth="true" hidden="false" outlineLevel="0" max="6" min="6" style="1" width="12"/>
    <col collapsed="false" customWidth="true" hidden="false" outlineLevel="0" max="7" min="7" style="1" width="22"/>
    <col collapsed="false" customWidth="true" hidden="false" outlineLevel="0" max="8" min="8" style="1" width="34"/>
    <col collapsed="false" customWidth="true" hidden="false" outlineLevel="0" max="9" min="9" style="1" width="10"/>
    <col collapsed="false" customWidth="true" hidden="false" outlineLevel="0" max="11" min="10" style="1" width="13"/>
    <col collapsed="false" customWidth="true" hidden="false" outlineLevel="0" max="12" min="12" style="1" width="12"/>
    <col collapsed="false" customWidth="true" hidden="false" outlineLevel="0" max="13" min="13" style="1" width="13"/>
    <col collapsed="false" customWidth="true" hidden="false" outlineLevel="0" max="14" min="14" style="1" width="16"/>
    <col collapsed="false" customWidth="true" hidden="false" outlineLevel="0" max="15" min="15" style="1" width="34"/>
    <col collapsed="false" customWidth="true" hidden="false" outlineLevel="0" max="17" min="16" style="1" width="16"/>
    <col collapsed="false" customWidth="true" hidden="false" outlineLevel="0" max="18" min="18" style="1" width="30"/>
    <col collapsed="false" customWidth="true" hidden="false" outlineLevel="0" max="19" min="19" style="1" width="42"/>
  </cols>
  <sheetData>
    <row r="1" customFormat="false" ht="17.25" hidden="false" customHeight="true" outlineLevel="0" collapsed="false">
      <c r="A1" s="2" t="s">
        <v>81</v>
      </c>
      <c r="B1" s="2"/>
      <c r="C1" s="2"/>
      <c r="D1" s="2"/>
      <c r="E1" s="2"/>
      <c r="F1" s="2"/>
      <c r="G1" s="2"/>
      <c r="H1" s="2"/>
      <c r="I1" s="2"/>
      <c r="J1" s="2"/>
      <c r="K1" s="2"/>
      <c r="L1" s="2"/>
      <c r="M1" s="2"/>
      <c r="N1" s="2"/>
      <c r="O1" s="2"/>
      <c r="P1" s="2"/>
      <c r="Q1" s="2"/>
      <c r="R1" s="2"/>
      <c r="S1" s="2"/>
    </row>
    <row r="2" customFormat="false" ht="15" hidden="false" customHeight="true" outlineLevel="0" collapsed="false">
      <c r="A2" s="3" t="s">
        <v>82</v>
      </c>
      <c r="B2" s="3"/>
      <c r="C2" s="3"/>
      <c r="D2" s="3"/>
      <c r="E2" s="3"/>
      <c r="F2" s="3"/>
      <c r="G2" s="3"/>
      <c r="H2" s="3"/>
      <c r="I2" s="3"/>
      <c r="J2" s="3"/>
      <c r="K2" s="3"/>
      <c r="L2" s="3"/>
      <c r="M2" s="3"/>
      <c r="N2" s="3"/>
      <c r="O2" s="3"/>
      <c r="P2" s="3"/>
      <c r="Q2" s="3"/>
      <c r="R2" s="3"/>
      <c r="S2" s="3"/>
    </row>
    <row r="4" customFormat="false" ht="26.25" hidden="false" customHeight="true" outlineLevel="0" collapsed="false">
      <c r="A4" s="4" t="s">
        <v>83</v>
      </c>
      <c r="B4" s="4" t="s">
        <v>84</v>
      </c>
      <c r="C4" s="4" t="s">
        <v>85</v>
      </c>
      <c r="D4" s="4" t="s">
        <v>86</v>
      </c>
      <c r="E4" s="4" t="s">
        <v>87</v>
      </c>
      <c r="F4" s="4" t="s">
        <v>88</v>
      </c>
      <c r="G4" s="4" t="s">
        <v>2</v>
      </c>
      <c r="H4" s="4" t="s">
        <v>89</v>
      </c>
      <c r="I4" s="4" t="s">
        <v>4</v>
      </c>
      <c r="J4" s="4" t="s">
        <v>90</v>
      </c>
      <c r="K4" s="4" t="s">
        <v>91</v>
      </c>
      <c r="L4" s="4" t="s">
        <v>92</v>
      </c>
      <c r="M4" s="4" t="s">
        <v>93</v>
      </c>
      <c r="N4" s="4" t="s">
        <v>94</v>
      </c>
      <c r="O4" s="4" t="s">
        <v>95</v>
      </c>
      <c r="P4" s="4" t="s">
        <v>96</v>
      </c>
      <c r="Q4" s="4" t="s">
        <v>97</v>
      </c>
      <c r="R4" s="4" t="s">
        <v>98</v>
      </c>
      <c r="S4" s="4" t="s">
        <v>99</v>
      </c>
      <c r="T4" s="4" t="s">
        <v>100</v>
      </c>
    </row>
    <row r="5" customFormat="false" ht="64.5" hidden="false" customHeight="true" outlineLevel="0" collapsed="false">
      <c r="A5" s="5" t="s">
        <v>101</v>
      </c>
      <c r="B5" s="20" t="n">
        <v>46146</v>
      </c>
      <c r="C5" s="5" t="s">
        <v>102</v>
      </c>
      <c r="D5" s="5" t="s">
        <v>103</v>
      </c>
      <c r="E5" s="5" t="s">
        <v>104</v>
      </c>
      <c r="F5" s="5" t="s">
        <v>105</v>
      </c>
      <c r="G5" s="5" t="s">
        <v>33</v>
      </c>
      <c r="H5" s="5" t="s">
        <v>106</v>
      </c>
      <c r="I5" s="5" t="s">
        <v>35</v>
      </c>
      <c r="J5" s="12" t="n">
        <v>18.49</v>
      </c>
      <c r="K5" s="21" t="n">
        <v>0.19</v>
      </c>
      <c r="L5" s="12" t="n">
        <v>3.51</v>
      </c>
      <c r="M5" s="12" t="n">
        <v>22</v>
      </c>
      <c r="N5" s="12" t="n">
        <v>22</v>
      </c>
      <c r="O5" s="5" t="s">
        <v>107</v>
      </c>
      <c r="P5" s="22" t="n">
        <f aca="false">M5</f>
        <v>22</v>
      </c>
      <c r="Q5" s="5" t="s">
        <v>108</v>
      </c>
      <c r="R5" s="5" t="s">
        <v>109</v>
      </c>
      <c r="S5" s="23" t="s">
        <v>110</v>
      </c>
      <c r="T5" s="23" t="n">
        <f aca="false">ROUND(L5,2)</f>
        <v>3.51</v>
      </c>
    </row>
    <row r="6" customFormat="false" ht="51.75" hidden="false" customHeight="true" outlineLevel="0" collapsed="false">
      <c r="A6" s="5" t="s">
        <v>111</v>
      </c>
      <c r="B6" s="20" t="n">
        <v>46164</v>
      </c>
      <c r="C6" s="5" t="s">
        <v>112</v>
      </c>
      <c r="D6" s="5" t="s">
        <v>113</v>
      </c>
      <c r="E6" s="5" t="s">
        <v>114</v>
      </c>
      <c r="F6" s="5" t="s">
        <v>115</v>
      </c>
      <c r="G6" s="5" t="s">
        <v>19</v>
      </c>
      <c r="H6" s="5" t="s">
        <v>116</v>
      </c>
      <c r="I6" s="5" t="s">
        <v>13</v>
      </c>
      <c r="J6" s="8" t="n">
        <v>20</v>
      </c>
      <c r="K6" s="21" t="n">
        <v>0.19</v>
      </c>
      <c r="L6" s="8" t="n">
        <v>3.8</v>
      </c>
      <c r="M6" s="8" t="n">
        <v>23.8</v>
      </c>
      <c r="N6" s="8" t="n">
        <v>23.8</v>
      </c>
      <c r="O6" s="5" t="s">
        <v>117</v>
      </c>
      <c r="P6" s="22" t="n">
        <f aca="false">M6/$B$39</f>
        <v>20.3889317227791</v>
      </c>
      <c r="Q6" s="5" t="s">
        <v>118</v>
      </c>
      <c r="R6" s="5" t="s">
        <v>119</v>
      </c>
      <c r="S6" s="23" t="s">
        <v>120</v>
      </c>
      <c r="T6" s="23" t="n">
        <f aca="false">ROUND(L6/$B$39,2)</f>
        <v>3.26</v>
      </c>
    </row>
    <row r="7" customFormat="false" ht="178.5" hidden="false" customHeight="true" outlineLevel="0" collapsed="false">
      <c r="A7" s="5" t="s">
        <v>121</v>
      </c>
      <c r="B7" s="20" t="n">
        <v>46165</v>
      </c>
      <c r="C7" s="5" t="s">
        <v>122</v>
      </c>
      <c r="D7" s="5" t="s">
        <v>123</v>
      </c>
      <c r="E7" s="5" t="s">
        <v>124</v>
      </c>
      <c r="F7" s="5" t="s">
        <v>125</v>
      </c>
      <c r="G7" s="5" t="s">
        <v>11</v>
      </c>
      <c r="H7" s="5" t="s">
        <v>126</v>
      </c>
      <c r="I7" s="5" t="s">
        <v>13</v>
      </c>
      <c r="J7" s="8" t="n">
        <v>25</v>
      </c>
      <c r="K7" s="5" t="s">
        <v>127</v>
      </c>
      <c r="L7" s="8" t="n">
        <v>0</v>
      </c>
      <c r="M7" s="8" t="n">
        <v>25</v>
      </c>
      <c r="N7" s="8" t="n">
        <v>25</v>
      </c>
      <c r="O7" s="5" t="s">
        <v>128</v>
      </c>
      <c r="P7" s="22" t="n">
        <f aca="false">M7/$B$39</f>
        <v>21.4169450869528</v>
      </c>
      <c r="Q7" s="5" t="s">
        <v>29</v>
      </c>
      <c r="R7" s="5" t="s">
        <v>129</v>
      </c>
      <c r="S7" s="23" t="s">
        <v>130</v>
      </c>
      <c r="T7" s="23" t="s">
        <v>131</v>
      </c>
    </row>
    <row r="8" customFormat="false" ht="90" hidden="false" customHeight="true" outlineLevel="0" collapsed="false">
      <c r="A8" s="5" t="s">
        <v>132</v>
      </c>
      <c r="B8" s="20" t="n">
        <v>46187</v>
      </c>
      <c r="C8" s="5" t="s">
        <v>133</v>
      </c>
      <c r="D8" s="5" t="s">
        <v>134</v>
      </c>
      <c r="E8" s="5" t="s">
        <v>135</v>
      </c>
      <c r="F8" s="5" t="s">
        <v>115</v>
      </c>
      <c r="G8" s="5" t="s">
        <v>41</v>
      </c>
      <c r="H8" s="5" t="s">
        <v>136</v>
      </c>
      <c r="I8" s="5" t="s">
        <v>13</v>
      </c>
      <c r="J8" s="8" t="n">
        <v>15</v>
      </c>
      <c r="K8" s="21" t="n">
        <v>0.19</v>
      </c>
      <c r="L8" s="8" t="n">
        <v>2.85</v>
      </c>
      <c r="M8" s="8" t="n">
        <v>17.85</v>
      </c>
      <c r="N8" s="8" t="n">
        <v>17.85</v>
      </c>
      <c r="O8" s="5" t="s">
        <v>137</v>
      </c>
      <c r="P8" s="22" t="n">
        <f aca="false">M8/$B$40</f>
        <v>15.4974822017711</v>
      </c>
      <c r="Q8" s="5" t="s">
        <v>29</v>
      </c>
      <c r="R8" s="5" t="s">
        <v>138</v>
      </c>
      <c r="S8" s="23" t="s">
        <v>139</v>
      </c>
      <c r="T8" s="23" t="n">
        <f aca="false">ROUND(L8/$B$40,2)</f>
        <v>2.47</v>
      </c>
    </row>
    <row r="9" customFormat="false" ht="64.5" hidden="false" customHeight="true" outlineLevel="0" collapsed="false">
      <c r="A9" s="5" t="s">
        <v>140</v>
      </c>
      <c r="B9" s="20" t="n">
        <v>46195</v>
      </c>
      <c r="C9" s="5" t="s">
        <v>141</v>
      </c>
      <c r="D9" s="5" t="s">
        <v>142</v>
      </c>
      <c r="E9" s="5" t="s">
        <v>114</v>
      </c>
      <c r="F9" s="5" t="s">
        <v>115</v>
      </c>
      <c r="G9" s="5" t="s">
        <v>19</v>
      </c>
      <c r="H9" s="5" t="s">
        <v>116</v>
      </c>
      <c r="I9" s="5" t="s">
        <v>13</v>
      </c>
      <c r="J9" s="8" t="n">
        <v>20</v>
      </c>
      <c r="K9" s="21" t="n">
        <v>0.19</v>
      </c>
      <c r="L9" s="8" t="n">
        <v>3.8</v>
      </c>
      <c r="M9" s="8" t="n">
        <v>23.8</v>
      </c>
      <c r="N9" s="8" t="n">
        <v>23.8</v>
      </c>
      <c r="O9" s="5" t="s">
        <v>117</v>
      </c>
      <c r="P9" s="22" t="n">
        <f aca="false">M9/$B$40</f>
        <v>20.6633096023615</v>
      </c>
      <c r="Q9" s="5" t="s">
        <v>118</v>
      </c>
      <c r="R9" s="5" t="s">
        <v>143</v>
      </c>
      <c r="S9" s="23" t="s">
        <v>144</v>
      </c>
      <c r="T9" s="23" t="n">
        <f aca="false">ROUND(L9/$B$40,2)</f>
        <v>3.3</v>
      </c>
    </row>
    <row r="10" customFormat="false" ht="178.5" hidden="false" customHeight="true" outlineLevel="0" collapsed="false">
      <c r="A10" s="5" t="s">
        <v>145</v>
      </c>
      <c r="B10" s="20" t="n">
        <v>46196</v>
      </c>
      <c r="C10" s="5" t="s">
        <v>146</v>
      </c>
      <c r="D10" s="5" t="s">
        <v>147</v>
      </c>
      <c r="E10" s="5" t="s">
        <v>124</v>
      </c>
      <c r="F10" s="5" t="s">
        <v>125</v>
      </c>
      <c r="G10" s="5" t="s">
        <v>11</v>
      </c>
      <c r="H10" s="5" t="s">
        <v>126</v>
      </c>
      <c r="I10" s="5" t="s">
        <v>13</v>
      </c>
      <c r="J10" s="8" t="n">
        <v>49.97</v>
      </c>
      <c r="K10" s="5" t="s">
        <v>127</v>
      </c>
      <c r="L10" s="8" t="n">
        <v>0</v>
      </c>
      <c r="M10" s="8" t="n">
        <v>49.97</v>
      </c>
      <c r="N10" s="8" t="n">
        <v>49.97</v>
      </c>
      <c r="O10" s="5" t="s">
        <v>128</v>
      </c>
      <c r="P10" s="22" t="n">
        <f aca="false">M10/$B$40</f>
        <v>43.3842681021011</v>
      </c>
      <c r="Q10" s="5" t="s">
        <v>29</v>
      </c>
      <c r="R10" s="5" t="s">
        <v>148</v>
      </c>
      <c r="S10" s="23" t="s">
        <v>149</v>
      </c>
      <c r="T10" s="23" t="s">
        <v>131</v>
      </c>
    </row>
    <row r="11" customFormat="false" ht="51.75" hidden="false" customHeight="true" outlineLevel="0" collapsed="false">
      <c r="A11" s="5" t="s">
        <v>150</v>
      </c>
      <c r="B11" s="20" t="n">
        <v>46225</v>
      </c>
      <c r="C11" s="5" t="s">
        <v>151</v>
      </c>
      <c r="D11" s="5" t="s">
        <v>152</v>
      </c>
      <c r="E11" s="5" t="s">
        <v>114</v>
      </c>
      <c r="F11" s="5" t="s">
        <v>115</v>
      </c>
      <c r="G11" s="5" t="s">
        <v>19</v>
      </c>
      <c r="H11" s="5" t="s">
        <v>116</v>
      </c>
      <c r="I11" s="5" t="s">
        <v>13</v>
      </c>
      <c r="J11" s="8" t="n">
        <v>20</v>
      </c>
      <c r="K11" s="21" t="n">
        <v>0.19</v>
      </c>
      <c r="L11" s="8" t="n">
        <v>3.8</v>
      </c>
      <c r="M11" s="8" t="n">
        <v>23.8</v>
      </c>
      <c r="N11" s="8" t="n">
        <v>23.8</v>
      </c>
      <c r="O11" s="5" t="s">
        <v>117</v>
      </c>
      <c r="P11" s="22" t="n">
        <f aca="false">M11/$B$41</f>
        <v>20.8461066830166</v>
      </c>
      <c r="Q11" s="5" t="s">
        <v>118</v>
      </c>
      <c r="R11" s="5" t="s">
        <v>153</v>
      </c>
      <c r="S11" s="23" t="s">
        <v>154</v>
      </c>
      <c r="T11" s="23" t="n">
        <f aca="false">ROUND(L11/$B$41,2)</f>
        <v>3.33</v>
      </c>
    </row>
    <row r="12" customFormat="false" ht="178.5" hidden="false" customHeight="true" outlineLevel="0" collapsed="false">
      <c r="A12" s="5" t="s">
        <v>155</v>
      </c>
      <c r="B12" s="20" t="n">
        <v>46226</v>
      </c>
      <c r="C12" s="5" t="s">
        <v>156</v>
      </c>
      <c r="D12" s="5" t="s">
        <v>157</v>
      </c>
      <c r="E12" s="5" t="s">
        <v>124</v>
      </c>
      <c r="F12" s="5" t="s">
        <v>125</v>
      </c>
      <c r="G12" s="5" t="s">
        <v>11</v>
      </c>
      <c r="H12" s="5" t="s">
        <v>126</v>
      </c>
      <c r="I12" s="5" t="s">
        <v>13</v>
      </c>
      <c r="J12" s="8" t="n">
        <v>54.3</v>
      </c>
      <c r="K12" s="5" t="s">
        <v>127</v>
      </c>
      <c r="L12" s="8" t="n">
        <v>0</v>
      </c>
      <c r="M12" s="8" t="n">
        <v>54.3</v>
      </c>
      <c r="N12" s="8" t="n">
        <v>54.3</v>
      </c>
      <c r="O12" s="5" t="s">
        <v>128</v>
      </c>
      <c r="P12" s="22" t="n">
        <f aca="false">M12/$B$41</f>
        <v>47.5606551633529</v>
      </c>
      <c r="Q12" s="5" t="s">
        <v>29</v>
      </c>
      <c r="R12" s="5" t="s">
        <v>158</v>
      </c>
      <c r="S12" s="23" t="s">
        <v>159</v>
      </c>
      <c r="T12" s="23" t="s">
        <v>131</v>
      </c>
    </row>
    <row r="13" customFormat="false" ht="64.5" hidden="false" customHeight="true" outlineLevel="0" collapsed="false">
      <c r="A13" s="5" t="s">
        <v>160</v>
      </c>
      <c r="B13" s="20" t="n">
        <v>46237</v>
      </c>
      <c r="C13" s="5" t="s">
        <v>161</v>
      </c>
      <c r="D13" s="5" t="s">
        <v>162</v>
      </c>
      <c r="E13" s="5" t="s">
        <v>104</v>
      </c>
      <c r="F13" s="5" t="s">
        <v>105</v>
      </c>
      <c r="G13" s="5" t="s">
        <v>33</v>
      </c>
      <c r="H13" s="5" t="s">
        <v>106</v>
      </c>
      <c r="I13" s="5" t="s">
        <v>35</v>
      </c>
      <c r="J13" s="12" t="n">
        <v>18.49</v>
      </c>
      <c r="K13" s="21" t="n">
        <v>0.19</v>
      </c>
      <c r="L13" s="12" t="n">
        <v>3.51</v>
      </c>
      <c r="M13" s="12" t="n">
        <v>22</v>
      </c>
      <c r="N13" s="12" t="n">
        <v>22</v>
      </c>
      <c r="O13" s="5" t="s">
        <v>107</v>
      </c>
      <c r="P13" s="22" t="n">
        <f aca="false">M13</f>
        <v>22</v>
      </c>
      <c r="Q13" s="5" t="s">
        <v>108</v>
      </c>
      <c r="R13" s="5" t="s">
        <v>163</v>
      </c>
      <c r="S13" s="23" t="s">
        <v>164</v>
      </c>
      <c r="T13" s="23" t="n">
        <f aca="false">ROUND(L13,2)</f>
        <v>3.51</v>
      </c>
    </row>
    <row r="14" customFormat="false" ht="128.25" hidden="false" customHeight="true" outlineLevel="0" collapsed="false">
      <c r="A14" s="5" t="s">
        <v>165</v>
      </c>
      <c r="B14" s="20" t="n">
        <v>46251</v>
      </c>
      <c r="C14" s="5" t="s">
        <v>166</v>
      </c>
      <c r="D14" s="5" t="s">
        <v>134</v>
      </c>
      <c r="E14" s="5" t="s">
        <v>167</v>
      </c>
      <c r="F14" s="5" t="s">
        <v>115</v>
      </c>
      <c r="G14" s="5" t="s">
        <v>26</v>
      </c>
      <c r="H14" s="5" t="s">
        <v>168</v>
      </c>
      <c r="I14" s="5" t="s">
        <v>13</v>
      </c>
      <c r="J14" s="8" t="n">
        <v>45</v>
      </c>
      <c r="K14" s="21" t="n">
        <v>0.19</v>
      </c>
      <c r="L14" s="8" t="n">
        <v>8.55</v>
      </c>
      <c r="M14" s="8" t="n">
        <v>53.55</v>
      </c>
      <c r="N14" s="8" t="n">
        <v>53.55</v>
      </c>
      <c r="O14" s="5" t="s">
        <v>169</v>
      </c>
      <c r="P14" s="22" t="n">
        <f aca="false">M14/$B$42</f>
        <v>46.1916673854912</v>
      </c>
      <c r="Q14" s="5" t="s">
        <v>170</v>
      </c>
      <c r="R14" s="5" t="s">
        <v>171</v>
      </c>
      <c r="S14" s="23" t="s">
        <v>172</v>
      </c>
      <c r="T14" s="23" t="n">
        <f aca="false">ROUND(L14/$B$42,2)</f>
        <v>7.38</v>
      </c>
    </row>
    <row r="15" customFormat="false" ht="153" hidden="false" customHeight="true" outlineLevel="0" collapsed="false">
      <c r="A15" s="5" t="s">
        <v>173</v>
      </c>
      <c r="B15" s="20" t="n">
        <v>46138</v>
      </c>
      <c r="C15" s="5" t="s">
        <v>174</v>
      </c>
      <c r="D15" s="5" t="s">
        <v>175</v>
      </c>
      <c r="E15" s="5" t="s">
        <v>176</v>
      </c>
      <c r="F15" s="5" t="s">
        <v>177</v>
      </c>
      <c r="G15" s="5" t="s">
        <v>50</v>
      </c>
      <c r="H15" s="5" t="s">
        <v>178</v>
      </c>
      <c r="I15" s="5" t="s">
        <v>35</v>
      </c>
      <c r="J15" s="12" t="n">
        <v>0.81</v>
      </c>
      <c r="K15" s="21" t="n">
        <v>0.19</v>
      </c>
      <c r="L15" s="12" t="n">
        <v>0.15</v>
      </c>
      <c r="M15" s="12" t="n">
        <v>0.96</v>
      </c>
      <c r="N15" s="9" t="n">
        <v>0</v>
      </c>
      <c r="O15" s="5" t="s">
        <v>179</v>
      </c>
      <c r="P15" s="22" t="n">
        <f aca="false">M15</f>
        <v>0.96</v>
      </c>
      <c r="Q15" s="5" t="s">
        <v>108</v>
      </c>
      <c r="R15" s="5" t="s">
        <v>180</v>
      </c>
      <c r="S15" s="23" t="s">
        <v>181</v>
      </c>
      <c r="T15" s="23" t="n">
        <f aca="false">ROUND(L15,2)</f>
        <v>0.15</v>
      </c>
    </row>
    <row r="16" customFormat="false" ht="102.75" hidden="false" customHeight="true" outlineLevel="0" collapsed="false">
      <c r="A16" s="5" t="s">
        <v>182</v>
      </c>
      <c r="B16" s="20" t="n">
        <v>46168</v>
      </c>
      <c r="C16" s="5" t="s">
        <v>183</v>
      </c>
      <c r="D16" s="5" t="s">
        <v>184</v>
      </c>
      <c r="E16" s="5" t="s">
        <v>176</v>
      </c>
      <c r="F16" s="5" t="s">
        <v>177</v>
      </c>
      <c r="G16" s="5" t="s">
        <v>50</v>
      </c>
      <c r="H16" s="5" t="s">
        <v>178</v>
      </c>
      <c r="I16" s="5" t="s">
        <v>35</v>
      </c>
      <c r="J16" s="12" t="n">
        <v>27.73</v>
      </c>
      <c r="K16" s="21" t="n">
        <v>0.19</v>
      </c>
      <c r="L16" s="12" t="n">
        <v>5.27</v>
      </c>
      <c r="M16" s="12" t="n">
        <v>33</v>
      </c>
      <c r="N16" s="9" t="n">
        <v>0</v>
      </c>
      <c r="O16" s="5" t="s">
        <v>179</v>
      </c>
      <c r="P16" s="22" t="n">
        <f aca="false">M16</f>
        <v>33</v>
      </c>
      <c r="Q16" s="5" t="s">
        <v>108</v>
      </c>
      <c r="R16" s="5" t="s">
        <v>185</v>
      </c>
      <c r="S16" s="23" t="s">
        <v>186</v>
      </c>
      <c r="T16" s="23" t="n">
        <f aca="false">ROUND(L16,2)</f>
        <v>5.27</v>
      </c>
    </row>
    <row r="17" customFormat="false" ht="191.25" hidden="false" customHeight="true" outlineLevel="0" collapsed="false">
      <c r="A17" s="5" t="s">
        <v>187</v>
      </c>
      <c r="B17" s="20" t="n">
        <v>46199</v>
      </c>
      <c r="C17" s="5" t="s">
        <v>188</v>
      </c>
      <c r="D17" s="5" t="s">
        <v>189</v>
      </c>
      <c r="E17" s="5" t="s">
        <v>176</v>
      </c>
      <c r="F17" s="5" t="s">
        <v>177</v>
      </c>
      <c r="G17" s="5" t="s">
        <v>50</v>
      </c>
      <c r="H17" s="5" t="s">
        <v>178</v>
      </c>
      <c r="I17" s="5" t="s">
        <v>35</v>
      </c>
      <c r="J17" s="12" t="n">
        <v>13.03</v>
      </c>
      <c r="K17" s="21" t="n">
        <v>0.19</v>
      </c>
      <c r="L17" s="12" t="n">
        <v>2.47</v>
      </c>
      <c r="M17" s="12" t="n">
        <v>15.5</v>
      </c>
      <c r="N17" s="12" t="n">
        <v>15.5</v>
      </c>
      <c r="O17" s="5" t="s">
        <v>190</v>
      </c>
      <c r="P17" s="22" t="n">
        <f aca="false">M17</f>
        <v>15.5</v>
      </c>
      <c r="Q17" s="5" t="s">
        <v>108</v>
      </c>
      <c r="R17" s="5" t="s">
        <v>191</v>
      </c>
      <c r="S17" s="23" t="s">
        <v>192</v>
      </c>
      <c r="T17" s="23" t="n">
        <f aca="false">ROUND(L17,2)</f>
        <v>2.47</v>
      </c>
    </row>
    <row r="18" customFormat="false" ht="77.25" hidden="false" customHeight="true" outlineLevel="0" collapsed="false">
      <c r="A18" s="5" t="s">
        <v>193</v>
      </c>
      <c r="B18" s="20" t="n">
        <v>46229</v>
      </c>
      <c r="C18" s="5" t="s">
        <v>194</v>
      </c>
      <c r="D18" s="5" t="s">
        <v>195</v>
      </c>
      <c r="E18" s="5" t="s">
        <v>176</v>
      </c>
      <c r="F18" s="5" t="s">
        <v>177</v>
      </c>
      <c r="G18" s="5" t="s">
        <v>50</v>
      </c>
      <c r="H18" s="5" t="s">
        <v>178</v>
      </c>
      <c r="I18" s="5" t="s">
        <v>35</v>
      </c>
      <c r="J18" s="12" t="n">
        <v>2.1</v>
      </c>
      <c r="K18" s="21" t="n">
        <v>0.19</v>
      </c>
      <c r="L18" s="12" t="n">
        <v>0.4</v>
      </c>
      <c r="M18" s="12" t="n">
        <v>2.5</v>
      </c>
      <c r="N18" s="12" t="n">
        <v>2.5</v>
      </c>
      <c r="O18" s="5" t="s">
        <v>196</v>
      </c>
      <c r="P18" s="22" t="n">
        <f aca="false">M18</f>
        <v>2.5</v>
      </c>
      <c r="Q18" s="5" t="s">
        <v>108</v>
      </c>
      <c r="R18" s="5" t="s">
        <v>197</v>
      </c>
      <c r="S18" s="23" t="s">
        <v>198</v>
      </c>
      <c r="T18" s="23" t="n">
        <f aca="false">ROUND(L18,2)</f>
        <v>0.4</v>
      </c>
    </row>
    <row r="19" customFormat="false" ht="64.5" hidden="false" customHeight="true" outlineLevel="0" collapsed="false">
      <c r="A19" s="5" t="s">
        <v>199</v>
      </c>
      <c r="B19" s="20" t="n">
        <v>46256</v>
      </c>
      <c r="C19" s="5" t="s">
        <v>200</v>
      </c>
      <c r="D19" s="5" t="s">
        <v>201</v>
      </c>
      <c r="E19" s="5" t="s">
        <v>114</v>
      </c>
      <c r="F19" s="5" t="s">
        <v>115</v>
      </c>
      <c r="G19" s="5" t="s">
        <v>19</v>
      </c>
      <c r="H19" s="5" t="s">
        <v>116</v>
      </c>
      <c r="I19" s="5" t="s">
        <v>13</v>
      </c>
      <c r="J19" s="8" t="n">
        <v>20</v>
      </c>
      <c r="K19" s="21" t="n">
        <v>0.19</v>
      </c>
      <c r="L19" s="8" t="n">
        <v>3.8</v>
      </c>
      <c r="M19" s="8" t="n">
        <v>23.8</v>
      </c>
      <c r="N19" s="8" t="n">
        <v>23.8</v>
      </c>
      <c r="O19" s="5" t="s">
        <v>117</v>
      </c>
      <c r="P19" s="22" t="n">
        <f aca="false">M19/$B$42</f>
        <v>20.5296299491072</v>
      </c>
      <c r="Q19" s="5" t="s">
        <v>118</v>
      </c>
      <c r="R19" s="5" t="s">
        <v>202</v>
      </c>
      <c r="S19" s="23" t="s">
        <v>203</v>
      </c>
      <c r="T19" s="23" t="n">
        <f aca="false">ROUND(L19/$B$42,2)</f>
        <v>3.28</v>
      </c>
    </row>
    <row r="20" customFormat="false" ht="178.5" hidden="false" customHeight="true" outlineLevel="0" collapsed="false">
      <c r="A20" s="5" t="s">
        <v>204</v>
      </c>
      <c r="B20" s="20" t="n">
        <v>46257</v>
      </c>
      <c r="C20" s="5" t="s">
        <v>205</v>
      </c>
      <c r="D20" s="5" t="s">
        <v>206</v>
      </c>
      <c r="E20" s="5" t="s">
        <v>124</v>
      </c>
      <c r="F20" s="5" t="s">
        <v>125</v>
      </c>
      <c r="G20" s="5" t="s">
        <v>11</v>
      </c>
      <c r="H20" s="5" t="s">
        <v>126</v>
      </c>
      <c r="I20" s="5" t="s">
        <v>13</v>
      </c>
      <c r="J20" s="8" t="n">
        <v>53.83</v>
      </c>
      <c r="K20" s="5" t="s">
        <v>127</v>
      </c>
      <c r="L20" s="8" t="n">
        <v>0</v>
      </c>
      <c r="M20" s="8" t="n">
        <v>53.83</v>
      </c>
      <c r="N20" s="8" t="n">
        <v>53.83</v>
      </c>
      <c r="O20" s="5" t="s">
        <v>128</v>
      </c>
      <c r="P20" s="22" t="n">
        <f aca="false">M20/$B$42</f>
        <v>46.433192443716</v>
      </c>
      <c r="Q20" s="5" t="s">
        <v>29</v>
      </c>
      <c r="R20" s="5" t="s">
        <v>207</v>
      </c>
      <c r="S20" s="23" t="s">
        <v>208</v>
      </c>
      <c r="T20" s="23" t="s">
        <v>131</v>
      </c>
    </row>
    <row r="21" customFormat="false" ht="51.75" hidden="false" customHeight="true" outlineLevel="0" collapsed="false">
      <c r="A21" s="5" t="s">
        <v>209</v>
      </c>
      <c r="B21" s="20" t="n">
        <v>46260</v>
      </c>
      <c r="C21" s="5" t="s">
        <v>210</v>
      </c>
      <c r="D21" s="5" t="s">
        <v>211</v>
      </c>
      <c r="E21" s="5" t="s">
        <v>176</v>
      </c>
      <c r="F21" s="5" t="s">
        <v>177</v>
      </c>
      <c r="G21" s="5" t="s">
        <v>50</v>
      </c>
      <c r="H21" s="5" t="s">
        <v>178</v>
      </c>
      <c r="I21" s="5" t="s">
        <v>35</v>
      </c>
      <c r="J21" s="12" t="n">
        <v>2.1</v>
      </c>
      <c r="K21" s="21" t="n">
        <v>0.19</v>
      </c>
      <c r="L21" s="12" t="n">
        <v>0.4</v>
      </c>
      <c r="M21" s="12" t="n">
        <v>2.5</v>
      </c>
      <c r="N21" s="12" t="n">
        <v>2.5</v>
      </c>
      <c r="O21" s="5" t="s">
        <v>196</v>
      </c>
      <c r="P21" s="22" t="n">
        <f aca="false">M21</f>
        <v>2.5</v>
      </c>
      <c r="Q21" s="5" t="s">
        <v>108</v>
      </c>
      <c r="R21" s="5" t="s">
        <v>212</v>
      </c>
      <c r="S21" s="23" t="s">
        <v>213</v>
      </c>
      <c r="T21" s="23" t="n">
        <f aca="false">ROUND(L21,2)</f>
        <v>0.4</v>
      </c>
    </row>
    <row r="22" customFormat="false" ht="51.75" hidden="false" customHeight="true" outlineLevel="0" collapsed="false">
      <c r="A22" s="5" t="s">
        <v>214</v>
      </c>
      <c r="B22" s="20" t="n">
        <v>46269</v>
      </c>
      <c r="C22" s="5" t="s">
        <v>215</v>
      </c>
      <c r="D22" s="5" t="s">
        <v>216</v>
      </c>
      <c r="E22" s="5" t="s">
        <v>217</v>
      </c>
      <c r="F22" s="5" t="s">
        <v>177</v>
      </c>
      <c r="G22" s="5" t="s">
        <v>218</v>
      </c>
      <c r="H22" s="5" t="s">
        <v>178</v>
      </c>
      <c r="I22" s="5" t="s">
        <v>35</v>
      </c>
      <c r="J22" s="12" t="n">
        <v>50.47</v>
      </c>
      <c r="K22" s="21" t="n">
        <v>0.07</v>
      </c>
      <c r="L22" s="12" t="n">
        <v>3.53</v>
      </c>
      <c r="M22" s="12" t="n">
        <v>54</v>
      </c>
      <c r="N22" s="12" t="n">
        <v>54</v>
      </c>
      <c r="O22" s="5" t="s">
        <v>219</v>
      </c>
      <c r="P22" s="22" t="n">
        <f aca="false">M22</f>
        <v>54</v>
      </c>
      <c r="Q22" s="5" t="s">
        <v>220</v>
      </c>
      <c r="R22" s="5" t="s">
        <v>221</v>
      </c>
      <c r="S22" s="23" t="s">
        <v>222</v>
      </c>
      <c r="T22" s="23" t="n">
        <f aca="false">ROUND(L22,2)</f>
        <v>3.53</v>
      </c>
    </row>
    <row r="23" customFormat="false" ht="15" hidden="false" customHeight="true" outlineLevel="0" collapsed="false">
      <c r="A23" s="24"/>
      <c r="B23" s="24"/>
      <c r="C23" s="24"/>
      <c r="D23" s="24"/>
      <c r="E23" s="24"/>
      <c r="F23" s="24"/>
      <c r="G23" s="24"/>
      <c r="H23" s="24"/>
      <c r="I23" s="24"/>
      <c r="J23" s="24"/>
      <c r="K23" s="24"/>
      <c r="L23" s="24"/>
      <c r="M23" s="24"/>
      <c r="N23" s="24"/>
      <c r="O23" s="24"/>
      <c r="P23" s="24"/>
      <c r="Q23" s="24"/>
      <c r="R23" s="24"/>
      <c r="S23" s="4" t="s">
        <v>223</v>
      </c>
      <c r="T23" s="4" t="n">
        <f aca="false">ROUND(SUM(T5:T22),2)</f>
        <v>42.26</v>
      </c>
    </row>
    <row r="24" customFormat="false" ht="15" hidden="false" customHeight="true" outlineLevel="0" collapsed="false">
      <c r="A24" s="25"/>
      <c r="B24" s="24"/>
      <c r="C24" s="24"/>
      <c r="D24" s="24"/>
      <c r="E24" s="24"/>
      <c r="F24" s="24"/>
      <c r="G24" s="24"/>
      <c r="H24" s="24"/>
      <c r="I24" s="24"/>
      <c r="J24" s="24"/>
      <c r="K24" s="24"/>
      <c r="L24" s="24"/>
      <c r="M24" s="24"/>
      <c r="N24" s="24"/>
      <c r="O24" s="24"/>
      <c r="P24" s="24"/>
      <c r="Q24" s="24"/>
      <c r="R24" s="24"/>
      <c r="S24" s="4" t="s">
        <v>224</v>
      </c>
      <c r="T24" s="4" t="n">
        <f aca="false">ROUND(T5+T13+T16,2)</f>
        <v>12.29</v>
      </c>
    </row>
    <row r="25" customFormat="false" ht="15" hidden="false" customHeight="true" outlineLevel="0" collapsed="false">
      <c r="A25" s="26"/>
      <c r="B25" s="26"/>
      <c r="C25" s="24"/>
      <c r="D25" s="24"/>
      <c r="E25" s="24"/>
      <c r="F25" s="24"/>
      <c r="G25" s="24"/>
      <c r="H25" s="24"/>
      <c r="I25" s="24"/>
      <c r="J25" s="24"/>
      <c r="K25" s="24"/>
      <c r="L25" s="24"/>
      <c r="M25" s="24"/>
      <c r="N25" s="24"/>
      <c r="O25" s="24"/>
      <c r="P25" s="24"/>
      <c r="Q25" s="24"/>
      <c r="R25" s="24"/>
      <c r="S25" s="4" t="s">
        <v>225</v>
      </c>
      <c r="T25" s="4" t="n">
        <f aca="false">ROUND(T23-T24,2)</f>
        <v>29.97</v>
      </c>
    </row>
    <row r="26" customFormat="false" ht="15" hidden="false" customHeight="true" outlineLevel="0" collapsed="false">
      <c r="A26" s="24"/>
      <c r="B26" s="27"/>
      <c r="C26" s="24"/>
      <c r="D26" s="24"/>
      <c r="E26" s="24"/>
      <c r="F26" s="24"/>
      <c r="G26" s="24"/>
      <c r="H26" s="24"/>
      <c r="I26" s="24"/>
      <c r="J26" s="24"/>
      <c r="K26" s="24"/>
      <c r="L26" s="24"/>
      <c r="M26" s="24"/>
      <c r="N26" s="24"/>
      <c r="O26" s="24"/>
      <c r="P26" s="24"/>
      <c r="Q26" s="24"/>
      <c r="R26" s="24"/>
      <c r="S26" s="24" t="s">
        <v>226</v>
      </c>
    </row>
    <row r="27" customFormat="false" ht="15" hidden="false" customHeight="true" outlineLevel="0" collapsed="false">
      <c r="A27" s="24"/>
      <c r="B27" s="27"/>
      <c r="C27" s="24"/>
      <c r="D27" s="24"/>
      <c r="E27" s="24"/>
      <c r="F27" s="24"/>
      <c r="G27" s="24"/>
      <c r="H27" s="24"/>
      <c r="I27" s="24"/>
      <c r="J27" s="24"/>
      <c r="K27" s="24"/>
      <c r="L27" s="24"/>
      <c r="M27" s="24"/>
      <c r="N27" s="24"/>
      <c r="O27" s="24"/>
      <c r="P27" s="24"/>
      <c r="Q27" s="24"/>
      <c r="R27" s="24"/>
      <c r="S27" s="24"/>
    </row>
    <row r="28" customFormat="false" ht="15" hidden="false" customHeight="true" outlineLevel="0" collapsed="false">
      <c r="A28" s="24"/>
      <c r="B28" s="27"/>
      <c r="C28" s="24"/>
      <c r="D28" s="24"/>
      <c r="E28" s="24"/>
      <c r="F28" s="24"/>
      <c r="G28" s="24"/>
      <c r="H28" s="24"/>
      <c r="I28" s="24"/>
      <c r="J28" s="24"/>
      <c r="K28" s="24"/>
      <c r="L28" s="24"/>
      <c r="M28" s="24"/>
      <c r="N28" s="24"/>
      <c r="O28" s="24"/>
      <c r="P28" s="24"/>
      <c r="Q28" s="24"/>
      <c r="R28" s="24"/>
      <c r="S28" s="24"/>
    </row>
    <row r="29" customFormat="false" ht="15" hidden="false" customHeight="true" outlineLevel="0" collapsed="false">
      <c r="A29" s="24"/>
      <c r="B29" s="27"/>
      <c r="C29" s="24"/>
      <c r="D29" s="24"/>
      <c r="E29" s="24"/>
      <c r="F29" s="24"/>
      <c r="G29" s="24"/>
      <c r="H29" s="24"/>
      <c r="I29" s="24"/>
      <c r="J29" s="24"/>
      <c r="K29" s="24"/>
      <c r="L29" s="24"/>
      <c r="M29" s="24"/>
      <c r="N29" s="24"/>
      <c r="O29" s="24"/>
      <c r="P29" s="24"/>
      <c r="Q29" s="24"/>
      <c r="R29" s="24"/>
      <c r="S29" s="24"/>
    </row>
    <row r="30" customFormat="false" ht="15" hidden="false" customHeight="true" outlineLevel="0" collapsed="false">
      <c r="A30" s="24"/>
      <c r="B30" s="24"/>
      <c r="C30" s="24"/>
      <c r="D30" s="24"/>
      <c r="E30" s="24"/>
      <c r="F30" s="24"/>
      <c r="G30" s="24"/>
      <c r="H30" s="24"/>
      <c r="I30" s="24"/>
      <c r="J30" s="24"/>
      <c r="K30" s="24"/>
      <c r="L30" s="24"/>
      <c r="M30" s="24"/>
      <c r="N30" s="24"/>
      <c r="O30" s="24"/>
      <c r="P30" s="24"/>
      <c r="Q30" s="24"/>
      <c r="R30" s="24"/>
      <c r="S30" s="24"/>
    </row>
    <row r="31" customFormat="false" ht="15" hidden="false" customHeight="true" outlineLevel="0" collapsed="false">
      <c r="A31" s="28"/>
      <c r="B31" s="24"/>
      <c r="C31" s="24"/>
      <c r="D31" s="24"/>
      <c r="E31" s="24"/>
      <c r="F31" s="24"/>
      <c r="G31" s="24"/>
      <c r="H31" s="24"/>
      <c r="I31" s="24"/>
      <c r="J31" s="24"/>
      <c r="K31" s="24"/>
      <c r="L31" s="24"/>
      <c r="M31" s="24"/>
      <c r="N31" s="24"/>
      <c r="O31" s="24"/>
      <c r="P31" s="24"/>
      <c r="Q31" s="24"/>
      <c r="R31" s="24"/>
      <c r="S31" s="24"/>
    </row>
    <row r="32" customFormat="false" ht="15" hidden="false" customHeight="true" outlineLevel="0" collapsed="false">
      <c r="A32" s="24"/>
      <c r="B32" s="24"/>
      <c r="C32" s="24"/>
      <c r="D32" s="24"/>
      <c r="E32" s="24"/>
      <c r="F32" s="24"/>
      <c r="G32" s="24"/>
      <c r="H32" s="24"/>
      <c r="I32" s="24"/>
      <c r="J32" s="24"/>
      <c r="K32" s="24"/>
      <c r="L32" s="24"/>
      <c r="M32" s="24"/>
      <c r="N32" s="24"/>
      <c r="O32" s="24"/>
      <c r="P32" s="24"/>
      <c r="Q32" s="24"/>
      <c r="R32" s="24"/>
      <c r="S32" s="24"/>
    </row>
    <row r="33" customFormat="false" ht="15" hidden="false" customHeight="true" outlineLevel="0" collapsed="false">
      <c r="A33" s="24"/>
      <c r="B33" s="24"/>
      <c r="C33" s="24"/>
      <c r="D33" s="24"/>
      <c r="E33" s="24"/>
      <c r="F33" s="24"/>
      <c r="G33" s="24"/>
      <c r="H33" s="24"/>
      <c r="I33" s="24"/>
      <c r="J33" s="24"/>
      <c r="K33" s="24"/>
      <c r="L33" s="24"/>
      <c r="M33" s="24"/>
      <c r="N33" s="24"/>
      <c r="O33" s="24"/>
      <c r="P33" s="24"/>
      <c r="Q33" s="24"/>
      <c r="R33" s="24"/>
      <c r="S33" s="24"/>
    </row>
    <row r="34" customFormat="false" ht="15" hidden="false" customHeight="true" outlineLevel="0" collapsed="false">
      <c r="A34" s="24"/>
      <c r="B34" s="24"/>
      <c r="C34" s="24"/>
      <c r="D34" s="24"/>
      <c r="E34" s="24"/>
      <c r="F34" s="24"/>
      <c r="G34" s="24"/>
      <c r="H34" s="24"/>
      <c r="I34" s="24"/>
      <c r="J34" s="24"/>
      <c r="K34" s="24"/>
      <c r="L34" s="24"/>
      <c r="M34" s="24"/>
      <c r="N34" s="24"/>
      <c r="O34" s="24"/>
      <c r="P34" s="24"/>
      <c r="Q34" s="24"/>
      <c r="R34" s="24"/>
      <c r="S34" s="24"/>
    </row>
    <row r="37" customFormat="false" ht="15" hidden="false" customHeight="false" outlineLevel="0" collapsed="false">
      <c r="A37" s="29" t="s">
        <v>227</v>
      </c>
    </row>
    <row r="38" customFormat="false" ht="15" hidden="false" customHeight="false" outlineLevel="0" collapsed="false">
      <c r="A38" s="30" t="s">
        <v>228</v>
      </c>
      <c r="B38" s="30" t="s">
        <v>229</v>
      </c>
    </row>
    <row r="39" customFormat="false" ht="15" hidden="false" customHeight="false" outlineLevel="0" collapsed="false">
      <c r="A39" s="1" t="s">
        <v>230</v>
      </c>
      <c r="B39" s="31" t="n">
        <v>1.1673</v>
      </c>
    </row>
    <row r="40" customFormat="false" ht="15" hidden="false" customHeight="false" outlineLevel="0" collapsed="false">
      <c r="A40" s="1" t="s">
        <v>231</v>
      </c>
      <c r="B40" s="31" t="n">
        <v>1.1518</v>
      </c>
    </row>
    <row r="41" customFormat="false" ht="15" hidden="false" customHeight="false" outlineLevel="0" collapsed="false">
      <c r="A41" s="1" t="s">
        <v>232</v>
      </c>
      <c r="B41" s="31" t="n">
        <v>1.1417</v>
      </c>
    </row>
    <row r="42" customFormat="false" ht="15" hidden="false" customHeight="false" outlineLevel="0" collapsed="false">
      <c r="A42" s="1" t="s">
        <v>233</v>
      </c>
      <c r="B42" s="31" t="n">
        <v>1.1593</v>
      </c>
    </row>
    <row r="44" customFormat="false" ht="15" hidden="false" customHeight="false" outlineLevel="0" collapsed="false">
      <c r="A44" s="1" t="s">
        <v>234</v>
      </c>
    </row>
  </sheetData>
  <mergeCells count="2">
    <mergeCell ref="A1:S1"/>
    <mergeCell ref="A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30"/>
    <col collapsed="false" customWidth="true" hidden="false" outlineLevel="0" max="9" min="2" style="1" width="13"/>
    <col collapsed="false" customWidth="true" hidden="false" outlineLevel="0" max="10" min="10" style="1" width="16"/>
  </cols>
  <sheetData>
    <row r="1" customFormat="false" ht="17.25" hidden="false" customHeight="true" outlineLevel="0" collapsed="false">
      <c r="A1" s="2" t="s">
        <v>235</v>
      </c>
      <c r="B1" s="2"/>
      <c r="C1" s="2"/>
      <c r="D1" s="2"/>
      <c r="E1" s="2"/>
      <c r="F1" s="2"/>
      <c r="G1" s="2"/>
      <c r="H1" s="2"/>
      <c r="I1" s="2"/>
      <c r="J1" s="2"/>
    </row>
    <row r="2" customFormat="false" ht="15" hidden="false" customHeight="true" outlineLevel="0" collapsed="false">
      <c r="A2" s="3" t="s">
        <v>236</v>
      </c>
      <c r="B2" s="3"/>
      <c r="C2" s="3"/>
      <c r="D2" s="3"/>
      <c r="E2" s="3"/>
      <c r="F2" s="3"/>
      <c r="G2" s="3"/>
      <c r="H2" s="3"/>
      <c r="I2" s="3"/>
      <c r="J2" s="3"/>
    </row>
    <row r="4" customFormat="false" ht="26.25" hidden="false" customHeight="true" outlineLevel="0" collapsed="false">
      <c r="A4" s="32" t="s">
        <v>2</v>
      </c>
      <c r="B4" s="33" t="s">
        <v>237</v>
      </c>
      <c r="C4" s="33" t="s">
        <v>238</v>
      </c>
      <c r="D4" s="33" t="s">
        <v>239</v>
      </c>
      <c r="E4" s="33" t="s">
        <v>240</v>
      </c>
      <c r="F4" s="33" t="s">
        <v>241</v>
      </c>
      <c r="G4" s="33" t="s">
        <v>242</v>
      </c>
      <c r="H4" s="33" t="s">
        <v>243</v>
      </c>
      <c r="I4" s="33" t="s">
        <v>244</v>
      </c>
      <c r="J4" s="34" t="s">
        <v>245</v>
      </c>
    </row>
    <row r="5" customFormat="false" ht="15" hidden="false" customHeight="true" outlineLevel="0" collapsed="false">
      <c r="A5" s="35" t="s">
        <v>11</v>
      </c>
      <c r="B5" s="36" t="n">
        <f aca="false">IF(COUNTIFS(Rechnungsjournal!$G$5:$G$34,$A5,Rechnungsjournal!$B$5:$B$34,"&gt;="&amp;DATE(2026,5,1),Rechnungsjournal!$B$5:$B$34,"&lt;"&amp;DATE(2026,6,1))=0,"",SUMIFS(Rechnungsjournal!$N$5:$N$34,Rechnungsjournal!$G$5:$G$34,$A5,Rechnungsjournal!$B$5:$B$34,"&gt;="&amp;DATE(2026,5,1),Rechnungsjournal!$B$5:$B$34,"&lt;"&amp;DATE(2026,6,1)))</f>
        <v>25</v>
      </c>
      <c r="C5" s="36" t="n">
        <f aca="false">IF(COUNTIFS(Rechnungsjournal!$G$5:$G$34,$A5,Rechnungsjournal!$B$5:$B$34,"&gt;="&amp;DATE(2026,6,1),Rechnungsjournal!$B$5:$B$34,"&lt;"&amp;DATE(2026,7,1))=0,"",SUMIFS(Rechnungsjournal!$N$5:$N$34,Rechnungsjournal!$G$5:$G$34,$A5,Rechnungsjournal!$B$5:$B$34,"&gt;="&amp;DATE(2026,6,1),Rechnungsjournal!$B$5:$B$34,"&lt;"&amp;DATE(2026,7,1)))</f>
        <v>49.97</v>
      </c>
      <c r="D5" s="36" t="n">
        <f aca="false">IF(COUNTIFS(Rechnungsjournal!$G$5:$G$34,$A5,Rechnungsjournal!$B$5:$B$34,"&gt;="&amp;DATE(2026,7,1),Rechnungsjournal!$B$5:$B$34,"&lt;"&amp;DATE(2026,8,1))=0,"",SUMIFS(Rechnungsjournal!$N$5:$N$34,Rechnungsjournal!$G$5:$G$34,$A5,Rechnungsjournal!$B$5:$B$34,"&gt;="&amp;DATE(2026,7,1),Rechnungsjournal!$B$5:$B$34,"&lt;"&amp;DATE(2026,8,1)))</f>
        <v>54.3</v>
      </c>
      <c r="E5" s="36" t="n">
        <f aca="false">IF(COUNTIFS(Rechnungsjournal!$G$5:$G$34,$A5,Rechnungsjournal!$B$5:$B$34,"&gt;="&amp;DATE(2026,8,1),Rechnungsjournal!$B$5:$B$34,"&lt;"&amp;DATE(2026,9,1))=0,"",SUMIFS(Rechnungsjournal!$N$5:$N$34,Rechnungsjournal!$G$5:$G$34,$A5,Rechnungsjournal!$B$5:$B$34,"&gt;="&amp;DATE(2026,8,1),Rechnungsjournal!$B$5:$B$34,"&lt;"&amp;DATE(2026,9,1)))</f>
        <v>53.83</v>
      </c>
      <c r="F5" s="36" t="str">
        <f aca="false">IF(COUNTIFS(Rechnungsjournal!$G$5:$G$34,$A5,Rechnungsjournal!$B$5:$B$34,"&gt;="&amp;DATE(2026,9,1),Rechnungsjournal!$B$5:$B$34,"&lt;"&amp;DATE(2026,10,1))=0,"",SUMIFS(Rechnungsjournal!$N$5:$N$34,Rechnungsjournal!$G$5:$G$34,$A5,Rechnungsjournal!$B$5:$B$34,"&gt;="&amp;DATE(2026,9,1),Rechnungsjournal!$B$5:$B$34,"&lt;"&amp;DATE(2026,10,1)))</f>
        <v/>
      </c>
      <c r="G5" s="36" t="str">
        <f aca="false">IF(COUNTIFS(Rechnungsjournal!$G$5:$G$34,$A5,Rechnungsjournal!$B$5:$B$34,"&gt;="&amp;DATE(2026,10,1),Rechnungsjournal!$B$5:$B$34,"&lt;"&amp;DATE(2026,11,1))=0,"",SUMIFS(Rechnungsjournal!$N$5:$N$34,Rechnungsjournal!$G$5:$G$34,$A5,Rechnungsjournal!$B$5:$B$34,"&gt;="&amp;DATE(2026,10,1),Rechnungsjournal!$B$5:$B$34,"&lt;"&amp;DATE(2026,11,1)))</f>
        <v/>
      </c>
      <c r="H5" s="36" t="str">
        <f aca="false">IF(COUNTIFS(Rechnungsjournal!$G$5:$G$34,$A5,Rechnungsjournal!$B$5:$B$34,"&gt;="&amp;DATE(2026,11,1),Rechnungsjournal!$B$5:$B$34,"&lt;"&amp;DATE(2026,12,1))=0,"",SUMIFS(Rechnungsjournal!$N$5:$N$34,Rechnungsjournal!$G$5:$G$34,$A5,Rechnungsjournal!$B$5:$B$34,"&gt;="&amp;DATE(2026,11,1),Rechnungsjournal!$B$5:$B$34,"&lt;"&amp;DATE(2026,12,1)))</f>
        <v/>
      </c>
      <c r="I5" s="36" t="str">
        <f aca="false">IF(COUNTIFS(Rechnungsjournal!$G$5:$G$34,$A5,Rechnungsjournal!$B$5:$B$34,"&gt;="&amp;DATE(2026,12,1),Rechnungsjournal!$B$5:$B$34,"&lt;"&amp;DATE(2027,1,1))=0,"",SUMIFS(Rechnungsjournal!$N$5:$N$34,Rechnungsjournal!$G$5:$G$34,$A5,Rechnungsjournal!$B$5:$B$34,"&gt;="&amp;DATE(2026,12,1),Rechnungsjournal!$B$5:$B$34,"&lt;"&amp;DATE(2027,1,1)))</f>
        <v/>
      </c>
      <c r="J5" s="37" t="n">
        <f aca="false">SUM(B5:I5)</f>
        <v>183.1</v>
      </c>
    </row>
    <row r="6" customFormat="false" ht="15" hidden="false" customHeight="true" outlineLevel="0" collapsed="false">
      <c r="A6" s="35" t="s">
        <v>19</v>
      </c>
      <c r="B6" s="36" t="n">
        <f aca="false">IF(COUNTIFS(Rechnungsjournal!$G$5:$G$34,$A6,Rechnungsjournal!$B$5:$B$34,"&gt;="&amp;DATE(2026,5,1),Rechnungsjournal!$B$5:$B$34,"&lt;"&amp;DATE(2026,6,1))=0,"",SUMIFS(Rechnungsjournal!$N$5:$N$34,Rechnungsjournal!$G$5:$G$34,$A6,Rechnungsjournal!$B$5:$B$34,"&gt;="&amp;DATE(2026,5,1),Rechnungsjournal!$B$5:$B$34,"&lt;"&amp;DATE(2026,6,1)))</f>
        <v>23.8</v>
      </c>
      <c r="C6" s="36" t="n">
        <f aca="false">IF(COUNTIFS(Rechnungsjournal!$G$5:$G$34,$A6,Rechnungsjournal!$B$5:$B$34,"&gt;="&amp;DATE(2026,6,1),Rechnungsjournal!$B$5:$B$34,"&lt;"&amp;DATE(2026,7,1))=0,"",SUMIFS(Rechnungsjournal!$N$5:$N$34,Rechnungsjournal!$G$5:$G$34,$A6,Rechnungsjournal!$B$5:$B$34,"&gt;="&amp;DATE(2026,6,1),Rechnungsjournal!$B$5:$B$34,"&lt;"&amp;DATE(2026,7,1)))</f>
        <v>23.8</v>
      </c>
      <c r="D6" s="36" t="n">
        <f aca="false">IF(COUNTIFS(Rechnungsjournal!$G$5:$G$34,$A6,Rechnungsjournal!$B$5:$B$34,"&gt;="&amp;DATE(2026,7,1),Rechnungsjournal!$B$5:$B$34,"&lt;"&amp;DATE(2026,8,1))=0,"",SUMIFS(Rechnungsjournal!$N$5:$N$34,Rechnungsjournal!$G$5:$G$34,$A6,Rechnungsjournal!$B$5:$B$34,"&gt;="&amp;DATE(2026,7,1),Rechnungsjournal!$B$5:$B$34,"&lt;"&amp;DATE(2026,8,1)))</f>
        <v>23.8</v>
      </c>
      <c r="E6" s="36" t="n">
        <f aca="false">IF(COUNTIFS(Rechnungsjournal!$G$5:$G$34,$A6,Rechnungsjournal!$B$5:$B$34,"&gt;="&amp;DATE(2026,8,1),Rechnungsjournal!$B$5:$B$34,"&lt;"&amp;DATE(2026,9,1))=0,"",SUMIFS(Rechnungsjournal!$N$5:$N$34,Rechnungsjournal!$G$5:$G$34,$A6,Rechnungsjournal!$B$5:$B$34,"&gt;="&amp;DATE(2026,8,1),Rechnungsjournal!$B$5:$B$34,"&lt;"&amp;DATE(2026,9,1)))</f>
        <v>23.8</v>
      </c>
      <c r="F6" s="36" t="str">
        <f aca="false">IF(COUNTIFS(Rechnungsjournal!$G$5:$G$34,$A6,Rechnungsjournal!$B$5:$B$34,"&gt;="&amp;DATE(2026,9,1),Rechnungsjournal!$B$5:$B$34,"&lt;"&amp;DATE(2026,10,1))=0,"",SUMIFS(Rechnungsjournal!$N$5:$N$34,Rechnungsjournal!$G$5:$G$34,$A6,Rechnungsjournal!$B$5:$B$34,"&gt;="&amp;DATE(2026,9,1),Rechnungsjournal!$B$5:$B$34,"&lt;"&amp;DATE(2026,10,1)))</f>
        <v/>
      </c>
      <c r="G6" s="36" t="str">
        <f aca="false">IF(COUNTIFS(Rechnungsjournal!$G$5:$G$34,$A6,Rechnungsjournal!$B$5:$B$34,"&gt;="&amp;DATE(2026,10,1),Rechnungsjournal!$B$5:$B$34,"&lt;"&amp;DATE(2026,11,1))=0,"",SUMIFS(Rechnungsjournal!$N$5:$N$34,Rechnungsjournal!$G$5:$G$34,$A6,Rechnungsjournal!$B$5:$B$34,"&gt;="&amp;DATE(2026,10,1),Rechnungsjournal!$B$5:$B$34,"&lt;"&amp;DATE(2026,11,1)))</f>
        <v/>
      </c>
      <c r="H6" s="36" t="str">
        <f aca="false">IF(COUNTIFS(Rechnungsjournal!$G$5:$G$34,$A6,Rechnungsjournal!$B$5:$B$34,"&gt;="&amp;DATE(2026,11,1),Rechnungsjournal!$B$5:$B$34,"&lt;"&amp;DATE(2026,12,1))=0,"",SUMIFS(Rechnungsjournal!$N$5:$N$34,Rechnungsjournal!$G$5:$G$34,$A6,Rechnungsjournal!$B$5:$B$34,"&gt;="&amp;DATE(2026,11,1),Rechnungsjournal!$B$5:$B$34,"&lt;"&amp;DATE(2026,12,1)))</f>
        <v/>
      </c>
      <c r="I6" s="36" t="str">
        <f aca="false">IF(COUNTIFS(Rechnungsjournal!$G$5:$G$34,$A6,Rechnungsjournal!$B$5:$B$34,"&gt;="&amp;DATE(2026,12,1),Rechnungsjournal!$B$5:$B$34,"&lt;"&amp;DATE(2027,1,1))=0,"",SUMIFS(Rechnungsjournal!$N$5:$N$34,Rechnungsjournal!$G$5:$G$34,$A6,Rechnungsjournal!$B$5:$B$34,"&gt;="&amp;DATE(2026,12,1),Rechnungsjournal!$B$5:$B$34,"&lt;"&amp;DATE(2027,1,1)))</f>
        <v/>
      </c>
      <c r="J6" s="37" t="n">
        <f aca="false">SUM(B6:I6)</f>
        <v>95.2</v>
      </c>
    </row>
    <row r="7" customFormat="false" ht="15" hidden="false" customHeight="true" outlineLevel="0" collapsed="false">
      <c r="A7" s="35" t="s">
        <v>26</v>
      </c>
      <c r="B7" s="36" t="str">
        <f aca="false">IF(COUNTIFS(Rechnungsjournal!$G$5:$G$34,$A7,Rechnungsjournal!$B$5:$B$34,"&gt;="&amp;DATE(2026,5,1),Rechnungsjournal!$B$5:$B$34,"&lt;"&amp;DATE(2026,6,1))=0,"",SUMIFS(Rechnungsjournal!$N$5:$N$34,Rechnungsjournal!$G$5:$G$34,$A7,Rechnungsjournal!$B$5:$B$34,"&gt;="&amp;DATE(2026,5,1),Rechnungsjournal!$B$5:$B$34,"&lt;"&amp;DATE(2026,6,1)))</f>
        <v/>
      </c>
      <c r="C7" s="36" t="str">
        <f aca="false">IF(COUNTIFS(Rechnungsjournal!$G$5:$G$34,$A7,Rechnungsjournal!$B$5:$B$34,"&gt;="&amp;DATE(2026,6,1),Rechnungsjournal!$B$5:$B$34,"&lt;"&amp;DATE(2026,7,1))=0,"",SUMIFS(Rechnungsjournal!$N$5:$N$34,Rechnungsjournal!$G$5:$G$34,$A7,Rechnungsjournal!$B$5:$B$34,"&gt;="&amp;DATE(2026,6,1),Rechnungsjournal!$B$5:$B$34,"&lt;"&amp;DATE(2026,7,1)))</f>
        <v/>
      </c>
      <c r="D7" s="36" t="str">
        <f aca="false">IF(COUNTIFS(Rechnungsjournal!$G$5:$G$34,$A7,Rechnungsjournal!$B$5:$B$34,"&gt;="&amp;DATE(2026,7,1),Rechnungsjournal!$B$5:$B$34,"&lt;"&amp;DATE(2026,8,1))=0,"",SUMIFS(Rechnungsjournal!$N$5:$N$34,Rechnungsjournal!$G$5:$G$34,$A7,Rechnungsjournal!$B$5:$B$34,"&gt;="&amp;DATE(2026,7,1),Rechnungsjournal!$B$5:$B$34,"&lt;"&amp;DATE(2026,8,1)))</f>
        <v/>
      </c>
      <c r="E7" s="36" t="n">
        <f aca="false">IF(COUNTIFS(Rechnungsjournal!$G$5:$G$34,$A7,Rechnungsjournal!$B$5:$B$34,"&gt;="&amp;DATE(2026,8,1),Rechnungsjournal!$B$5:$B$34,"&lt;"&amp;DATE(2026,9,1))=0,"",SUMIFS(Rechnungsjournal!$N$5:$N$34,Rechnungsjournal!$G$5:$G$34,$A7,Rechnungsjournal!$B$5:$B$34,"&gt;="&amp;DATE(2026,8,1),Rechnungsjournal!$B$5:$B$34,"&lt;"&amp;DATE(2026,9,1)))</f>
        <v>53.55</v>
      </c>
      <c r="F7" s="36" t="str">
        <f aca="false">IF(COUNTIFS(Rechnungsjournal!$G$5:$G$34,$A7,Rechnungsjournal!$B$5:$B$34,"&gt;="&amp;DATE(2026,9,1),Rechnungsjournal!$B$5:$B$34,"&lt;"&amp;DATE(2026,10,1))=0,"",SUMIFS(Rechnungsjournal!$N$5:$N$34,Rechnungsjournal!$G$5:$G$34,$A7,Rechnungsjournal!$B$5:$B$34,"&gt;="&amp;DATE(2026,9,1),Rechnungsjournal!$B$5:$B$34,"&lt;"&amp;DATE(2026,10,1)))</f>
        <v/>
      </c>
      <c r="G7" s="36" t="str">
        <f aca="false">IF(COUNTIFS(Rechnungsjournal!$G$5:$G$34,$A7,Rechnungsjournal!$B$5:$B$34,"&gt;="&amp;DATE(2026,10,1),Rechnungsjournal!$B$5:$B$34,"&lt;"&amp;DATE(2026,11,1))=0,"",SUMIFS(Rechnungsjournal!$N$5:$N$34,Rechnungsjournal!$G$5:$G$34,$A7,Rechnungsjournal!$B$5:$B$34,"&gt;="&amp;DATE(2026,10,1),Rechnungsjournal!$B$5:$B$34,"&lt;"&amp;DATE(2026,11,1)))</f>
        <v/>
      </c>
      <c r="H7" s="36" t="str">
        <f aca="false">IF(COUNTIFS(Rechnungsjournal!$G$5:$G$34,$A7,Rechnungsjournal!$B$5:$B$34,"&gt;="&amp;DATE(2026,11,1),Rechnungsjournal!$B$5:$B$34,"&lt;"&amp;DATE(2026,12,1))=0,"",SUMIFS(Rechnungsjournal!$N$5:$N$34,Rechnungsjournal!$G$5:$G$34,$A7,Rechnungsjournal!$B$5:$B$34,"&gt;="&amp;DATE(2026,11,1),Rechnungsjournal!$B$5:$B$34,"&lt;"&amp;DATE(2026,12,1)))</f>
        <v/>
      </c>
      <c r="I7" s="36" t="str">
        <f aca="false">IF(COUNTIFS(Rechnungsjournal!$G$5:$G$34,$A7,Rechnungsjournal!$B$5:$B$34,"&gt;="&amp;DATE(2026,12,1),Rechnungsjournal!$B$5:$B$34,"&lt;"&amp;DATE(2027,1,1))=0,"",SUMIFS(Rechnungsjournal!$N$5:$N$34,Rechnungsjournal!$G$5:$G$34,$A7,Rechnungsjournal!$B$5:$B$34,"&gt;="&amp;DATE(2026,12,1),Rechnungsjournal!$B$5:$B$34,"&lt;"&amp;DATE(2027,1,1)))</f>
        <v/>
      </c>
      <c r="J7" s="37" t="n">
        <f aca="false">SUM(B7:I7)</f>
        <v>53.55</v>
      </c>
    </row>
    <row r="8" customFormat="false" ht="15" hidden="false" customHeight="true" outlineLevel="0" collapsed="false">
      <c r="A8" s="35" t="s">
        <v>33</v>
      </c>
      <c r="B8" s="38" t="n">
        <f aca="false">IF(COUNTIFS(Rechnungsjournal!$G$5:$G$34,$A8,Rechnungsjournal!$B$5:$B$34,"&gt;="&amp;DATE(2026,5,1),Rechnungsjournal!$B$5:$B$34,"&lt;"&amp;DATE(2026,6,1))=0,"",SUMIFS(Rechnungsjournal!$N$5:$N$34,Rechnungsjournal!$G$5:$G$34,$A8,Rechnungsjournal!$B$5:$B$34,"&gt;="&amp;DATE(2026,5,1),Rechnungsjournal!$B$5:$B$34,"&lt;"&amp;DATE(2026,6,1)))</f>
        <v>22</v>
      </c>
      <c r="C8" s="38" t="str">
        <f aca="false">IF(COUNTIFS(Rechnungsjournal!$G$5:$G$34,$A8,Rechnungsjournal!$B$5:$B$34,"&gt;="&amp;DATE(2026,6,1),Rechnungsjournal!$B$5:$B$34,"&lt;"&amp;DATE(2026,7,1))=0,"",SUMIFS(Rechnungsjournal!$N$5:$N$34,Rechnungsjournal!$G$5:$G$34,$A8,Rechnungsjournal!$B$5:$B$34,"&gt;="&amp;DATE(2026,6,1),Rechnungsjournal!$B$5:$B$34,"&lt;"&amp;DATE(2026,7,1)))</f>
        <v/>
      </c>
      <c r="D8" s="38" t="str">
        <f aca="false">IF(COUNTIFS(Rechnungsjournal!$G$5:$G$34,$A8,Rechnungsjournal!$B$5:$B$34,"&gt;="&amp;DATE(2026,7,1),Rechnungsjournal!$B$5:$B$34,"&lt;"&amp;DATE(2026,8,1))=0,"",SUMIFS(Rechnungsjournal!$N$5:$N$34,Rechnungsjournal!$G$5:$G$34,$A8,Rechnungsjournal!$B$5:$B$34,"&gt;="&amp;DATE(2026,7,1),Rechnungsjournal!$B$5:$B$34,"&lt;"&amp;DATE(2026,8,1)))</f>
        <v/>
      </c>
      <c r="E8" s="38" t="n">
        <f aca="false">IF(COUNTIFS(Rechnungsjournal!$G$5:$G$34,$A8,Rechnungsjournal!$B$5:$B$34,"&gt;="&amp;DATE(2026,8,1),Rechnungsjournal!$B$5:$B$34,"&lt;"&amp;DATE(2026,9,1))=0,"",SUMIFS(Rechnungsjournal!$N$5:$N$34,Rechnungsjournal!$G$5:$G$34,$A8,Rechnungsjournal!$B$5:$B$34,"&gt;="&amp;DATE(2026,8,1),Rechnungsjournal!$B$5:$B$34,"&lt;"&amp;DATE(2026,9,1)))</f>
        <v>22</v>
      </c>
      <c r="F8" s="38" t="str">
        <f aca="false">IF(COUNTIFS(Rechnungsjournal!$G$5:$G$34,$A8,Rechnungsjournal!$B$5:$B$34,"&gt;="&amp;DATE(2026,9,1),Rechnungsjournal!$B$5:$B$34,"&lt;"&amp;DATE(2026,10,1))=0,"",SUMIFS(Rechnungsjournal!$N$5:$N$34,Rechnungsjournal!$G$5:$G$34,$A8,Rechnungsjournal!$B$5:$B$34,"&gt;="&amp;DATE(2026,9,1),Rechnungsjournal!$B$5:$B$34,"&lt;"&amp;DATE(2026,10,1)))</f>
        <v/>
      </c>
      <c r="G8" s="38" t="str">
        <f aca="false">IF(COUNTIFS(Rechnungsjournal!$G$5:$G$34,$A8,Rechnungsjournal!$B$5:$B$34,"&gt;="&amp;DATE(2026,10,1),Rechnungsjournal!$B$5:$B$34,"&lt;"&amp;DATE(2026,11,1))=0,"",SUMIFS(Rechnungsjournal!$N$5:$N$34,Rechnungsjournal!$G$5:$G$34,$A8,Rechnungsjournal!$B$5:$B$34,"&gt;="&amp;DATE(2026,10,1),Rechnungsjournal!$B$5:$B$34,"&lt;"&amp;DATE(2026,11,1)))</f>
        <v/>
      </c>
      <c r="H8" s="38" t="str">
        <f aca="false">IF(COUNTIFS(Rechnungsjournal!$G$5:$G$34,$A8,Rechnungsjournal!$B$5:$B$34,"&gt;="&amp;DATE(2026,11,1),Rechnungsjournal!$B$5:$B$34,"&lt;"&amp;DATE(2026,12,1))=0,"",SUMIFS(Rechnungsjournal!$N$5:$N$34,Rechnungsjournal!$G$5:$G$34,$A8,Rechnungsjournal!$B$5:$B$34,"&gt;="&amp;DATE(2026,11,1),Rechnungsjournal!$B$5:$B$34,"&lt;"&amp;DATE(2026,12,1)))</f>
        <v/>
      </c>
      <c r="I8" s="38" t="str">
        <f aca="false">IF(COUNTIFS(Rechnungsjournal!$G$5:$G$34,$A8,Rechnungsjournal!$B$5:$B$34,"&gt;="&amp;DATE(2026,12,1),Rechnungsjournal!$B$5:$B$34,"&lt;"&amp;DATE(2027,1,1))=0,"",SUMIFS(Rechnungsjournal!$N$5:$N$34,Rechnungsjournal!$G$5:$G$34,$A8,Rechnungsjournal!$B$5:$B$34,"&gt;="&amp;DATE(2026,12,1),Rechnungsjournal!$B$5:$B$34,"&lt;"&amp;DATE(2027,1,1)))</f>
        <v/>
      </c>
      <c r="J8" s="39" t="n">
        <f aca="false">SUM(B8:I8)</f>
        <v>44</v>
      </c>
    </row>
    <row r="9" customFormat="false" ht="15" hidden="false" customHeight="true" outlineLevel="0" collapsed="false">
      <c r="A9" s="35" t="s">
        <v>41</v>
      </c>
      <c r="B9" s="36" t="str">
        <f aca="false">IF(COUNTIFS(Rechnungsjournal!$G$5:$G$34,$A9,Rechnungsjournal!$B$5:$B$34,"&gt;="&amp;DATE(2026,5,1),Rechnungsjournal!$B$5:$B$34,"&lt;"&amp;DATE(2026,6,1))=0,"",SUMIFS(Rechnungsjournal!$N$5:$N$34,Rechnungsjournal!$G$5:$G$34,$A9,Rechnungsjournal!$B$5:$B$34,"&gt;="&amp;DATE(2026,5,1),Rechnungsjournal!$B$5:$B$34,"&lt;"&amp;DATE(2026,6,1)))</f>
        <v/>
      </c>
      <c r="C9" s="36" t="n">
        <f aca="false">IF(COUNTIFS(Rechnungsjournal!$G$5:$G$34,$A9,Rechnungsjournal!$B$5:$B$34,"&gt;="&amp;DATE(2026,6,1),Rechnungsjournal!$B$5:$B$34,"&lt;"&amp;DATE(2026,7,1))=0,"",SUMIFS(Rechnungsjournal!$N$5:$N$34,Rechnungsjournal!$G$5:$G$34,$A9,Rechnungsjournal!$B$5:$B$34,"&gt;="&amp;DATE(2026,6,1),Rechnungsjournal!$B$5:$B$34,"&lt;"&amp;DATE(2026,7,1)))</f>
        <v>17.85</v>
      </c>
      <c r="D9" s="36" t="str">
        <f aca="false">IF(COUNTIFS(Rechnungsjournal!$G$5:$G$34,$A9,Rechnungsjournal!$B$5:$B$34,"&gt;="&amp;DATE(2026,7,1),Rechnungsjournal!$B$5:$B$34,"&lt;"&amp;DATE(2026,8,1))=0,"",SUMIFS(Rechnungsjournal!$N$5:$N$34,Rechnungsjournal!$G$5:$G$34,$A9,Rechnungsjournal!$B$5:$B$34,"&gt;="&amp;DATE(2026,7,1),Rechnungsjournal!$B$5:$B$34,"&lt;"&amp;DATE(2026,8,1)))</f>
        <v/>
      </c>
      <c r="E9" s="36" t="str">
        <f aca="false">IF(COUNTIFS(Rechnungsjournal!$G$5:$G$34,$A9,Rechnungsjournal!$B$5:$B$34,"&gt;="&amp;DATE(2026,8,1),Rechnungsjournal!$B$5:$B$34,"&lt;"&amp;DATE(2026,9,1))=0,"",SUMIFS(Rechnungsjournal!$N$5:$N$34,Rechnungsjournal!$G$5:$G$34,$A9,Rechnungsjournal!$B$5:$B$34,"&gt;="&amp;DATE(2026,8,1),Rechnungsjournal!$B$5:$B$34,"&lt;"&amp;DATE(2026,9,1)))</f>
        <v/>
      </c>
      <c r="F9" s="36" t="str">
        <f aca="false">IF(COUNTIFS(Rechnungsjournal!$G$5:$G$34,$A9,Rechnungsjournal!$B$5:$B$34,"&gt;="&amp;DATE(2026,9,1),Rechnungsjournal!$B$5:$B$34,"&lt;"&amp;DATE(2026,10,1))=0,"",SUMIFS(Rechnungsjournal!$N$5:$N$34,Rechnungsjournal!$G$5:$G$34,$A9,Rechnungsjournal!$B$5:$B$34,"&gt;="&amp;DATE(2026,9,1),Rechnungsjournal!$B$5:$B$34,"&lt;"&amp;DATE(2026,10,1)))</f>
        <v/>
      </c>
      <c r="G9" s="36" t="str">
        <f aca="false">IF(COUNTIFS(Rechnungsjournal!$G$5:$G$34,$A9,Rechnungsjournal!$B$5:$B$34,"&gt;="&amp;DATE(2026,10,1),Rechnungsjournal!$B$5:$B$34,"&lt;"&amp;DATE(2026,11,1))=0,"",SUMIFS(Rechnungsjournal!$N$5:$N$34,Rechnungsjournal!$G$5:$G$34,$A9,Rechnungsjournal!$B$5:$B$34,"&gt;="&amp;DATE(2026,10,1),Rechnungsjournal!$B$5:$B$34,"&lt;"&amp;DATE(2026,11,1)))</f>
        <v/>
      </c>
      <c r="H9" s="36" t="str">
        <f aca="false">IF(COUNTIFS(Rechnungsjournal!$G$5:$G$34,$A9,Rechnungsjournal!$B$5:$B$34,"&gt;="&amp;DATE(2026,11,1),Rechnungsjournal!$B$5:$B$34,"&lt;"&amp;DATE(2026,12,1))=0,"",SUMIFS(Rechnungsjournal!$N$5:$N$34,Rechnungsjournal!$G$5:$G$34,$A9,Rechnungsjournal!$B$5:$B$34,"&gt;="&amp;DATE(2026,11,1),Rechnungsjournal!$B$5:$B$34,"&lt;"&amp;DATE(2026,12,1)))</f>
        <v/>
      </c>
      <c r="I9" s="36" t="str">
        <f aca="false">IF(COUNTIFS(Rechnungsjournal!$G$5:$G$34,$A9,Rechnungsjournal!$B$5:$B$34,"&gt;="&amp;DATE(2026,12,1),Rechnungsjournal!$B$5:$B$34,"&lt;"&amp;DATE(2027,1,1))=0,"",SUMIFS(Rechnungsjournal!$N$5:$N$34,Rechnungsjournal!$G$5:$G$34,$A9,Rechnungsjournal!$B$5:$B$34,"&gt;="&amp;DATE(2026,12,1),Rechnungsjournal!$B$5:$B$34,"&lt;"&amp;DATE(2027,1,1)))</f>
        <v/>
      </c>
      <c r="J9" s="37" t="n">
        <f aca="false">SUM(B9:I9)</f>
        <v>17.85</v>
      </c>
    </row>
    <row r="10" customFormat="false" ht="15" hidden="false" customHeight="true" outlineLevel="0" collapsed="false">
      <c r="A10" s="35" t="s">
        <v>45</v>
      </c>
      <c r="B10" s="40"/>
      <c r="C10" s="40"/>
      <c r="D10" s="40"/>
      <c r="E10" s="40"/>
      <c r="F10" s="40"/>
      <c r="G10" s="40"/>
      <c r="H10" s="40"/>
      <c r="I10" s="40"/>
      <c r="J10" s="41" t="n">
        <f aca="false">SUM(B10:I10)</f>
        <v>0</v>
      </c>
    </row>
    <row r="11" customFormat="false" ht="15" hidden="false" customHeight="true" outlineLevel="0" collapsed="false">
      <c r="A11" s="35" t="s">
        <v>50</v>
      </c>
      <c r="B11" s="38" t="n">
        <f aca="false">IF(COUNTIFS(Rechnungsjournal!$G$5:$G$34,$A11,Rechnungsjournal!$B$5:$B$34,"&gt;="&amp;DATE(2026,5,1),Rechnungsjournal!$B$5:$B$34,"&lt;"&amp;DATE(2026,6,1))=0,"",SUMIFS(Rechnungsjournal!$N$5:$N$34,Rechnungsjournal!$G$5:$G$34,$A11,Rechnungsjournal!$B$5:$B$34,"&gt;="&amp;DATE(2026,5,1),Rechnungsjournal!$B$5:$B$34,"&lt;"&amp;DATE(2026,6,1)))</f>
        <v>0</v>
      </c>
      <c r="C11" s="38" t="n">
        <f aca="false">IF(COUNTIFS(Rechnungsjournal!$G$5:$G$34,$A11,Rechnungsjournal!$B$5:$B$34,"&gt;="&amp;DATE(2026,6,1),Rechnungsjournal!$B$5:$B$34,"&lt;"&amp;DATE(2026,7,1))=0,"",SUMIFS(Rechnungsjournal!$N$5:$N$34,Rechnungsjournal!$G$5:$G$34,$A11,Rechnungsjournal!$B$5:$B$34,"&gt;="&amp;DATE(2026,6,1),Rechnungsjournal!$B$5:$B$34,"&lt;"&amp;DATE(2026,7,1)))</f>
        <v>15.5</v>
      </c>
      <c r="D11" s="38" t="n">
        <f aca="false">IF(COUNTIFS(Rechnungsjournal!$G$5:$G$34,$A11,Rechnungsjournal!$B$5:$B$34,"&gt;="&amp;DATE(2026,7,1),Rechnungsjournal!$B$5:$B$34,"&lt;"&amp;DATE(2026,8,1))=0,"",SUMIFS(Rechnungsjournal!$N$5:$N$34,Rechnungsjournal!$G$5:$G$34,$A11,Rechnungsjournal!$B$5:$B$34,"&gt;="&amp;DATE(2026,7,1),Rechnungsjournal!$B$5:$B$34,"&lt;"&amp;DATE(2026,8,1)))</f>
        <v>2.5</v>
      </c>
      <c r="E11" s="38" t="n">
        <f aca="false">IF(COUNTIFS(Rechnungsjournal!$G$5:$G$34,$A11,Rechnungsjournal!$B$5:$B$34,"&gt;="&amp;DATE(2026,8,1),Rechnungsjournal!$B$5:$B$34,"&lt;"&amp;DATE(2026,9,1))=0,"",SUMIFS(Rechnungsjournal!$N$5:$N$34,Rechnungsjournal!$G$5:$G$34,$A11,Rechnungsjournal!$B$5:$B$34,"&gt;="&amp;DATE(2026,8,1),Rechnungsjournal!$B$5:$B$34,"&lt;"&amp;DATE(2026,9,1)))</f>
        <v>2.5</v>
      </c>
      <c r="F11" s="38" t="str">
        <f aca="false">IF(COUNTIFS(Rechnungsjournal!$G$5:$G$34,$A11,Rechnungsjournal!$B$5:$B$34,"&gt;="&amp;DATE(2026,9,1),Rechnungsjournal!$B$5:$B$34,"&lt;"&amp;DATE(2026,10,1))=0,"",SUMIFS(Rechnungsjournal!$N$5:$N$34,Rechnungsjournal!$G$5:$G$34,$A11,Rechnungsjournal!$B$5:$B$34,"&gt;="&amp;DATE(2026,9,1),Rechnungsjournal!$B$5:$B$34,"&lt;"&amp;DATE(2026,10,1)))</f>
        <v/>
      </c>
      <c r="G11" s="38" t="str">
        <f aca="false">IF(COUNTIFS(Rechnungsjournal!$G$5:$G$34,$A11,Rechnungsjournal!$B$5:$B$34,"&gt;="&amp;DATE(2026,10,1),Rechnungsjournal!$B$5:$B$34,"&lt;"&amp;DATE(2026,11,1))=0,"",SUMIFS(Rechnungsjournal!$N$5:$N$34,Rechnungsjournal!$G$5:$G$34,$A11,Rechnungsjournal!$B$5:$B$34,"&gt;="&amp;DATE(2026,10,1),Rechnungsjournal!$B$5:$B$34,"&lt;"&amp;DATE(2026,11,1)))</f>
        <v/>
      </c>
      <c r="H11" s="38" t="str">
        <f aca="false">IF(COUNTIFS(Rechnungsjournal!$G$5:$G$34,$A11,Rechnungsjournal!$B$5:$B$34,"&gt;="&amp;DATE(2026,11,1),Rechnungsjournal!$B$5:$B$34,"&lt;"&amp;DATE(2026,12,1))=0,"",SUMIFS(Rechnungsjournal!$N$5:$N$34,Rechnungsjournal!$G$5:$G$34,$A11,Rechnungsjournal!$B$5:$B$34,"&gt;="&amp;DATE(2026,11,1),Rechnungsjournal!$B$5:$B$34,"&lt;"&amp;DATE(2026,12,1)))</f>
        <v/>
      </c>
      <c r="I11" s="38" t="str">
        <f aca="false">IF(COUNTIFS(Rechnungsjournal!$G$5:$G$34,$A11,Rechnungsjournal!$B$5:$B$34,"&gt;="&amp;DATE(2026,12,1),Rechnungsjournal!$B$5:$B$34,"&lt;"&amp;DATE(2027,1,1))=0,"",SUMIFS(Rechnungsjournal!$N$5:$N$34,Rechnungsjournal!$G$5:$G$34,$A11,Rechnungsjournal!$B$5:$B$34,"&gt;="&amp;DATE(2026,12,1),Rechnungsjournal!$B$5:$B$34,"&lt;"&amp;DATE(2027,1,1)))</f>
        <v/>
      </c>
      <c r="J11" s="39" t="n">
        <f aca="false">SUM(B11:I11)</f>
        <v>20.5</v>
      </c>
    </row>
    <row r="12" customFormat="false" ht="15" hidden="false" customHeight="true" outlineLevel="0" collapsed="false">
      <c r="A12" s="35" t="s">
        <v>56</v>
      </c>
      <c r="B12" s="40"/>
      <c r="C12" s="40"/>
      <c r="D12" s="40"/>
      <c r="E12" s="40"/>
      <c r="F12" s="40"/>
      <c r="G12" s="40"/>
      <c r="H12" s="40"/>
      <c r="I12" s="40"/>
      <c r="J12" s="41" t="n">
        <f aca="false">SUM(B12:I12)</f>
        <v>0</v>
      </c>
    </row>
    <row r="13" customFormat="false" ht="15" hidden="false" customHeight="true" outlineLevel="0" collapsed="false">
      <c r="A13" s="35" t="s">
        <v>59</v>
      </c>
      <c r="B13" s="40"/>
      <c r="C13" s="40"/>
      <c r="D13" s="40"/>
      <c r="E13" s="40"/>
      <c r="F13" s="40"/>
      <c r="G13" s="40"/>
      <c r="H13" s="40"/>
      <c r="I13" s="40"/>
      <c r="J13" s="41" t="n">
        <f aca="false">SUM(B13:I13)</f>
        <v>0</v>
      </c>
    </row>
    <row r="14" customFormat="false" ht="15" hidden="false" customHeight="true" outlineLevel="0" collapsed="false">
      <c r="A14" s="35" t="s">
        <v>64</v>
      </c>
      <c r="B14" s="40"/>
      <c r="C14" s="40"/>
      <c r="D14" s="40"/>
      <c r="E14" s="40"/>
      <c r="F14" s="40"/>
      <c r="G14" s="40"/>
      <c r="H14" s="40"/>
      <c r="I14" s="40"/>
      <c r="J14" s="41" t="n">
        <f aca="false">SUM(B14:I14)</f>
        <v>0</v>
      </c>
    </row>
    <row r="16" customFormat="false" ht="15" hidden="false" customHeight="true" outlineLevel="0" collapsed="false">
      <c r="A16" s="14" t="s">
        <v>246</v>
      </c>
      <c r="B16" s="16" t="n">
        <f aca="false">IF(B5="",0,B5)+IF(B6="",0,B6)+IF(B7="",0,B7)+IF(B9="",0,B9)</f>
        <v>48.8</v>
      </c>
      <c r="C16" s="16" t="n">
        <f aca="false">IF(C5="",0,C5)+IF(C6="",0,C6)+IF(C7="",0,C7)+IF(C9="",0,C9)</f>
        <v>91.62</v>
      </c>
      <c r="D16" s="16" t="n">
        <f aca="false">IF(D5="",0,D5)+IF(D6="",0,D6)+IF(D7="",0,D7)+IF(D9="",0,D9)</f>
        <v>78.1</v>
      </c>
      <c r="E16" s="16" t="n">
        <f aca="false">IF(E5="",0,E5)+IF(E6="",0,E6)+IF(E7="",0,E7)+IF(E9="",0,E9)</f>
        <v>131.18</v>
      </c>
      <c r="F16" s="16" t="n">
        <f aca="false">IF(F5="",0,F5)+IF(F6="",0,F6)+IF(F7="",0,F7)+IF(F9="",0,F9)</f>
        <v>0</v>
      </c>
      <c r="G16" s="16" t="n">
        <f aca="false">IF(G5="",0,G5)+IF(G6="",0,G6)+IF(G7="",0,G7)+IF(G9="",0,G9)</f>
        <v>0</v>
      </c>
      <c r="H16" s="16" t="n">
        <f aca="false">IF(H5="",0,H5)+IF(H6="",0,H6)+IF(H7="",0,H7)+IF(H9="",0,H9)</f>
        <v>0</v>
      </c>
      <c r="I16" s="16" t="n">
        <f aca="false">IF(I5="",0,I5)+IF(I6="",0,I6)+IF(I7="",0,I7)+IF(I9="",0,I9)</f>
        <v>0</v>
      </c>
      <c r="J16" s="42"/>
    </row>
    <row r="17" customFormat="false" ht="15" hidden="false" customHeight="true" outlineLevel="0" collapsed="false">
      <c r="A17" s="14" t="s">
        <v>247</v>
      </c>
      <c r="B17" s="17" t="n">
        <f aca="false">IF(B8="",0,B8)+IF(B11="",0,B11)</f>
        <v>22</v>
      </c>
      <c r="C17" s="17" t="n">
        <f aca="false">IF(C8="",0,C8)+IF(C11="",0,C11)</f>
        <v>15.5</v>
      </c>
      <c r="D17" s="17" t="n">
        <f aca="false">IF(D8="",0,D8)+IF(D11="",0,D11)</f>
        <v>2.5</v>
      </c>
      <c r="E17" s="17" t="n">
        <f aca="false">IF(E8="",0,E8)+IF(E11="",0,E11)</f>
        <v>24.5</v>
      </c>
      <c r="F17" s="17" t="n">
        <f aca="false">IF(F8="",0,F8)+IF(F11="",0,F11)</f>
        <v>0</v>
      </c>
      <c r="G17" s="17" t="n">
        <f aca="false">IF(G8="",0,G8)+IF(G11="",0,G11)</f>
        <v>0</v>
      </c>
      <c r="H17" s="17" t="n">
        <f aca="false">IF(H8="",0,H8)+IF(H11="",0,H11)</f>
        <v>0</v>
      </c>
      <c r="I17" s="17" t="n">
        <f aca="false">IF(I8="",0,I8)+IF(I11="",0,I11)</f>
        <v>0</v>
      </c>
      <c r="J17" s="42"/>
    </row>
  </sheetData>
  <mergeCells count="2">
    <mergeCell ref="A1:J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60"/>
    <col collapsed="false" customWidth="true" hidden="false" outlineLevel="0" max="4" min="2" style="1" width="20"/>
    <col collapsed="false" customWidth="true" hidden="false" outlineLevel="0" max="7" min="5" style="1" width="18"/>
  </cols>
  <sheetData>
    <row r="1" customFormat="false" ht="17.25" hidden="false" customHeight="true" outlineLevel="0" collapsed="false">
      <c r="A1" s="43" t="s">
        <v>248</v>
      </c>
    </row>
    <row r="2" customFormat="false" ht="15" hidden="false" customHeight="true" outlineLevel="0" collapsed="false">
      <c r="A2" s="44" t="s">
        <v>249</v>
      </c>
      <c r="B2" s="44"/>
      <c r="C2" s="44"/>
      <c r="D2" s="44"/>
      <c r="E2" s="44"/>
      <c r="F2" s="44"/>
      <c r="G2" s="44"/>
    </row>
    <row r="3" customFormat="false" ht="15" hidden="false" customHeight="true" outlineLevel="0" collapsed="false">
      <c r="A3" s="44"/>
      <c r="B3" s="44"/>
      <c r="C3" s="44"/>
      <c r="D3" s="44"/>
      <c r="E3" s="44"/>
      <c r="F3" s="44"/>
      <c r="G3" s="44"/>
    </row>
    <row r="4" customFormat="false" ht="15" hidden="false" customHeight="true" outlineLevel="0" collapsed="false">
      <c r="A4" s="44"/>
      <c r="B4" s="44"/>
      <c r="C4" s="44"/>
      <c r="D4" s="44"/>
      <c r="E4" s="44"/>
      <c r="F4" s="44"/>
      <c r="G4" s="44"/>
    </row>
    <row r="6" customFormat="false" ht="26.25" hidden="false" customHeight="true" outlineLevel="0" collapsed="false">
      <c r="A6" s="45" t="s">
        <v>250</v>
      </c>
      <c r="B6" s="45"/>
      <c r="C6" s="45"/>
      <c r="D6" s="45"/>
      <c r="E6" s="45"/>
      <c r="F6" s="45"/>
      <c r="G6" s="45"/>
    </row>
    <row r="8" customFormat="false" ht="15" hidden="false" customHeight="true" outlineLevel="0" collapsed="false">
      <c r="A8" s="4" t="s">
        <v>251</v>
      </c>
      <c r="B8" s="4" t="s">
        <v>252</v>
      </c>
      <c r="C8" s="4" t="s">
        <v>253</v>
      </c>
      <c r="D8" s="4" t="s">
        <v>254</v>
      </c>
    </row>
    <row r="9" customFormat="false" ht="15" hidden="false" customHeight="true" outlineLevel="0" collapsed="false">
      <c r="A9" s="35" t="s">
        <v>255</v>
      </c>
      <c r="B9" s="46" t="n">
        <f aca="false">'Plan-Kunden'!$C$32</f>
        <v>16.5</v>
      </c>
      <c r="C9" s="46" t="n">
        <f aca="false">'Plan-Kunden'!$C$61</f>
        <v>52.25</v>
      </c>
      <c r="D9" s="46" t="n">
        <f aca="false">'Plan-Kunden'!$C$90</f>
        <v>103.5</v>
      </c>
    </row>
    <row r="10" customFormat="false" ht="15" hidden="false" customHeight="true" outlineLevel="0" collapsed="false">
      <c r="A10" s="35" t="s">
        <v>256</v>
      </c>
      <c r="B10" s="46" t="n">
        <f aca="false">'Plan-Kunden'!$D$32</f>
        <v>0.298153707111703</v>
      </c>
      <c r="C10" s="46" t="n">
        <f aca="false">'Plan-Kunden'!$D$61</f>
        <v>2.62027088075515</v>
      </c>
      <c r="D10" s="46" t="n">
        <f aca="false">'Plan-Kunden'!$D$90</f>
        <v>12.6749868994896</v>
      </c>
    </row>
    <row r="11" customFormat="false" ht="15" hidden="false" customHeight="true" outlineLevel="0" collapsed="false">
      <c r="A11" s="35" t="s">
        <v>257</v>
      </c>
      <c r="B11" s="47" t="n">
        <f aca="false">'Plan-Annahmen'!$B$44</f>
        <v>0.05</v>
      </c>
      <c r="C11" s="47" t="n">
        <f aca="false">'Plan-Annahmen'!$B$45</f>
        <v>0.04</v>
      </c>
      <c r="D11" s="47" t="n">
        <f aca="false">'Plan-Annahmen'!$B$46</f>
        <v>0.03</v>
      </c>
    </row>
    <row r="12" customFormat="false" ht="15" hidden="false" customHeight="true" outlineLevel="0" collapsed="false">
      <c r="A12" s="14" t="s">
        <v>258</v>
      </c>
      <c r="B12" s="48" t="n">
        <f aca="false">'Plan-Kunden'!$K$32</f>
        <v>14.2569081417916</v>
      </c>
      <c r="C12" s="48" t="n">
        <f aca="false">'Plan-Kunden'!$K$61</f>
        <v>46.5545353618745</v>
      </c>
      <c r="D12" s="48" t="n">
        <f aca="false">'Plan-Kunden'!$K$90</f>
        <v>99.141588809685</v>
      </c>
    </row>
    <row r="14" customFormat="false" ht="15" hidden="false" customHeight="true" outlineLevel="0" collapsed="false">
      <c r="A14" s="49" t="s">
        <v>259</v>
      </c>
    </row>
    <row r="15" customFormat="false" ht="15" hidden="false" customHeight="true" outlineLevel="0" collapsed="false">
      <c r="A15" s="14" t="s">
        <v>260</v>
      </c>
      <c r="B15" s="50" t="n">
        <f aca="false">IFERROR(INDEX('Plan-24M'!$A$8:$A$31,MATCH(1,'Plan-24M'!$X$8:$X$31,0)),"&gt; 24 Monate")</f>
        <v>21</v>
      </c>
      <c r="C15" s="50" t="n">
        <f aca="false">IFERROR(INDEX('Plan-24M'!$A$37:$A$60,MATCH(1,'Plan-24M'!$X$37:$X$60,0)),"&gt; 24 Monate")</f>
        <v>11</v>
      </c>
      <c r="D15" s="50" t="n">
        <f aca="false">IFERROR(INDEX('Plan-24M'!$A$66:$A$89,MATCH(1,'Plan-24M'!$X$66:$X$89,0)),"&gt; 24 Monate")</f>
        <v>7</v>
      </c>
    </row>
    <row r="16" customFormat="false" ht="15" hidden="false" customHeight="true" outlineLevel="0" collapsed="false">
      <c r="A16" s="51" t="s">
        <v>261</v>
      </c>
      <c r="B16" s="52" t="s">
        <v>262</v>
      </c>
      <c r="C16" s="52" t="n">
        <v>15</v>
      </c>
      <c r="D16" s="52" t="n">
        <v>11</v>
      </c>
    </row>
    <row r="17" customFormat="false" ht="15" hidden="false" customHeight="true" outlineLevel="0" collapsed="false">
      <c r="A17" s="35" t="s">
        <v>263</v>
      </c>
      <c r="B17" s="53" t="n">
        <f aca="false">IFERROR(INDEX('Plan-24M'!$B$8:$B$31,MATCH(1,'Plan-24M'!$X$8:$X$31,0)),"&gt; 24 Monate")</f>
        <v>46874</v>
      </c>
      <c r="C17" s="53" t="n">
        <f aca="false">IFERROR(INDEX('Plan-24M'!$B$37:$B$60,MATCH(1,'Plan-24M'!$X$37:$X$60,0)),"&gt; 24 Monate")</f>
        <v>46569</v>
      </c>
      <c r="D17" s="53" t="n">
        <f aca="false">IFERROR(INDEX('Plan-24M'!$B$66:$B$89,MATCH(1,'Plan-24M'!$X$66:$X$89,0)),"&gt; 24 Monate")</f>
        <v>46447</v>
      </c>
    </row>
    <row r="18" customFormat="false" ht="15" hidden="false" customHeight="true" outlineLevel="0" collapsed="false">
      <c r="A18" s="35" t="s">
        <v>264</v>
      </c>
      <c r="B18" s="46" t="n">
        <f aca="false">IFERROR(INDEX('Plan-24M'!$D$8:$D$31,MATCH(1,'Plan-24M'!$X$8:$X$31,0)),"&gt; 24 Monate")</f>
        <v>11.4116207649523</v>
      </c>
      <c r="C18" s="46" t="n">
        <f aca="false">IFERROR(INDEX('Plan-24M'!$D$37:$D$60,MATCH(1,'Plan-24M'!$X$37:$X$60,0)),"&gt; 24 Monate")</f>
        <v>13.273114245443</v>
      </c>
      <c r="D18" s="46" t="n">
        <f aca="false">IFERROR(INDEX('Plan-24M'!$D$66:$D$89,MATCH(1,'Plan-24M'!$X$66:$X$89,0)),"&gt; 24 Monate")</f>
        <v>11.458949</v>
      </c>
    </row>
    <row r="19" customFormat="false" ht="15" hidden="false" customHeight="true" outlineLevel="0" collapsed="false">
      <c r="A19" s="35" t="s">
        <v>265</v>
      </c>
      <c r="B19" s="54" t="n">
        <f aca="false">'Plan-24M'!$H$31</f>
        <v>413.450336111956</v>
      </c>
      <c r="C19" s="54" t="n">
        <f aca="false">'Plan-24M'!$H$60</f>
        <v>1873.00100037136</v>
      </c>
      <c r="D19" s="54" t="n">
        <f aca="false">'Plan-24M'!$H$89</f>
        <v>4432.78444534713</v>
      </c>
    </row>
    <row r="20" customFormat="false" ht="15" hidden="false" customHeight="true" outlineLevel="0" collapsed="false">
      <c r="A20" s="35" t="s">
        <v>266</v>
      </c>
      <c r="B20" s="54" t="n">
        <f aca="false">SUM('Plan-24M'!$H$8:$H$19)</f>
        <v>764.926291466</v>
      </c>
      <c r="C20" s="54" t="n">
        <f aca="false">SUM('Plan-24M'!$H$37:$H$48)</f>
        <v>2134.95417105606</v>
      </c>
      <c r="D20" s="54" t="n">
        <f aca="false">SUM('Plan-24M'!$H$66:$H$77)</f>
        <v>4028.18765889086</v>
      </c>
    </row>
    <row r="21" customFormat="false" ht="15" hidden="false" customHeight="true" outlineLevel="0" collapsed="false">
      <c r="A21" s="35" t="s">
        <v>267</v>
      </c>
      <c r="B21" s="54" t="n">
        <f aca="false">SUM('Plan-24M'!$H$20:$H$31)</f>
        <v>3333.33011436013</v>
      </c>
      <c r="C21" s="54" t="n">
        <f aca="false">SUM('Plan-24M'!$H$49:$H$60)</f>
        <v>13177.0916938435</v>
      </c>
      <c r="D21" s="54" t="n">
        <f aca="false">SUM('Plan-24M'!$H$78:$H$89)</f>
        <v>32966.0979323996</v>
      </c>
    </row>
    <row r="23" customFormat="false" ht="15" hidden="false" customHeight="true" outlineLevel="0" collapsed="false">
      <c r="A23" s="49" t="s">
        <v>268</v>
      </c>
    </row>
    <row r="24" customFormat="false" ht="15" hidden="false" customHeight="true" outlineLevel="0" collapsed="false">
      <c r="A24" s="14" t="s">
        <v>269</v>
      </c>
      <c r="B24" s="55" t="n">
        <f aca="false">MIN(0,MIN('Plan-24M'!$W$8:$W$31))</f>
        <v>-6953.85923479777</v>
      </c>
      <c r="C24" s="55" t="n">
        <f aca="false">MIN(0,MIN('Plan-24M'!$W$37:$W$60))</f>
        <v>-6292.4326471131</v>
      </c>
      <c r="D24" s="55" t="n">
        <f aca="false">MIN(0,MIN('Plan-24M'!$W$66:$W$89))</f>
        <v>-6036.57880123438</v>
      </c>
    </row>
    <row r="25" customFormat="false" ht="15" hidden="false" customHeight="true" outlineLevel="0" collapsed="false">
      <c r="A25" s="35" t="s">
        <v>270</v>
      </c>
      <c r="B25" s="56" t="n">
        <v>-14260</v>
      </c>
      <c r="C25" s="56" t="n">
        <v>-9280</v>
      </c>
      <c r="D25" s="56" t="n">
        <v>-7860</v>
      </c>
    </row>
    <row r="26" customFormat="false" ht="15" hidden="false" customHeight="true" outlineLevel="0" collapsed="false">
      <c r="A26" s="14" t="s">
        <v>271</v>
      </c>
      <c r="B26" s="55" t="n">
        <f aca="false">B24-B25</f>
        <v>7306.14076520224</v>
      </c>
      <c r="C26" s="55" t="n">
        <f aca="false">C24-C25</f>
        <v>2987.5673528869</v>
      </c>
      <c r="D26" s="55" t="n">
        <f aca="false">D24-D25</f>
        <v>1823.42119876562</v>
      </c>
    </row>
    <row r="27" customFormat="false" ht="15" hidden="false" customHeight="true" outlineLevel="0" collapsed="false">
      <c r="A27" s="35" t="s">
        <v>272</v>
      </c>
      <c r="B27" s="54" t="n">
        <f aca="false">'Plan-24M'!$V$31</f>
        <v>1000</v>
      </c>
      <c r="C27" s="54" t="n">
        <f aca="false">'Plan-24M'!$V$60</f>
        <v>2000</v>
      </c>
      <c r="D27" s="54" t="n">
        <f aca="false">'Plan-24M'!$V$89</f>
        <v>2000</v>
      </c>
    </row>
    <row r="28" customFormat="false" ht="15" hidden="false" customHeight="true" outlineLevel="0" collapsed="false">
      <c r="A28" s="35" t="s">
        <v>273</v>
      </c>
      <c r="B28" s="57" t="n">
        <f aca="false">MATCH(MIN('Plan-24M'!$W$8:$W$31),'Plan-24M'!$W$8:$W$31,0)</f>
        <v>22</v>
      </c>
      <c r="C28" s="57" t="n">
        <f aca="false">MATCH(MIN('Plan-24M'!$W$37:$W$60),'Plan-24M'!$W$37:$W$60,0)</f>
        <v>15</v>
      </c>
      <c r="D28" s="57" t="n">
        <f aca="false">MATCH(MIN('Plan-24M'!$W$66:$W$89),'Plan-24M'!$W$66:$W$89,0)</f>
        <v>10</v>
      </c>
    </row>
    <row r="29" customFormat="false" ht="15" hidden="false" customHeight="true" outlineLevel="0" collapsed="false">
      <c r="A29" s="35" t="s">
        <v>274</v>
      </c>
      <c r="B29" s="57" t="str">
        <f aca="false">IFERROR(INDEX('Plan-24M'!$A$8:$A$31,MATCH(1,'Plan-24M'!$AD$8:$AD$31,0)),"&gt; 24 Monate")</f>
        <v>&gt; 24 Monate</v>
      </c>
      <c r="C29" s="57" t="str">
        <f aca="false">IFERROR(INDEX('Plan-24M'!$A$37:$A$60,MATCH(1,'Plan-24M'!$AD$37:$AD$60,0)),"&gt; 24 Monate")</f>
        <v>&gt; 24 Monate</v>
      </c>
      <c r="D29" s="57" t="n">
        <f aca="false">IFERROR(INDEX('Plan-24M'!$A$66:$A$89,MATCH(1,'Plan-24M'!$AD$66:$AD$89,0)),"&gt; 24 Monate")</f>
        <v>19</v>
      </c>
    </row>
    <row r="30" customFormat="false" ht="15" hidden="false" customHeight="true" outlineLevel="0" collapsed="false">
      <c r="A30" s="35" t="s">
        <v>275</v>
      </c>
      <c r="B30" s="54" t="n">
        <f aca="false">'Plan-24M'!$U$31</f>
        <v>-5915.92698170435</v>
      </c>
      <c r="C30" s="54" t="n">
        <f aca="false">'Plan-24M'!$U$60</f>
        <v>-300.536226550267</v>
      </c>
      <c r="D30" s="54" t="n">
        <f aca="false">'Plan-24M'!$U$89</f>
        <v>13261.8613525819</v>
      </c>
    </row>
    <row r="32" customFormat="false" ht="15" hidden="false" customHeight="true" outlineLevel="0" collapsed="false">
      <c r="A32" s="49" t="s">
        <v>276</v>
      </c>
    </row>
    <row r="33" customFormat="false" ht="15" hidden="false" customHeight="true" outlineLevel="0" collapsed="false">
      <c r="A33" s="14" t="s">
        <v>277</v>
      </c>
      <c r="B33" s="50" t="str">
        <f aca="false">IF('Plan-24M'!$O$6=999,"&gt; 24 Monate",'Plan-24M'!$O$6)</f>
        <v>&gt; 24 Monate</v>
      </c>
      <c r="C33" s="50" t="n">
        <f aca="false">IF('Plan-24M'!$O$35=999,"&gt; 24 Monate",'Plan-24M'!$O$35)</f>
        <v>15</v>
      </c>
      <c r="D33" s="50" t="n">
        <f aca="false">IF('Plan-24M'!$O$64=999,"&gt; 24 Monate",'Plan-24M'!$O$64)</f>
        <v>10</v>
      </c>
    </row>
    <row r="34" customFormat="false" ht="15" hidden="false" customHeight="true" outlineLevel="0" collapsed="false">
      <c r="A34" s="35" t="s">
        <v>263</v>
      </c>
      <c r="B34" s="53" t="str">
        <f aca="false">IF('Plan-24M'!$O$6=999,"&gt; 24 Monate",EDATE('Plan-Annahmen'!$B$8,'Plan-24M'!$O$6-1))</f>
        <v>&gt; 24 Monate</v>
      </c>
      <c r="C34" s="53" t="n">
        <f aca="false">IF('Plan-24M'!$O$35=999,"&gt; 24 Monate",EDATE('Plan-Annahmen'!$B$8,'Plan-24M'!$O$35-1))</f>
        <v>46692</v>
      </c>
      <c r="D34" s="53" t="n">
        <f aca="false">IF('Plan-24M'!$O$64=999,"&gt; 24 Monate",EDATE('Plan-Annahmen'!$B$8,'Plan-24M'!$O$64-1))</f>
        <v>46539</v>
      </c>
    </row>
    <row r="35" customFormat="false" ht="15" hidden="false" customHeight="true" outlineLevel="0" collapsed="false">
      <c r="A35" s="35" t="s">
        <v>278</v>
      </c>
      <c r="B35" s="57" t="str">
        <f aca="false">IF('Plan-24M'!$O$6=999,"&gt; 24 Monate",'Plan-24M'!$O$6-1)</f>
        <v>&gt; 24 Monate</v>
      </c>
      <c r="C35" s="57" t="n">
        <f aca="false">IF('Plan-24M'!$O$35=999,"&gt; 24 Monate",'Plan-24M'!$O$35-1)</f>
        <v>14</v>
      </c>
      <c r="D35" s="57" t="n">
        <f aca="false">IF('Plan-24M'!$O$64=999,"&gt; 24 Monate",'Plan-24M'!$O$64-1)</f>
        <v>9</v>
      </c>
    </row>
    <row r="36" customFormat="false" ht="15" hidden="false" customHeight="true" outlineLevel="0" collapsed="false">
      <c r="A36" s="35" t="s">
        <v>279</v>
      </c>
      <c r="B36" s="54" t="n">
        <f aca="false">IF('Plan-24M'!$O$6=999,0,'Plan-Kosten'!$F$71)</f>
        <v>0</v>
      </c>
      <c r="C36" s="54" t="n">
        <f aca="false">IF('Plan-24M'!$O$35=999,0,'Plan-Kosten'!$F$71)</f>
        <v>210</v>
      </c>
      <c r="D36" s="54" t="n">
        <f aca="false">IF('Plan-24M'!$O$64=999,0,'Plan-Kosten'!$F$71)</f>
        <v>210</v>
      </c>
    </row>
    <row r="37" customFormat="false" ht="15" hidden="false" customHeight="true" outlineLevel="0" collapsed="false">
      <c r="A37" s="35" t="s">
        <v>280</v>
      </c>
      <c r="B37" s="54" t="n">
        <f aca="false">IF('Plan-24M'!$O$6=999,0,'Plan-Kosten'!$F$72)</f>
        <v>0</v>
      </c>
      <c r="C37" s="54" t="n">
        <f aca="false">IF('Plan-24M'!$O$35=999,0,'Plan-Kosten'!$F$72)</f>
        <v>980</v>
      </c>
      <c r="D37" s="54" t="n">
        <f aca="false">IF('Plan-24M'!$O$64=999,0,'Plan-Kosten'!$F$72)</f>
        <v>980</v>
      </c>
    </row>
    <row r="38" customFormat="false" ht="15" hidden="false" customHeight="true" outlineLevel="0" collapsed="false">
      <c r="A38" s="35" t="s">
        <v>281</v>
      </c>
      <c r="B38" s="54" t="n">
        <f aca="false">IF('Plan-24M'!$O$6=999,0,'Plan-Kosten'!$F$73)</f>
        <v>0</v>
      </c>
      <c r="C38" s="54" t="n">
        <f aca="false">IF('Plan-24M'!$O$35=999,0,'Plan-Kosten'!$F$73)</f>
        <v>1000</v>
      </c>
      <c r="D38" s="54" t="n">
        <f aca="false">IF('Plan-24M'!$O$64=999,0,'Plan-Kosten'!$F$73)</f>
        <v>1000</v>
      </c>
    </row>
    <row r="40" customFormat="false" ht="39" hidden="false" customHeight="true" outlineLevel="0" collapsed="false">
      <c r="A40" s="44" t="s">
        <v>282</v>
      </c>
      <c r="B40" s="44"/>
      <c r="C40" s="44"/>
      <c r="D40" s="44"/>
      <c r="E40" s="44"/>
      <c r="F40" s="44"/>
      <c r="G40" s="44"/>
    </row>
    <row r="42" customFormat="false" ht="15" hidden="false" customHeight="true" outlineLevel="0" collapsed="false">
      <c r="A42" s="49" t="s">
        <v>283</v>
      </c>
    </row>
    <row r="43" customFormat="false" ht="26.25" hidden="false" customHeight="true" outlineLevel="0" collapsed="false">
      <c r="A43" s="44" t="s">
        <v>284</v>
      </c>
      <c r="B43" s="44"/>
      <c r="C43" s="44"/>
      <c r="D43" s="44"/>
      <c r="E43" s="44"/>
      <c r="F43" s="44"/>
      <c r="G43" s="44"/>
    </row>
    <row r="45" customFormat="false" ht="51.75" hidden="false" customHeight="true" outlineLevel="0" collapsed="false">
      <c r="A45" s="58" t="s">
        <v>285</v>
      </c>
      <c r="B45" s="58"/>
      <c r="C45" s="58"/>
      <c r="D45" s="58"/>
      <c r="E45" s="58"/>
      <c r="F45" s="58"/>
      <c r="G45" s="58"/>
    </row>
    <row r="47" customFormat="false" ht="39" hidden="false" customHeight="true" outlineLevel="0" collapsed="false">
      <c r="A47" s="4" t="s">
        <v>286</v>
      </c>
      <c r="B47" s="4" t="s">
        <v>287</v>
      </c>
      <c r="C47" s="4" t="s">
        <v>288</v>
      </c>
      <c r="D47" s="4" t="s">
        <v>289</v>
      </c>
    </row>
    <row r="48" customFormat="false" ht="15" hidden="false" customHeight="true" outlineLevel="0" collapsed="false">
      <c r="A48" s="14" t="s">
        <v>290</v>
      </c>
      <c r="B48" s="59" t="n">
        <f aca="false">'Plan-Phase B'!$C$22</f>
        <v>36</v>
      </c>
      <c r="C48" s="17" t="n">
        <f aca="false">'Plan-Phase B'!$C$23</f>
        <v>1264</v>
      </c>
      <c r="D48" s="60" t="n">
        <v>37</v>
      </c>
    </row>
    <row r="49" customFormat="false" ht="15" hidden="false" customHeight="true" outlineLevel="0" collapsed="false">
      <c r="A49" s="14" t="s">
        <v>291</v>
      </c>
      <c r="B49" s="59" t="n">
        <f aca="false">'Plan-Phase B'!$D$22</f>
        <v>44</v>
      </c>
      <c r="C49" s="17" t="n">
        <f aca="false">'Plan-Phase B'!$D$23</f>
        <v>1656</v>
      </c>
      <c r="D49" s="60" t="n">
        <v>45</v>
      </c>
    </row>
    <row r="50" customFormat="false" ht="15" hidden="false" customHeight="true" outlineLevel="0" collapsed="false">
      <c r="A50" s="14" t="s">
        <v>292</v>
      </c>
      <c r="B50" s="59" t="n">
        <f aca="false">'Plan-Phase B'!$E$22</f>
        <v>107</v>
      </c>
      <c r="C50" s="17" t="n">
        <f aca="false">'Plan-Phase B'!$E$23</f>
        <v>4743</v>
      </c>
      <c r="D50" s="60" t="n">
        <v>107</v>
      </c>
    </row>
    <row r="52" customFormat="false" ht="15" hidden="false" customHeight="true" outlineLevel="0" collapsed="false">
      <c r="A52" s="4" t="s">
        <v>293</v>
      </c>
      <c r="B52" s="4" t="s">
        <v>252</v>
      </c>
      <c r="C52" s="4" t="s">
        <v>253</v>
      </c>
      <c r="D52" s="4" t="s">
        <v>254</v>
      </c>
    </row>
    <row r="53" customFormat="false" ht="15" hidden="false" customHeight="true" outlineLevel="0" collapsed="false">
      <c r="A53" s="14" t="s">
        <v>294</v>
      </c>
      <c r="B53" s="50" t="str">
        <f aca="false">IFERROR(INDEX('Plan-24M'!$A$8:$A$31,MATCH(1,'Plan-24M'!$AA$8:$AA$31,0)),"&gt; 24 Monate")</f>
        <v>&gt; 24 Monate</v>
      </c>
      <c r="C53" s="50" t="n">
        <f aca="false">IFERROR(INDEX('Plan-24M'!$A$37:$A$60,MATCH(1,'Plan-24M'!$AA$37:$AA$60,0)),"&gt; 24 Monate")</f>
        <v>21</v>
      </c>
      <c r="D53" s="50" t="n">
        <f aca="false">IFERROR(INDEX('Plan-24M'!$A$66:$A$89,MATCH(1,'Plan-24M'!$AA$66:$AA$89,0)),"&gt; 24 Monate")</f>
        <v>14</v>
      </c>
    </row>
    <row r="54" customFormat="false" ht="15" hidden="false" customHeight="true" outlineLevel="0" collapsed="false">
      <c r="A54" s="51" t="s">
        <v>295</v>
      </c>
      <c r="B54" s="52" t="s">
        <v>262</v>
      </c>
      <c r="C54" s="52" t="n">
        <v>21</v>
      </c>
      <c r="D54" s="52" t="n">
        <v>14</v>
      </c>
    </row>
    <row r="55" customFormat="false" ht="15" hidden="false" customHeight="true" outlineLevel="0" collapsed="false">
      <c r="A55" s="14" t="s">
        <v>296</v>
      </c>
      <c r="B55" s="50" t="str">
        <f aca="false">IFERROR(INDEX('Plan-24M'!$A$8:$A$31,MATCH(1,'Plan-24M'!$AB$8:$AB$31,0)),"&gt; 24 Monate")</f>
        <v>&gt; 24 Monate</v>
      </c>
      <c r="C55" s="50" t="n">
        <f aca="false">IFERROR(INDEX('Plan-24M'!$A$37:$A$60,MATCH(1,'Plan-24M'!$AB$37:$AB$60,0)),"&gt; 24 Monate")</f>
        <v>24</v>
      </c>
      <c r="D55" s="50" t="n">
        <f aca="false">IFERROR(INDEX('Plan-24M'!$A$66:$A$89,MATCH(1,'Plan-24M'!$AB$66:$AB$89,0)),"&gt; 24 Monate")</f>
        <v>16</v>
      </c>
    </row>
    <row r="56" customFormat="false" ht="15" hidden="false" customHeight="true" outlineLevel="0" collapsed="false">
      <c r="A56" s="51" t="s">
        <v>297</v>
      </c>
      <c r="B56" s="52" t="s">
        <v>262</v>
      </c>
      <c r="C56" s="52" t="n">
        <v>24</v>
      </c>
      <c r="D56" s="52" t="n">
        <v>16</v>
      </c>
    </row>
    <row r="57" customFormat="false" ht="15" hidden="false" customHeight="true" outlineLevel="0" collapsed="false">
      <c r="A57" s="14" t="s">
        <v>298</v>
      </c>
      <c r="B57" s="50" t="str">
        <f aca="false">IFERROR(INDEX('Plan-24M'!$A$8:$A$31,MATCH(1,'Plan-24M'!$AC$8:$AC$31,0)),"&gt; 24 Monate")</f>
        <v>&gt; 24 Monate</v>
      </c>
      <c r="C57" s="50" t="str">
        <f aca="false">IFERROR(INDEX('Plan-24M'!$A$37:$A$60,MATCH(1,'Plan-24M'!$AC$37:$AC$60,0)),"&gt; 24 Monate")</f>
        <v>&gt; 24 Monate</v>
      </c>
      <c r="D57" s="50" t="str">
        <f aca="false">IFERROR(INDEX('Plan-24M'!$A$66:$A$89,MATCH(1,'Plan-24M'!$AC$66:$AC$89,0)),"&gt; 24 Monate")</f>
        <v>&gt; 24 Monate</v>
      </c>
    </row>
    <row r="58" customFormat="false" ht="15" hidden="false" customHeight="true" outlineLevel="0" collapsed="false">
      <c r="A58" s="51" t="s">
        <v>299</v>
      </c>
      <c r="B58" s="52" t="s">
        <v>262</v>
      </c>
      <c r="C58" s="52" t="s">
        <v>262</v>
      </c>
      <c r="D58" s="52" t="s">
        <v>262</v>
      </c>
    </row>
    <row r="59" customFormat="false" ht="15" hidden="false" customHeight="true" outlineLevel="0" collapsed="false">
      <c r="A59" s="35" t="s">
        <v>300</v>
      </c>
      <c r="B59" s="57" t="str">
        <f aca="false">IFERROR(INDEX('Plan-24M'!$A$8:$A$31,MATCH(1,'Plan-24M'!$AA$8:$AA$31,0))-'Plan-Annahmen'!$B$93,"&gt; 24 Monate")</f>
        <v>&gt; 24 Monate</v>
      </c>
      <c r="C59" s="57" t="n">
        <f aca="false">IFERROR(INDEX('Plan-24M'!$A$37:$A$60,MATCH(1,'Plan-24M'!$AA$37:$AA$60,0))-'Plan-Annahmen'!$B$93,"&gt; 24 Monate")</f>
        <v>18</v>
      </c>
      <c r="D59" s="57" t="n">
        <f aca="false">IFERROR(INDEX('Plan-24M'!$A$66:$A$89,MATCH(1,'Plan-24M'!$AA$66:$AA$89,0))-'Plan-Annahmen'!$B$93,"&gt; 24 Monate")</f>
        <v>11</v>
      </c>
    </row>
    <row r="61" customFormat="false" ht="15" hidden="false" customHeight="true" outlineLevel="0" collapsed="false">
      <c r="A61" s="49" t="s">
        <v>301</v>
      </c>
    </row>
    <row r="62" customFormat="false" ht="15" hidden="false" customHeight="true" outlineLevel="0" collapsed="false">
      <c r="A62" s="4" t="s">
        <v>302</v>
      </c>
      <c r="B62" s="4" t="s">
        <v>252</v>
      </c>
      <c r="C62" s="4" t="s">
        <v>253</v>
      </c>
      <c r="D62" s="4" t="s">
        <v>254</v>
      </c>
    </row>
    <row r="63" customFormat="false" ht="15" hidden="false" customHeight="true" outlineLevel="0" collapsed="false">
      <c r="A63" s="35" t="s">
        <v>303</v>
      </c>
      <c r="B63" s="54" t="n">
        <f aca="false">SUM('Plan-24M'!$H$8:$H$11)</f>
        <v>0</v>
      </c>
      <c r="C63" s="54" t="n">
        <f aca="false">SUM('Plan-24M'!$H$37:$H$40)</f>
        <v>29</v>
      </c>
      <c r="D63" s="54" t="n">
        <f aca="false">SUM('Plan-24M'!$H$66:$H$69)</f>
        <v>29</v>
      </c>
    </row>
    <row r="64" customFormat="false" ht="15" hidden="false" customHeight="true" outlineLevel="0" collapsed="false">
      <c r="A64" s="35" t="s">
        <v>304</v>
      </c>
      <c r="B64" s="54" t="n">
        <f aca="false">SUM('Plan-24M'!$H$12:$H$23)</f>
        <v>1503.48505064124</v>
      </c>
      <c r="C64" s="54" t="n">
        <f aca="false">SUM('Plan-24M'!$H$41:$H$52)</f>
        <v>4457.15881203549</v>
      </c>
      <c r="D64" s="54" t="n">
        <f aca="false">SUM('Plan-24M'!$H$70:$H$81)</f>
        <v>10263.9524951918</v>
      </c>
    </row>
    <row r="65" customFormat="false" ht="15" hidden="false" customHeight="true" outlineLevel="0" collapsed="false">
      <c r="A65" s="35" t="s">
        <v>305</v>
      </c>
      <c r="B65" s="54" t="n">
        <f aca="false">SUM('Plan-24M'!$H$24:$H$31)</f>
        <v>2594.77135518488</v>
      </c>
      <c r="C65" s="54" t="n">
        <f aca="false">SUM('Plan-24M'!$H$53:$H$60)</f>
        <v>10825.887052864</v>
      </c>
      <c r="D65" s="54" t="n">
        <f aca="false">SUM('Plan-24M'!$H$82:$H$89)</f>
        <v>26701.3330960987</v>
      </c>
    </row>
    <row r="66" customFormat="false" ht="15" hidden="false" customHeight="true" outlineLevel="0" collapsed="false">
      <c r="A66" s="14" t="s">
        <v>306</v>
      </c>
      <c r="B66" s="50" t="str">
        <f aca="false">IF(MAX(SUM('Plan-24M'!$H$8:$H$11),SUM('Plan-24M'!$H$12:$H$23),SUM('Plan-24M'!$H$24:$H$31))&gt;'Plan-Annahmen'!$B$63,"ja","nein")</f>
        <v>nein</v>
      </c>
      <c r="C66" s="50" t="str">
        <f aca="false">IF(MAX(SUM('Plan-24M'!$H$37:$H$40),SUM('Plan-24M'!$H$41:$H$52),SUM('Plan-24M'!$H$53:$H$60))&gt;'Plan-Annahmen'!$B$63,"ja","nein")</f>
        <v>nein</v>
      </c>
      <c r="D66" s="50" t="str">
        <f aca="false">IF(MAX(SUM('Plan-24M'!$H$66:$H$69),SUM('Plan-24M'!$H$70:$H$81),SUM('Plan-24M'!$H$82:$H$89))&gt;'Plan-Annahmen'!$B$63,"ja","nein")</f>
        <v>ja</v>
      </c>
    </row>
    <row r="68" customFormat="false" ht="39" hidden="false" customHeight="true" outlineLevel="0" collapsed="false">
      <c r="A68" s="44" t="s">
        <v>307</v>
      </c>
      <c r="B68" s="44"/>
      <c r="C68" s="44"/>
      <c r="D68" s="44"/>
      <c r="E68" s="44"/>
      <c r="F68" s="44"/>
      <c r="G68" s="44"/>
    </row>
    <row r="70" customFormat="false" ht="15" hidden="false" customHeight="true" outlineLevel="0" collapsed="false">
      <c r="A70" s="49" t="s">
        <v>308</v>
      </c>
    </row>
    <row r="71" customFormat="false" ht="15" hidden="false" customHeight="true" outlineLevel="0" collapsed="false">
      <c r="A71" s="35" t="s">
        <v>309</v>
      </c>
      <c r="B71" s="46" t="n">
        <f aca="false">'Plan-Kunden'!$P$31</f>
        <v>49.8123918035272</v>
      </c>
      <c r="C71" s="46" t="n">
        <f aca="false">'Plan-Kunden'!$P$60</f>
        <v>62.2831522696857</v>
      </c>
      <c r="D71" s="46" t="n">
        <f aca="false">'Plan-Kunden'!$P$89</f>
        <v>82.7605098369994</v>
      </c>
    </row>
    <row r="72" customFormat="false" ht="15" hidden="false" customHeight="true" outlineLevel="0" collapsed="false">
      <c r="A72" s="14" t="s">
        <v>310</v>
      </c>
      <c r="B72" s="61" t="n">
        <f aca="false">'Plan-Kunden'!$Q$32</f>
        <v>0</v>
      </c>
      <c r="C72" s="61" t="n">
        <f aca="false">'Plan-Kunden'!$Q$61</f>
        <v>0</v>
      </c>
      <c r="D72" s="61" t="n">
        <f aca="false">'Plan-Kunden'!$Q$90</f>
        <v>8</v>
      </c>
    </row>
    <row r="73" customFormat="false" ht="15" hidden="false" customHeight="true" outlineLevel="0" collapsed="false">
      <c r="A73" s="14" t="s">
        <v>311</v>
      </c>
      <c r="B73" s="61" t="n">
        <f aca="false">'Plan-Kunden'!$R$32</f>
        <v>0</v>
      </c>
      <c r="C73" s="61" t="n">
        <f aca="false">'Plan-Kunden'!$R$61</f>
        <v>0</v>
      </c>
      <c r="D73" s="61" t="n">
        <f aca="false">'Plan-Kunden'!$R$90</f>
        <v>0</v>
      </c>
    </row>
    <row r="74" customFormat="false" ht="15" hidden="false" customHeight="true" outlineLevel="0" collapsed="false">
      <c r="A74" s="35" t="s">
        <v>312</v>
      </c>
      <c r="B74" s="57" t="str">
        <f aca="false">IFERROR(INDEX('Plan-Kunden'!$A$8:$A$31,MATCH(1,'Plan-Kunden'!$Q$8:$Q$31,0)),"&gt; 24 Monate")</f>
        <v>&gt; 24 Monate</v>
      </c>
      <c r="C74" s="57" t="str">
        <f aca="false">IFERROR(INDEX('Plan-Kunden'!$A$37:$A$60,MATCH(1,'Plan-Kunden'!$Q$37:$Q$60,0)),"&gt; 24 Monate")</f>
        <v>&gt; 24 Monate</v>
      </c>
      <c r="D74" s="57" t="n">
        <f aca="false">IFERROR(INDEX('Plan-Kunden'!$A$66:$A$89,MATCH(1,'Plan-Kunden'!$Q$66:$Q$89,0)),"&gt; 24 Monate")</f>
        <v>17</v>
      </c>
    </row>
    <row r="76" customFormat="false" ht="39" hidden="false" customHeight="true" outlineLevel="0" collapsed="false">
      <c r="A76" s="44" t="s">
        <v>313</v>
      </c>
      <c r="B76" s="44"/>
      <c r="C76" s="44"/>
      <c r="D76" s="44"/>
      <c r="E76" s="44"/>
      <c r="F76" s="44"/>
      <c r="G76" s="44"/>
    </row>
    <row r="78" customFormat="false" ht="39" hidden="false" customHeight="true" outlineLevel="0" collapsed="false">
      <c r="A78" s="44" t="s">
        <v>314</v>
      </c>
      <c r="B78" s="44"/>
      <c r="C78" s="44"/>
      <c r="D78" s="44"/>
      <c r="E78" s="44"/>
      <c r="F78" s="44"/>
      <c r="G78" s="44"/>
    </row>
    <row r="80" customFormat="false" ht="26.25" hidden="false" customHeight="true" outlineLevel="0" collapsed="false">
      <c r="A80" s="44" t="s">
        <v>315</v>
      </c>
      <c r="B80" s="44"/>
      <c r="C80" s="44"/>
      <c r="D80" s="44"/>
      <c r="E80" s="44"/>
      <c r="F80" s="44"/>
      <c r="G80" s="44"/>
    </row>
  </sheetData>
  <mergeCells count="9">
    <mergeCell ref="A2:G4"/>
    <mergeCell ref="A6:G6"/>
    <mergeCell ref="A40:G40"/>
    <mergeCell ref="A43:G43"/>
    <mergeCell ref="A45:G45"/>
    <mergeCell ref="A68:G68"/>
    <mergeCell ref="A76:G76"/>
    <mergeCell ref="A78:G78"/>
    <mergeCell ref="A80:G8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54"/>
    <col collapsed="false" customWidth="true" hidden="false" outlineLevel="0" max="2" min="2" style="1" width="14"/>
    <col collapsed="false" customWidth="true" hidden="false" outlineLevel="0" max="3" min="3" style="1" width="16"/>
    <col collapsed="false" customWidth="true" hidden="false" outlineLevel="0" max="6" min="4" style="1" width="20"/>
    <col collapsed="false" customWidth="true" hidden="false" outlineLevel="0" max="7" min="7" style="1" width="26"/>
  </cols>
  <sheetData>
    <row r="1" customFormat="false" ht="17.25" hidden="false" customHeight="true" outlineLevel="0" collapsed="false">
      <c r="A1" s="43" t="s">
        <v>316</v>
      </c>
    </row>
    <row r="2" customFormat="false" ht="15" hidden="false" customHeight="true" outlineLevel="0" collapsed="false">
      <c r="A2" s="44" t="s">
        <v>317</v>
      </c>
      <c r="B2" s="44"/>
      <c r="C2" s="44"/>
      <c r="D2" s="44"/>
      <c r="E2" s="44"/>
      <c r="F2" s="44"/>
      <c r="G2" s="44"/>
    </row>
    <row r="3" customFormat="false" ht="15" hidden="false" customHeight="true" outlineLevel="0" collapsed="false">
      <c r="A3" s="44"/>
      <c r="B3" s="44"/>
      <c r="C3" s="44"/>
      <c r="D3" s="44"/>
      <c r="E3" s="44"/>
      <c r="F3" s="44"/>
      <c r="G3" s="44"/>
    </row>
    <row r="4" customFormat="false" ht="15" hidden="false" customHeight="true" outlineLevel="0" collapsed="false">
      <c r="A4" s="44"/>
      <c r="B4" s="44"/>
      <c r="C4" s="44"/>
      <c r="D4" s="44"/>
      <c r="E4" s="44"/>
      <c r="F4" s="44"/>
      <c r="G4" s="44"/>
    </row>
    <row r="6" customFormat="false" ht="15" hidden="false" customHeight="true" outlineLevel="0" collapsed="false">
      <c r="A6" s="49" t="s">
        <v>318</v>
      </c>
    </row>
    <row r="7" customFormat="false" ht="15" hidden="false" customHeight="true" outlineLevel="0" collapsed="false">
      <c r="A7" s="4" t="s">
        <v>319</v>
      </c>
      <c r="B7" s="4" t="s">
        <v>320</v>
      </c>
      <c r="C7" s="4" t="s">
        <v>321</v>
      </c>
      <c r="D7" s="4" t="s">
        <v>322</v>
      </c>
      <c r="E7" s="4"/>
      <c r="F7" s="4"/>
      <c r="G7" s="4"/>
    </row>
    <row r="8" customFormat="false" ht="15" hidden="false" customHeight="true" outlineLevel="0" collapsed="false">
      <c r="A8" s="35" t="s">
        <v>323</v>
      </c>
      <c r="B8" s="62" t="n">
        <v>46266</v>
      </c>
      <c r="C8" s="35" t="s">
        <v>324</v>
      </c>
      <c r="D8" s="63" t="s">
        <v>325</v>
      </c>
      <c r="E8" s="63"/>
      <c r="F8" s="63"/>
      <c r="G8" s="63"/>
    </row>
    <row r="9" customFormat="false" ht="39" hidden="false" customHeight="true" outlineLevel="0" collapsed="false">
      <c r="A9" s="35" t="s">
        <v>326</v>
      </c>
      <c r="B9" s="64" t="n">
        <v>4</v>
      </c>
      <c r="C9" s="35" t="s">
        <v>327</v>
      </c>
      <c r="D9" s="63" t="s">
        <v>328</v>
      </c>
      <c r="E9" s="63"/>
      <c r="F9" s="63"/>
      <c r="G9" s="63"/>
    </row>
    <row r="10" customFormat="false" ht="15" hidden="false" customHeight="true" outlineLevel="0" collapsed="false">
      <c r="A10" s="35" t="s">
        <v>329</v>
      </c>
      <c r="B10" s="64" t="n">
        <v>5</v>
      </c>
      <c r="C10" s="35" t="s">
        <v>327</v>
      </c>
      <c r="D10" s="63" t="s">
        <v>330</v>
      </c>
      <c r="E10" s="63"/>
      <c r="F10" s="63"/>
      <c r="G10" s="63"/>
    </row>
    <row r="12" customFormat="false" ht="15" hidden="false" customHeight="true" outlineLevel="0" collapsed="false">
      <c r="A12" s="49" t="s">
        <v>331</v>
      </c>
    </row>
    <row r="13" customFormat="false" ht="15" hidden="false" customHeight="true" outlineLevel="0" collapsed="false">
      <c r="A13" s="4" t="s">
        <v>319</v>
      </c>
      <c r="B13" s="4" t="s">
        <v>320</v>
      </c>
      <c r="C13" s="4" t="s">
        <v>321</v>
      </c>
      <c r="D13" s="4" t="s">
        <v>322</v>
      </c>
      <c r="E13" s="4"/>
      <c r="F13" s="4"/>
      <c r="G13" s="4"/>
    </row>
    <row r="14" customFormat="false" ht="26.25" hidden="false" customHeight="true" outlineLevel="0" collapsed="false">
      <c r="A14" s="35" t="s">
        <v>332</v>
      </c>
      <c r="B14" s="64" t="n">
        <v>29</v>
      </c>
      <c r="C14" s="35" t="s">
        <v>333</v>
      </c>
      <c r="D14" s="63" t="s">
        <v>334</v>
      </c>
      <c r="E14" s="63"/>
      <c r="F14" s="63"/>
      <c r="G14" s="63"/>
    </row>
    <row r="15" customFormat="false" ht="15" hidden="false" customHeight="true" outlineLevel="0" collapsed="false">
      <c r="A15" s="35" t="s">
        <v>335</v>
      </c>
      <c r="B15" s="64" t="n">
        <v>49</v>
      </c>
      <c r="C15" s="35" t="s">
        <v>333</v>
      </c>
      <c r="D15" s="63" t="s">
        <v>336</v>
      </c>
      <c r="E15" s="63"/>
      <c r="F15" s="63"/>
      <c r="G15" s="63"/>
    </row>
    <row r="16" customFormat="false" ht="26.25" hidden="false" customHeight="true" outlineLevel="0" collapsed="false">
      <c r="A16" s="35" t="s">
        <v>337</v>
      </c>
      <c r="B16" s="64" t="n">
        <v>25</v>
      </c>
      <c r="C16" s="35" t="s">
        <v>338</v>
      </c>
      <c r="D16" s="63" t="s">
        <v>339</v>
      </c>
      <c r="E16" s="63"/>
      <c r="F16" s="63"/>
      <c r="G16" s="63"/>
    </row>
    <row r="17" customFormat="false" ht="51.75" hidden="false" customHeight="true" outlineLevel="0" collapsed="false">
      <c r="A17" s="35" t="s">
        <v>340</v>
      </c>
      <c r="B17" s="64" t="n">
        <v>2.5</v>
      </c>
      <c r="C17" s="35" t="s">
        <v>341</v>
      </c>
      <c r="D17" s="63" t="s">
        <v>342</v>
      </c>
      <c r="E17" s="63"/>
      <c r="F17" s="63"/>
      <c r="G17" s="63"/>
    </row>
    <row r="18" customFormat="false" ht="39" hidden="false" customHeight="true" outlineLevel="0" collapsed="false">
      <c r="A18" s="35" t="s">
        <v>343</v>
      </c>
      <c r="B18" s="65" t="n">
        <v>0.015</v>
      </c>
      <c r="C18" s="35" t="s">
        <v>344</v>
      </c>
      <c r="D18" s="63" t="s">
        <v>345</v>
      </c>
      <c r="E18" s="63"/>
      <c r="F18" s="63"/>
      <c r="G18" s="63"/>
    </row>
    <row r="19" customFormat="false" ht="15" hidden="false" customHeight="true" outlineLevel="0" collapsed="false">
      <c r="A19" s="35" t="s">
        <v>346</v>
      </c>
      <c r="B19" s="64" t="n">
        <v>0.25</v>
      </c>
      <c r="C19" s="35" t="s">
        <v>347</v>
      </c>
      <c r="D19" s="63" t="s">
        <v>348</v>
      </c>
      <c r="E19" s="63"/>
      <c r="F19" s="63"/>
      <c r="G19" s="63"/>
    </row>
    <row r="20" customFormat="false" ht="26.25" hidden="false" customHeight="true" outlineLevel="0" collapsed="false">
      <c r="A20" s="35" t="s">
        <v>349</v>
      </c>
      <c r="B20" s="64" t="n">
        <v>0.86</v>
      </c>
      <c r="C20" s="35" t="s">
        <v>350</v>
      </c>
      <c r="D20" s="63" t="s">
        <v>351</v>
      </c>
      <c r="E20" s="63"/>
      <c r="F20" s="63"/>
      <c r="G20" s="63"/>
    </row>
    <row r="21" customFormat="false" ht="26.25" hidden="false" customHeight="true" outlineLevel="0" collapsed="false">
      <c r="A21" s="35" t="s">
        <v>352</v>
      </c>
      <c r="B21" s="64" t="n">
        <v>8</v>
      </c>
      <c r="C21" s="35" t="s">
        <v>353</v>
      </c>
      <c r="D21" s="63" t="s">
        <v>354</v>
      </c>
      <c r="E21" s="63"/>
      <c r="F21" s="63"/>
      <c r="G21" s="63"/>
    </row>
    <row r="23" customFormat="false" ht="15" hidden="false" customHeight="true" outlineLevel="0" collapsed="false">
      <c r="A23" s="49" t="s">
        <v>355</v>
      </c>
    </row>
    <row r="24" customFormat="false" ht="26.25" hidden="false" customHeight="true" outlineLevel="0" collapsed="false">
      <c r="A24" s="44" t="s">
        <v>356</v>
      </c>
      <c r="B24" s="44"/>
      <c r="C24" s="44"/>
      <c r="D24" s="44"/>
      <c r="E24" s="44"/>
      <c r="F24" s="44"/>
      <c r="G24" s="44"/>
    </row>
    <row r="25" customFormat="false" ht="26.25" hidden="false" customHeight="true" outlineLevel="0" collapsed="false">
      <c r="A25" s="4" t="s">
        <v>357</v>
      </c>
      <c r="B25" s="4" t="s">
        <v>358</v>
      </c>
      <c r="C25" s="4" t="s">
        <v>359</v>
      </c>
      <c r="D25" s="4" t="s">
        <v>360</v>
      </c>
      <c r="E25" s="4" t="s">
        <v>361</v>
      </c>
      <c r="F25" s="4" t="s">
        <v>362</v>
      </c>
      <c r="G25" s="4"/>
    </row>
    <row r="26" customFormat="false" ht="15" hidden="false" customHeight="true" outlineLevel="0" collapsed="false">
      <c r="A26" s="66" t="n">
        <v>3</v>
      </c>
      <c r="B26" s="67" t="n">
        <f aca="false">A26*$B$17/100</f>
        <v>0.075</v>
      </c>
      <c r="C26" s="67" t="n">
        <f aca="false">$B$15*$B$18+$B$19</f>
        <v>0.985</v>
      </c>
      <c r="D26" s="39" t="n">
        <f aca="false">$B$14-B26-($B$14*$B$18+$B$19)</f>
        <v>28.24</v>
      </c>
      <c r="E26" s="39" t="n">
        <f aca="false">$B$15-B26-C26</f>
        <v>47.94</v>
      </c>
      <c r="F26" s="68" t="s">
        <v>363</v>
      </c>
      <c r="G26" s="68"/>
    </row>
    <row r="27" customFormat="false" ht="15" hidden="false" customHeight="true" outlineLevel="0" collapsed="false">
      <c r="A27" s="66" t="n">
        <v>5</v>
      </c>
      <c r="B27" s="67" t="n">
        <f aca="false">A27*$B$17/100</f>
        <v>0.125</v>
      </c>
      <c r="C27" s="67" t="n">
        <f aca="false">$B$15*$B$18+$B$19</f>
        <v>0.985</v>
      </c>
      <c r="D27" s="39" t="n">
        <f aca="false">$B$14-B27-($B$14*$B$18+$B$19)</f>
        <v>28.19</v>
      </c>
      <c r="E27" s="39" t="n">
        <f aca="false">$B$15-B27-C27</f>
        <v>47.89</v>
      </c>
      <c r="F27" s="68" t="s">
        <v>364</v>
      </c>
      <c r="G27" s="68"/>
    </row>
    <row r="28" customFormat="false" ht="15" hidden="false" customHeight="true" outlineLevel="0" collapsed="false">
      <c r="A28" s="66" t="n">
        <v>8</v>
      </c>
      <c r="B28" s="67" t="n">
        <f aca="false">A28*$B$17/100</f>
        <v>0.2</v>
      </c>
      <c r="C28" s="67" t="n">
        <f aca="false">$B$15*$B$18+$B$19</f>
        <v>0.985</v>
      </c>
      <c r="D28" s="39" t="n">
        <f aca="false">$B$14-B28-($B$14*$B$18+$B$19)</f>
        <v>28.115</v>
      </c>
      <c r="E28" s="39" t="n">
        <f aca="false">$B$15-B28-C28</f>
        <v>47.815</v>
      </c>
      <c r="F28" s="68" t="s">
        <v>365</v>
      </c>
      <c r="G28" s="68"/>
    </row>
    <row r="29" customFormat="false" ht="15" hidden="false" customHeight="true" outlineLevel="0" collapsed="false">
      <c r="A29" s="66" t="n">
        <v>40</v>
      </c>
      <c r="B29" s="67" t="n">
        <f aca="false">A29*$B$17/100</f>
        <v>1</v>
      </c>
      <c r="C29" s="67" t="n">
        <f aca="false">$B$15*$B$18+$B$19</f>
        <v>0.985</v>
      </c>
      <c r="D29" s="39" t="n">
        <f aca="false">$B$14-B29-($B$14*$B$18+$B$19)</f>
        <v>27.315</v>
      </c>
      <c r="E29" s="39" t="n">
        <f aca="false">$B$15-B29-C29</f>
        <v>47.015</v>
      </c>
      <c r="F29" s="68" t="s">
        <v>366</v>
      </c>
      <c r="G29" s="68"/>
    </row>
    <row r="30" customFormat="false" ht="26.25" hidden="false" customHeight="true" outlineLevel="0" collapsed="false">
      <c r="A30" s="44" t="s">
        <v>367</v>
      </c>
      <c r="B30" s="44"/>
      <c r="C30" s="44"/>
      <c r="D30" s="44"/>
      <c r="E30" s="44"/>
      <c r="F30" s="44"/>
      <c r="G30" s="44"/>
    </row>
    <row r="32" customFormat="false" ht="15" hidden="false" customHeight="true" outlineLevel="0" collapsed="false">
      <c r="A32" s="49" t="s">
        <v>368</v>
      </c>
    </row>
    <row r="33" customFormat="false" ht="15" hidden="false" customHeight="true" outlineLevel="0" collapsed="false">
      <c r="A33" s="4" t="s">
        <v>319</v>
      </c>
      <c r="B33" s="4" t="s">
        <v>320</v>
      </c>
      <c r="C33" s="4" t="s">
        <v>321</v>
      </c>
      <c r="D33" s="4" t="s">
        <v>322</v>
      </c>
      <c r="E33" s="4"/>
      <c r="F33" s="4"/>
      <c r="G33" s="4"/>
    </row>
    <row r="34" customFormat="false" ht="51.75" hidden="false" customHeight="true" outlineLevel="0" collapsed="false">
      <c r="A34" s="35" t="s">
        <v>369</v>
      </c>
      <c r="B34" s="69" t="s">
        <v>370</v>
      </c>
      <c r="C34" s="35" t="s">
        <v>134</v>
      </c>
      <c r="D34" s="63" t="s">
        <v>371</v>
      </c>
      <c r="E34" s="63"/>
      <c r="F34" s="63"/>
      <c r="G34" s="63"/>
    </row>
    <row r="35" customFormat="false" ht="26.25" hidden="false" customHeight="true" outlineLevel="0" collapsed="false">
      <c r="A35" s="35" t="s">
        <v>372</v>
      </c>
      <c r="B35" s="65" t="n">
        <v>0.1</v>
      </c>
      <c r="C35" s="35" t="s">
        <v>373</v>
      </c>
      <c r="D35" s="63" t="s">
        <v>374</v>
      </c>
      <c r="E35" s="63"/>
      <c r="F35" s="63"/>
      <c r="G35" s="63"/>
    </row>
    <row r="36" customFormat="false" ht="26.25" hidden="false" customHeight="true" outlineLevel="0" collapsed="false">
      <c r="A36" s="35" t="s">
        <v>375</v>
      </c>
      <c r="B36" s="65" t="n">
        <v>0.2</v>
      </c>
      <c r="C36" s="35" t="s">
        <v>373</v>
      </c>
      <c r="D36" s="63" t="s">
        <v>374</v>
      </c>
      <c r="E36" s="63"/>
      <c r="F36" s="63"/>
      <c r="G36" s="63"/>
    </row>
    <row r="37" customFormat="false" ht="26.25" hidden="false" customHeight="true" outlineLevel="0" collapsed="false">
      <c r="A37" s="35" t="s">
        <v>376</v>
      </c>
      <c r="B37" s="65" t="n">
        <v>0.35</v>
      </c>
      <c r="C37" s="35" t="s">
        <v>373</v>
      </c>
      <c r="D37" s="63" t="s">
        <v>374</v>
      </c>
      <c r="E37" s="63"/>
      <c r="F37" s="63"/>
      <c r="G37" s="63"/>
    </row>
    <row r="38" customFormat="false" ht="15" hidden="false" customHeight="true" outlineLevel="0" collapsed="false">
      <c r="A38" s="35" t="s">
        <v>377</v>
      </c>
      <c r="B38" s="65" t="n">
        <v>0.4</v>
      </c>
      <c r="C38" s="35" t="s">
        <v>378</v>
      </c>
      <c r="D38" s="63" t="s">
        <v>379</v>
      </c>
      <c r="E38" s="63"/>
      <c r="F38" s="63"/>
      <c r="G38" s="63"/>
    </row>
    <row r="39" customFormat="false" ht="15" hidden="false" customHeight="true" outlineLevel="0" collapsed="false">
      <c r="A39" s="35" t="s">
        <v>380</v>
      </c>
      <c r="B39" s="65" t="n">
        <v>0.5</v>
      </c>
      <c r="C39" s="35" t="s">
        <v>378</v>
      </c>
      <c r="D39" s="63" t="s">
        <v>379</v>
      </c>
      <c r="E39" s="63"/>
      <c r="F39" s="63"/>
      <c r="G39" s="63"/>
    </row>
    <row r="40" customFormat="false" ht="15" hidden="false" customHeight="true" outlineLevel="0" collapsed="false">
      <c r="A40" s="35" t="s">
        <v>381</v>
      </c>
      <c r="B40" s="65" t="n">
        <v>0.6</v>
      </c>
      <c r="C40" s="35" t="s">
        <v>378</v>
      </c>
      <c r="D40" s="63" t="s">
        <v>379</v>
      </c>
      <c r="E40" s="63"/>
      <c r="F40" s="63"/>
      <c r="G40" s="63"/>
    </row>
    <row r="41" customFormat="false" ht="26.25" hidden="false" customHeight="true" outlineLevel="0" collapsed="false">
      <c r="A41" s="35" t="s">
        <v>382</v>
      </c>
      <c r="B41" s="64" t="n">
        <v>4</v>
      </c>
      <c r="C41" s="35" t="s">
        <v>383</v>
      </c>
      <c r="D41" s="63" t="s">
        <v>384</v>
      </c>
      <c r="E41" s="63"/>
      <c r="F41" s="63"/>
      <c r="G41" s="63"/>
    </row>
    <row r="42" customFormat="false" ht="26.25" hidden="false" customHeight="true" outlineLevel="0" collapsed="false">
      <c r="A42" s="35" t="s">
        <v>385</v>
      </c>
      <c r="B42" s="64" t="n">
        <v>3</v>
      </c>
      <c r="C42" s="35" t="s">
        <v>383</v>
      </c>
      <c r="D42" s="63" t="s">
        <v>384</v>
      </c>
      <c r="E42" s="63"/>
      <c r="F42" s="63"/>
      <c r="G42" s="63"/>
    </row>
    <row r="43" customFormat="false" ht="26.25" hidden="false" customHeight="true" outlineLevel="0" collapsed="false">
      <c r="A43" s="35" t="s">
        <v>386</v>
      </c>
      <c r="B43" s="64" t="n">
        <v>2</v>
      </c>
      <c r="C43" s="35" t="s">
        <v>383</v>
      </c>
      <c r="D43" s="63" t="s">
        <v>384</v>
      </c>
      <c r="E43" s="63"/>
      <c r="F43" s="63"/>
      <c r="G43" s="63"/>
    </row>
    <row r="44" customFormat="false" ht="39" hidden="false" customHeight="true" outlineLevel="0" collapsed="false">
      <c r="A44" s="35" t="s">
        <v>387</v>
      </c>
      <c r="B44" s="65" t="n">
        <v>0.05</v>
      </c>
      <c r="C44" s="35" t="s">
        <v>388</v>
      </c>
      <c r="D44" s="63" t="s">
        <v>389</v>
      </c>
      <c r="E44" s="63"/>
      <c r="F44" s="63"/>
      <c r="G44" s="63"/>
    </row>
    <row r="45" customFormat="false" ht="39" hidden="false" customHeight="true" outlineLevel="0" collapsed="false">
      <c r="A45" s="35" t="s">
        <v>390</v>
      </c>
      <c r="B45" s="65" t="n">
        <v>0.04</v>
      </c>
      <c r="C45" s="35" t="s">
        <v>388</v>
      </c>
      <c r="D45" s="63" t="s">
        <v>389</v>
      </c>
      <c r="E45" s="63"/>
      <c r="F45" s="63"/>
      <c r="G45" s="63"/>
    </row>
    <row r="46" customFormat="false" ht="39" hidden="false" customHeight="true" outlineLevel="0" collapsed="false">
      <c r="A46" s="35" t="s">
        <v>391</v>
      </c>
      <c r="B46" s="65" t="n">
        <v>0.03</v>
      </c>
      <c r="C46" s="35" t="s">
        <v>388</v>
      </c>
      <c r="D46" s="63" t="s">
        <v>389</v>
      </c>
      <c r="E46" s="63"/>
      <c r="F46" s="63"/>
      <c r="G46" s="63"/>
    </row>
    <row r="47" customFormat="false" ht="26.25" hidden="false" customHeight="true" outlineLevel="0" collapsed="false">
      <c r="A47" s="35" t="s">
        <v>392</v>
      </c>
      <c r="B47" s="65" t="n">
        <v>0.02</v>
      </c>
      <c r="C47" s="35" t="s">
        <v>388</v>
      </c>
      <c r="D47" s="63" t="s">
        <v>393</v>
      </c>
      <c r="E47" s="63"/>
      <c r="F47" s="63"/>
      <c r="G47" s="63"/>
    </row>
    <row r="48" customFormat="false" ht="26.25" hidden="false" customHeight="true" outlineLevel="0" collapsed="false">
      <c r="A48" s="35" t="s">
        <v>394</v>
      </c>
      <c r="B48" s="65" t="n">
        <v>0.015</v>
      </c>
      <c r="C48" s="35" t="s">
        <v>388</v>
      </c>
      <c r="D48" s="63" t="s">
        <v>393</v>
      </c>
      <c r="E48" s="63"/>
      <c r="F48" s="63"/>
      <c r="G48" s="63"/>
    </row>
    <row r="49" customFormat="false" ht="26.25" hidden="false" customHeight="true" outlineLevel="0" collapsed="false">
      <c r="A49" s="35" t="s">
        <v>395</v>
      </c>
      <c r="B49" s="65" t="n">
        <v>0.01</v>
      </c>
      <c r="C49" s="35" t="s">
        <v>388</v>
      </c>
      <c r="D49" s="63" t="s">
        <v>393</v>
      </c>
      <c r="E49" s="63"/>
      <c r="F49" s="63"/>
      <c r="G49" s="63"/>
    </row>
    <row r="50" customFormat="false" ht="39" hidden="false" customHeight="true" outlineLevel="0" collapsed="false">
      <c r="A50" s="35" t="s">
        <v>396</v>
      </c>
      <c r="B50" s="64" t="n">
        <v>0</v>
      </c>
      <c r="C50" s="35" t="s">
        <v>397</v>
      </c>
      <c r="D50" s="63" t="s">
        <v>398</v>
      </c>
      <c r="E50" s="63"/>
      <c r="F50" s="63"/>
      <c r="G50" s="63"/>
    </row>
    <row r="51" customFormat="false" ht="26.25" hidden="false" customHeight="true" outlineLevel="0" collapsed="false">
      <c r="A51" s="35" t="s">
        <v>399</v>
      </c>
      <c r="B51" s="65" t="n">
        <v>0</v>
      </c>
      <c r="C51" s="35" t="s">
        <v>400</v>
      </c>
      <c r="D51" s="63" t="s">
        <v>401</v>
      </c>
      <c r="E51" s="63"/>
      <c r="F51" s="63"/>
      <c r="G51" s="63"/>
    </row>
    <row r="52" customFormat="false" ht="15" hidden="false" customHeight="true" outlineLevel="0" collapsed="false">
      <c r="A52" s="35" t="s">
        <v>402</v>
      </c>
      <c r="B52" s="65" t="n">
        <v>0.02</v>
      </c>
      <c r="C52" s="35" t="s">
        <v>403</v>
      </c>
      <c r="D52" s="63" t="s">
        <v>404</v>
      </c>
      <c r="E52" s="63"/>
      <c r="F52" s="63"/>
      <c r="G52" s="63"/>
    </row>
    <row r="53" customFormat="false" ht="15" hidden="false" customHeight="true" outlineLevel="0" collapsed="false">
      <c r="A53" s="35" t="s">
        <v>405</v>
      </c>
      <c r="B53" s="65" t="n">
        <v>0.01</v>
      </c>
      <c r="C53" s="35" t="s">
        <v>403</v>
      </c>
      <c r="D53" s="63" t="s">
        <v>406</v>
      </c>
      <c r="E53" s="63"/>
      <c r="F53" s="63"/>
      <c r="G53" s="63"/>
    </row>
    <row r="55" customFormat="false" ht="15" hidden="false" customHeight="true" outlineLevel="0" collapsed="false">
      <c r="A55" s="49" t="s">
        <v>407</v>
      </c>
    </row>
    <row r="56" customFormat="false" ht="39" hidden="false" customHeight="true" outlineLevel="0" collapsed="false">
      <c r="A56" s="44" t="s">
        <v>408</v>
      </c>
      <c r="B56" s="44"/>
      <c r="C56" s="44"/>
      <c r="D56" s="44"/>
      <c r="E56" s="44"/>
      <c r="F56" s="44"/>
      <c r="G56" s="44"/>
    </row>
    <row r="57" customFormat="false" ht="15" hidden="false" customHeight="true" outlineLevel="0" collapsed="false">
      <c r="A57" s="4" t="s">
        <v>319</v>
      </c>
      <c r="B57" s="4" t="s">
        <v>320</v>
      </c>
      <c r="C57" s="4" t="s">
        <v>321</v>
      </c>
      <c r="D57" s="4" t="s">
        <v>322</v>
      </c>
      <c r="E57" s="4"/>
      <c r="F57" s="4"/>
      <c r="G57" s="4"/>
    </row>
    <row r="58" customFormat="false" ht="26.25" hidden="false" customHeight="true" outlineLevel="0" collapsed="false">
      <c r="A58" s="35" t="s">
        <v>409</v>
      </c>
      <c r="B58" s="64" t="n">
        <v>2</v>
      </c>
      <c r="C58" s="35" t="s">
        <v>327</v>
      </c>
      <c r="D58" s="63" t="s">
        <v>410</v>
      </c>
      <c r="E58" s="63"/>
      <c r="F58" s="63"/>
      <c r="G58" s="63"/>
    </row>
    <row r="59" customFormat="false" ht="39" hidden="false" customHeight="true" outlineLevel="0" collapsed="false">
      <c r="A59" s="35" t="s">
        <v>411</v>
      </c>
      <c r="B59" s="64" t="n">
        <v>20</v>
      </c>
      <c r="C59" s="35" t="s">
        <v>412</v>
      </c>
      <c r="D59" s="63" t="s">
        <v>413</v>
      </c>
      <c r="E59" s="63"/>
      <c r="F59" s="63"/>
      <c r="G59" s="63"/>
    </row>
    <row r="60" customFormat="false" ht="26.25" hidden="false" customHeight="true" outlineLevel="0" collapsed="false">
      <c r="A60" s="35" t="s">
        <v>414</v>
      </c>
      <c r="B60" s="64" t="n">
        <v>1.25</v>
      </c>
      <c r="C60" s="35" t="s">
        <v>383</v>
      </c>
      <c r="D60" s="63" t="s">
        <v>415</v>
      </c>
      <c r="E60" s="63"/>
      <c r="F60" s="63"/>
      <c r="G60" s="63"/>
    </row>
    <row r="61" customFormat="false" ht="39" hidden="false" customHeight="true" outlineLevel="0" collapsed="false">
      <c r="A61" s="35" t="s">
        <v>416</v>
      </c>
      <c r="B61" s="64" t="n">
        <v>1</v>
      </c>
      <c r="C61" s="35" t="s">
        <v>397</v>
      </c>
      <c r="D61" s="63" t="s">
        <v>417</v>
      </c>
      <c r="E61" s="63"/>
      <c r="F61" s="63"/>
      <c r="G61" s="63"/>
    </row>
    <row r="62" customFormat="false" ht="39" hidden="false" customHeight="true" outlineLevel="0" collapsed="false">
      <c r="A62" s="35" t="s">
        <v>418</v>
      </c>
      <c r="B62" s="65" t="n">
        <v>0</v>
      </c>
      <c r="C62" s="35" t="s">
        <v>419</v>
      </c>
      <c r="D62" s="63" t="s">
        <v>420</v>
      </c>
      <c r="E62" s="63"/>
      <c r="F62" s="63"/>
      <c r="G62" s="63"/>
    </row>
    <row r="63" customFormat="false" ht="26.25" hidden="false" customHeight="true" outlineLevel="0" collapsed="false">
      <c r="A63" s="35" t="s">
        <v>421</v>
      </c>
      <c r="B63" s="64" t="n">
        <v>25000</v>
      </c>
      <c r="C63" s="35" t="s">
        <v>422</v>
      </c>
      <c r="D63" s="63" t="s">
        <v>423</v>
      </c>
      <c r="E63" s="63"/>
      <c r="F63" s="63"/>
      <c r="G63" s="63"/>
    </row>
    <row r="64" customFormat="false" ht="15" hidden="false" customHeight="true" outlineLevel="0" collapsed="false">
      <c r="A64" s="35" t="s">
        <v>424</v>
      </c>
      <c r="B64" s="64" t="n">
        <v>100000</v>
      </c>
      <c r="C64" s="35" t="s">
        <v>422</v>
      </c>
      <c r="D64" s="63" t="s">
        <v>425</v>
      </c>
      <c r="E64" s="63"/>
      <c r="F64" s="63"/>
      <c r="G64" s="63"/>
    </row>
    <row r="66" customFormat="false" ht="15" hidden="false" customHeight="true" outlineLevel="0" collapsed="false">
      <c r="A66" s="49" t="s">
        <v>426</v>
      </c>
    </row>
    <row r="67" customFormat="false" ht="15" hidden="false" customHeight="true" outlineLevel="0" collapsed="false">
      <c r="A67" s="4" t="s">
        <v>319</v>
      </c>
      <c r="B67" s="4" t="s">
        <v>320</v>
      </c>
      <c r="C67" s="4" t="s">
        <v>321</v>
      </c>
      <c r="D67" s="4" t="s">
        <v>322</v>
      </c>
      <c r="E67" s="4"/>
      <c r="F67" s="4"/>
      <c r="G67" s="4"/>
    </row>
    <row r="68" customFormat="false" ht="26.25" hidden="false" customHeight="true" outlineLevel="0" collapsed="false">
      <c r="A68" s="35" t="s">
        <v>427</v>
      </c>
      <c r="B68" s="64" t="n">
        <v>86</v>
      </c>
      <c r="C68" s="35" t="s">
        <v>428</v>
      </c>
      <c r="D68" s="63" t="s">
        <v>429</v>
      </c>
      <c r="E68" s="63"/>
      <c r="F68" s="63"/>
      <c r="G68" s="63"/>
    </row>
    <row r="69" customFormat="false" ht="39" hidden="false" customHeight="true" outlineLevel="0" collapsed="false">
      <c r="A69" s="35" t="s">
        <v>430</v>
      </c>
      <c r="B69" s="64" t="n">
        <v>65</v>
      </c>
      <c r="C69" s="35" t="s">
        <v>428</v>
      </c>
      <c r="D69" s="63" t="s">
        <v>431</v>
      </c>
      <c r="E69" s="63"/>
      <c r="F69" s="63"/>
      <c r="G69" s="63"/>
    </row>
    <row r="70" customFormat="false" ht="39" hidden="false" customHeight="true" outlineLevel="0" collapsed="false">
      <c r="A70" s="35" t="s">
        <v>432</v>
      </c>
      <c r="B70" s="64" t="n">
        <v>25</v>
      </c>
      <c r="C70" s="35" t="s">
        <v>428</v>
      </c>
      <c r="D70" s="63" t="s">
        <v>433</v>
      </c>
      <c r="E70" s="63"/>
      <c r="F70" s="63"/>
      <c r="G70" s="63"/>
    </row>
    <row r="71" customFormat="false" ht="15" hidden="false" customHeight="true" outlineLevel="0" collapsed="false">
      <c r="A71" s="35" t="s">
        <v>434</v>
      </c>
      <c r="B71" s="64" t="n">
        <v>0.3</v>
      </c>
      <c r="C71" s="35" t="s">
        <v>435</v>
      </c>
      <c r="D71" s="63" t="s">
        <v>436</v>
      </c>
      <c r="E71" s="63"/>
      <c r="F71" s="63"/>
      <c r="G71" s="63"/>
    </row>
    <row r="72" customFormat="false" ht="15" hidden="false" customHeight="true" outlineLevel="0" collapsed="false">
      <c r="A72" s="35" t="s">
        <v>437</v>
      </c>
      <c r="B72" s="64" t="n">
        <v>1</v>
      </c>
      <c r="C72" s="35" t="s">
        <v>435</v>
      </c>
      <c r="D72" s="63" t="s">
        <v>438</v>
      </c>
      <c r="E72" s="63"/>
      <c r="F72" s="63"/>
      <c r="G72" s="63"/>
    </row>
    <row r="73" customFormat="false" ht="39" hidden="false" customHeight="true" outlineLevel="0" collapsed="false">
      <c r="A73" s="35" t="s">
        <v>439</v>
      </c>
      <c r="B73" s="69" t="s">
        <v>370</v>
      </c>
      <c r="C73" s="35" t="s">
        <v>134</v>
      </c>
      <c r="D73" s="63" t="s">
        <v>440</v>
      </c>
      <c r="E73" s="63"/>
      <c r="F73" s="63"/>
      <c r="G73" s="63"/>
    </row>
    <row r="75" customFormat="false" ht="15" hidden="false" customHeight="true" outlineLevel="0" collapsed="false">
      <c r="A75" s="49" t="s">
        <v>441</v>
      </c>
    </row>
    <row r="76" customFormat="false" ht="15" hidden="false" customHeight="true" outlineLevel="0" collapsed="false">
      <c r="A76" s="4" t="s">
        <v>319</v>
      </c>
      <c r="B76" s="4" t="s">
        <v>320</v>
      </c>
      <c r="C76" s="4" t="s">
        <v>321</v>
      </c>
      <c r="D76" s="4" t="s">
        <v>322</v>
      </c>
      <c r="E76" s="4"/>
      <c r="F76" s="4"/>
      <c r="G76" s="4"/>
    </row>
    <row r="77" customFormat="false" ht="51.75" hidden="false" customHeight="true" outlineLevel="0" collapsed="false">
      <c r="A77" s="35" t="s">
        <v>442</v>
      </c>
      <c r="B77" s="64" t="n">
        <v>48000</v>
      </c>
      <c r="C77" s="35" t="s">
        <v>443</v>
      </c>
      <c r="D77" s="63" t="s">
        <v>444</v>
      </c>
      <c r="E77" s="63"/>
      <c r="F77" s="63"/>
      <c r="G77" s="63"/>
    </row>
    <row r="78" customFormat="false" ht="26.25" hidden="false" customHeight="true" outlineLevel="0" collapsed="false">
      <c r="A78" s="35" t="s">
        <v>445</v>
      </c>
      <c r="B78" s="65" t="n">
        <v>0.205</v>
      </c>
      <c r="C78" s="35" t="s">
        <v>446</v>
      </c>
      <c r="D78" s="63" t="s">
        <v>447</v>
      </c>
      <c r="E78" s="63"/>
      <c r="F78" s="63"/>
      <c r="G78" s="63"/>
    </row>
    <row r="79" customFormat="false" ht="15" hidden="false" customHeight="true" outlineLevel="0" collapsed="false">
      <c r="A79" s="35" t="s">
        <v>448</v>
      </c>
      <c r="B79" s="64" t="n">
        <v>1230</v>
      </c>
      <c r="C79" s="35" t="s">
        <v>443</v>
      </c>
      <c r="D79" s="63" t="s">
        <v>449</v>
      </c>
      <c r="E79" s="63"/>
      <c r="F79" s="63"/>
      <c r="G79" s="63"/>
    </row>
    <row r="80" customFormat="false" ht="15" hidden="false" customHeight="true" outlineLevel="0" collapsed="false">
      <c r="A80" s="35" t="s">
        <v>450</v>
      </c>
      <c r="B80" s="65" t="n">
        <v>0.2</v>
      </c>
      <c r="C80" s="35" t="s">
        <v>419</v>
      </c>
      <c r="D80" s="63" t="s">
        <v>451</v>
      </c>
      <c r="E80" s="63"/>
      <c r="F80" s="63"/>
      <c r="G80" s="63"/>
    </row>
    <row r="81" customFormat="false" ht="15" hidden="false" customHeight="true" outlineLevel="0" collapsed="false">
      <c r="A81" s="35" t="s">
        <v>452</v>
      </c>
      <c r="B81" s="70" t="n">
        <f aca="false">B77-B79-B77*B80-36</f>
        <v>37134</v>
      </c>
      <c r="C81" s="35" t="s">
        <v>443</v>
      </c>
      <c r="D81" s="63" t="s">
        <v>453</v>
      </c>
      <c r="E81" s="63"/>
      <c r="F81" s="63"/>
      <c r="G81" s="63"/>
    </row>
    <row r="82" customFormat="false" ht="77.25" hidden="false" customHeight="true" outlineLevel="0" collapsed="false">
      <c r="A82" s="35" t="s">
        <v>454</v>
      </c>
      <c r="B82" s="71" t="n">
        <f aca="false">(IF(INT(MAX(0,B81+1000))&lt;=12348,0,IF(INT(MAX(0,B81+1000))&lt;=17799,(914.51*((INT(MAX(0,B81+1000))-12348)/10000)+1400)*((INT(MAX(0,B81+1000))-12348)/10000),IF(INT(MAX(0,B81+1000))&lt;=69878,(173.1*((INT(MAX(0,B81+1000))-17799)/10000)+2397)*((INT(MAX(0,B81+1000))-17799)/10000)+1034.87,IF(INT(MAX(0,B81+1000))&lt;=277825,0.42*INT(MAX(0,B81+1000))-11135.63,0.45*INT(MAX(0,B81+1000))-19470.38))))-IF(INT(MAX(0,B81))&lt;=12348,0,IF(INT(MAX(0,B81))&lt;=17799,(914.51*((INT(MAX(0,B81))-12348)/10000)+1400)*((INT(MAX(0,B81))-12348)/10000),IF(INT(MAX(0,B81))&lt;=69878,(173.1*((INT(MAX(0,B81))-17799)/10000)+2397)*((INT(MAX(0,B81))-17799)/10000)+1034.87,IF(INT(MAX(0,B81))&lt;=277825,0.42*INT(MAX(0,B81))-11135.63,0.45*INT(MAX(0,B81))-19470.38)))))/1000</f>
        <v>0.30836877</v>
      </c>
      <c r="C82" s="35" t="s">
        <v>344</v>
      </c>
      <c r="D82" s="63" t="s">
        <v>455</v>
      </c>
      <c r="E82" s="63"/>
      <c r="F82" s="63"/>
      <c r="G82" s="63"/>
    </row>
    <row r="84" customFormat="false" ht="15" hidden="false" customHeight="true" outlineLevel="0" collapsed="false">
      <c r="A84" s="49" t="s">
        <v>456</v>
      </c>
    </row>
    <row r="85" customFormat="false" ht="15" hidden="false" customHeight="true" outlineLevel="0" collapsed="false">
      <c r="A85" s="4" t="s">
        <v>319</v>
      </c>
      <c r="B85" s="4" t="s">
        <v>320</v>
      </c>
      <c r="C85" s="4" t="s">
        <v>321</v>
      </c>
      <c r="D85" s="4" t="s">
        <v>322</v>
      </c>
      <c r="E85" s="4"/>
      <c r="F85" s="4"/>
      <c r="G85" s="4"/>
    </row>
    <row r="86" customFormat="false" ht="26.25" hidden="false" customHeight="true" outlineLevel="0" collapsed="false">
      <c r="A86" s="35" t="s">
        <v>457</v>
      </c>
      <c r="B86" s="64" t="n">
        <v>2500</v>
      </c>
      <c r="C86" s="35" t="s">
        <v>333</v>
      </c>
      <c r="D86" s="63" t="s">
        <v>458</v>
      </c>
      <c r="E86" s="63"/>
      <c r="F86" s="63"/>
      <c r="G86" s="63"/>
    </row>
    <row r="87" customFormat="false" ht="15" hidden="false" customHeight="true" outlineLevel="0" collapsed="false">
      <c r="A87" s="35" t="s">
        <v>459</v>
      </c>
      <c r="B87" s="65" t="n">
        <v>0.2</v>
      </c>
      <c r="C87" s="35" t="s">
        <v>419</v>
      </c>
      <c r="D87" s="63" t="s">
        <v>460</v>
      </c>
      <c r="E87" s="63"/>
      <c r="F87" s="63"/>
      <c r="G87" s="63"/>
    </row>
    <row r="88" customFormat="false" ht="15" hidden="false" customHeight="true" outlineLevel="0" collapsed="false">
      <c r="A88" s="35" t="s">
        <v>461</v>
      </c>
      <c r="B88" s="64" t="n">
        <v>300</v>
      </c>
      <c r="C88" s="35" t="s">
        <v>333</v>
      </c>
      <c r="D88" s="63" t="s">
        <v>462</v>
      </c>
      <c r="E88" s="63"/>
      <c r="F88" s="63"/>
      <c r="G88" s="63"/>
    </row>
    <row r="89" customFormat="false" ht="15" hidden="false" customHeight="true" outlineLevel="0" collapsed="false">
      <c r="A89" s="35" t="s">
        <v>463</v>
      </c>
      <c r="B89" s="64" t="n">
        <v>30</v>
      </c>
      <c r="C89" s="35" t="s">
        <v>464</v>
      </c>
      <c r="D89" s="63" t="s">
        <v>465</v>
      </c>
      <c r="E89" s="63"/>
      <c r="F89" s="63"/>
      <c r="G89" s="63"/>
    </row>
    <row r="90" customFormat="false" ht="15" hidden="false" customHeight="true" outlineLevel="0" collapsed="false">
      <c r="A90" s="35" t="s">
        <v>466</v>
      </c>
      <c r="B90" s="64" t="n">
        <v>25</v>
      </c>
      <c r="C90" s="35" t="s">
        <v>464</v>
      </c>
      <c r="D90" s="63" t="s">
        <v>467</v>
      </c>
      <c r="E90" s="63"/>
      <c r="F90" s="63"/>
      <c r="G90" s="63"/>
    </row>
    <row r="91" customFormat="false" ht="26.25" hidden="false" customHeight="true" outlineLevel="0" collapsed="false">
      <c r="A91" s="35" t="s">
        <v>468</v>
      </c>
      <c r="B91" s="64" t="n">
        <v>43</v>
      </c>
      <c r="C91" s="35" t="s">
        <v>428</v>
      </c>
      <c r="D91" s="63" t="s">
        <v>469</v>
      </c>
      <c r="E91" s="63"/>
      <c r="F91" s="63"/>
      <c r="G91" s="63"/>
    </row>
    <row r="92" customFormat="false" ht="15" hidden="false" customHeight="true" outlineLevel="0" collapsed="false">
      <c r="A92" s="35" t="s">
        <v>470</v>
      </c>
      <c r="B92" s="64" t="n">
        <v>65</v>
      </c>
      <c r="C92" s="35" t="s">
        <v>428</v>
      </c>
      <c r="D92" s="63" t="s">
        <v>471</v>
      </c>
      <c r="E92" s="63"/>
      <c r="F92" s="63"/>
      <c r="G92" s="63"/>
    </row>
    <row r="93" customFormat="false" ht="64.5" hidden="false" customHeight="true" outlineLevel="0" collapsed="false">
      <c r="A93" s="35" t="s">
        <v>472</v>
      </c>
      <c r="B93" s="64" t="n">
        <v>3</v>
      </c>
      <c r="C93" s="35" t="s">
        <v>383</v>
      </c>
      <c r="D93" s="63" t="s">
        <v>473</v>
      </c>
      <c r="E93" s="63"/>
      <c r="F93" s="63"/>
      <c r="G93" s="63"/>
    </row>
    <row r="95" customFormat="false" ht="15" hidden="false" customHeight="true" outlineLevel="0" collapsed="false">
      <c r="A95" s="49" t="s">
        <v>474</v>
      </c>
    </row>
    <row r="96" customFormat="false" ht="15" hidden="false" customHeight="true" outlineLevel="0" collapsed="false">
      <c r="A96" s="4" t="s">
        <v>319</v>
      </c>
      <c r="B96" s="4" t="s">
        <v>320</v>
      </c>
      <c r="C96" s="4" t="s">
        <v>321</v>
      </c>
      <c r="D96" s="4" t="s">
        <v>322</v>
      </c>
      <c r="E96" s="4"/>
      <c r="F96" s="4"/>
      <c r="G96" s="4"/>
    </row>
    <row r="97" customFormat="false" ht="26.25" hidden="false" customHeight="true" outlineLevel="0" collapsed="false">
      <c r="A97" s="35" t="s">
        <v>475</v>
      </c>
      <c r="B97" s="65" t="n">
        <v>0.146</v>
      </c>
      <c r="C97" s="35" t="s">
        <v>344</v>
      </c>
      <c r="D97" s="63" t="s">
        <v>476</v>
      </c>
      <c r="E97" s="63"/>
      <c r="F97" s="63"/>
      <c r="G97" s="63"/>
    </row>
    <row r="98" customFormat="false" ht="15" hidden="false" customHeight="true" outlineLevel="0" collapsed="false">
      <c r="A98" s="35" t="s">
        <v>477</v>
      </c>
      <c r="B98" s="65" t="n">
        <v>0.029</v>
      </c>
      <c r="C98" s="35" t="s">
        <v>344</v>
      </c>
      <c r="D98" s="63" t="s">
        <v>478</v>
      </c>
      <c r="E98" s="63"/>
      <c r="F98" s="63"/>
      <c r="G98" s="63"/>
    </row>
    <row r="99" customFormat="false" ht="15" hidden="false" customHeight="true" outlineLevel="0" collapsed="false">
      <c r="A99" s="35" t="s">
        <v>479</v>
      </c>
      <c r="B99" s="65" t="n">
        <v>0.042</v>
      </c>
      <c r="C99" s="35" t="s">
        <v>344</v>
      </c>
      <c r="D99" s="63" t="s">
        <v>480</v>
      </c>
      <c r="E99" s="63"/>
      <c r="F99" s="63"/>
      <c r="G99" s="63"/>
    </row>
    <row r="100" customFormat="false" ht="15" hidden="false" customHeight="true" outlineLevel="0" collapsed="false">
      <c r="A100" s="35" t="s">
        <v>481</v>
      </c>
      <c r="B100" s="64" t="n">
        <v>1318.33</v>
      </c>
      <c r="C100" s="35" t="s">
        <v>333</v>
      </c>
      <c r="D100" s="63" t="s">
        <v>482</v>
      </c>
      <c r="E100" s="63"/>
      <c r="F100" s="63"/>
      <c r="G100" s="63"/>
    </row>
    <row r="101" customFormat="false" ht="15" hidden="false" customHeight="true" outlineLevel="0" collapsed="false">
      <c r="A101" s="35" t="s">
        <v>483</v>
      </c>
      <c r="B101" s="64" t="n">
        <v>5812.5</v>
      </c>
      <c r="C101" s="35" t="s">
        <v>333</v>
      </c>
      <c r="D101" s="63" t="s">
        <v>484</v>
      </c>
      <c r="E101" s="63"/>
      <c r="F101" s="63"/>
      <c r="G101" s="63"/>
    </row>
    <row r="102" customFormat="false" ht="15" hidden="false" customHeight="true" outlineLevel="0" collapsed="false">
      <c r="A102" s="35" t="s">
        <v>485</v>
      </c>
      <c r="B102" s="64" t="n">
        <v>36</v>
      </c>
      <c r="C102" s="35" t="s">
        <v>443</v>
      </c>
      <c r="D102" s="63" t="s">
        <v>486</v>
      </c>
      <c r="E102" s="63"/>
      <c r="F102" s="63"/>
      <c r="G102" s="63"/>
    </row>
    <row r="104" customFormat="false" ht="15" hidden="false" customHeight="true" outlineLevel="0" collapsed="false">
      <c r="A104" s="44" t="s">
        <v>487</v>
      </c>
      <c r="B104" s="44"/>
      <c r="C104" s="44"/>
      <c r="D104" s="44"/>
      <c r="E104" s="44"/>
      <c r="F104" s="44"/>
      <c r="G104" s="44"/>
    </row>
  </sheetData>
  <mergeCells count="82">
    <mergeCell ref="A2:G4"/>
    <mergeCell ref="D7:G7"/>
    <mergeCell ref="D8:G8"/>
    <mergeCell ref="D9:G9"/>
    <mergeCell ref="D10:G10"/>
    <mergeCell ref="D13:G13"/>
    <mergeCell ref="D14:G14"/>
    <mergeCell ref="D15:G15"/>
    <mergeCell ref="D16:G16"/>
    <mergeCell ref="D17:G17"/>
    <mergeCell ref="D18:G18"/>
    <mergeCell ref="D19:G19"/>
    <mergeCell ref="D20:G20"/>
    <mergeCell ref="D21:G21"/>
    <mergeCell ref="A24:G24"/>
    <mergeCell ref="F25:G25"/>
    <mergeCell ref="F26:G26"/>
    <mergeCell ref="F27:G27"/>
    <mergeCell ref="F28:G28"/>
    <mergeCell ref="F29:G29"/>
    <mergeCell ref="A30:G30"/>
    <mergeCell ref="D33:G33"/>
    <mergeCell ref="D34:G34"/>
    <mergeCell ref="D35:G35"/>
    <mergeCell ref="D36:G36"/>
    <mergeCell ref="D37:G37"/>
    <mergeCell ref="D38:G38"/>
    <mergeCell ref="D39:G39"/>
    <mergeCell ref="D40:G40"/>
    <mergeCell ref="D41:G41"/>
    <mergeCell ref="D42:G42"/>
    <mergeCell ref="D43:G43"/>
    <mergeCell ref="D44:G44"/>
    <mergeCell ref="D45:G45"/>
    <mergeCell ref="D46:G46"/>
    <mergeCell ref="D47:G47"/>
    <mergeCell ref="D48:G48"/>
    <mergeCell ref="D49:G49"/>
    <mergeCell ref="D50:G50"/>
    <mergeCell ref="D51:G51"/>
    <mergeCell ref="D52:G52"/>
    <mergeCell ref="D53:G53"/>
    <mergeCell ref="A56:G56"/>
    <mergeCell ref="D57:G57"/>
    <mergeCell ref="D58:G58"/>
    <mergeCell ref="D59:G59"/>
    <mergeCell ref="D60:G60"/>
    <mergeCell ref="D61:G61"/>
    <mergeCell ref="D62:G62"/>
    <mergeCell ref="D63:G63"/>
    <mergeCell ref="D64:G64"/>
    <mergeCell ref="D67:G67"/>
    <mergeCell ref="D68:G68"/>
    <mergeCell ref="D69:G69"/>
    <mergeCell ref="D70:G70"/>
    <mergeCell ref="D71:G71"/>
    <mergeCell ref="D72:G72"/>
    <mergeCell ref="D73:G73"/>
    <mergeCell ref="D76:G76"/>
    <mergeCell ref="D77:G77"/>
    <mergeCell ref="D78:G78"/>
    <mergeCell ref="D79:G79"/>
    <mergeCell ref="D80:G80"/>
    <mergeCell ref="D81:G81"/>
    <mergeCell ref="D82:G82"/>
    <mergeCell ref="D85:G85"/>
    <mergeCell ref="D86:G86"/>
    <mergeCell ref="D87:G87"/>
    <mergeCell ref="D88:G88"/>
    <mergeCell ref="D89:G89"/>
    <mergeCell ref="D90:G90"/>
    <mergeCell ref="D91:G91"/>
    <mergeCell ref="D92:G92"/>
    <mergeCell ref="D93:G93"/>
    <mergeCell ref="D96:G96"/>
    <mergeCell ref="D97:G97"/>
    <mergeCell ref="D98:G98"/>
    <mergeCell ref="D99:G99"/>
    <mergeCell ref="D100:G100"/>
    <mergeCell ref="D101:G101"/>
    <mergeCell ref="D102:G102"/>
    <mergeCell ref="A104:G10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12"/>
    <col collapsed="false" customWidth="true" hidden="false" outlineLevel="0" max="3" min="3" style="1" width="13"/>
    <col collapsed="false" customWidth="true" hidden="false" outlineLevel="0" max="4" min="4" style="1" width="15"/>
    <col collapsed="false" customWidth="true" hidden="false" outlineLevel="0" max="6" min="5" style="1" width="12"/>
    <col collapsed="false" customWidth="true" hidden="false" outlineLevel="0" max="7" min="7" style="1" width="11"/>
    <col collapsed="false" customWidth="true" hidden="false" outlineLevel="0" max="8" min="8" style="1" width="14"/>
    <col collapsed="false" customWidth="true" hidden="false" outlineLevel="0" max="11" min="9" style="1" width="12"/>
    <col collapsed="false" customWidth="true" hidden="false" outlineLevel="0" max="12" min="12" style="1" width="13"/>
    <col collapsed="false" customWidth="true" hidden="false" outlineLevel="0" max="13" min="13" style="1" width="11"/>
    <col collapsed="false" customWidth="true" hidden="false" outlineLevel="0" max="14" min="14" style="1" width="12"/>
    <col collapsed="false" customWidth="true" hidden="false" outlineLevel="0" max="16" min="15" style="1" width="11"/>
    <col collapsed="false" customWidth="true" hidden="false" outlineLevel="0" max="19" min="17" style="1" width="13"/>
  </cols>
  <sheetData>
    <row r="1" customFormat="false" ht="17.25" hidden="false" customHeight="true" outlineLevel="0" collapsed="false">
      <c r="A1" s="43" t="s">
        <v>488</v>
      </c>
    </row>
    <row r="2" customFormat="false" ht="15" hidden="false" customHeight="true" outlineLevel="0" collapsed="false">
      <c r="A2" s="44" t="s">
        <v>489</v>
      </c>
      <c r="B2" s="44"/>
      <c r="C2" s="44"/>
      <c r="D2" s="44"/>
      <c r="E2" s="44"/>
      <c r="F2" s="44"/>
      <c r="G2" s="44"/>
      <c r="H2" s="44"/>
      <c r="I2" s="44"/>
      <c r="J2" s="44"/>
      <c r="K2" s="44"/>
      <c r="L2" s="44"/>
      <c r="M2" s="44"/>
      <c r="N2" s="44"/>
      <c r="O2" s="44"/>
      <c r="P2" s="44"/>
      <c r="Q2" s="44"/>
      <c r="R2" s="44"/>
      <c r="S2" s="44"/>
    </row>
    <row r="3" customFormat="false" ht="15" hidden="false" customHeight="true" outlineLevel="0" collapsed="false">
      <c r="A3" s="44"/>
      <c r="B3" s="44"/>
      <c r="C3" s="44"/>
      <c r="D3" s="44"/>
      <c r="E3" s="44"/>
      <c r="F3" s="44"/>
      <c r="G3" s="44"/>
      <c r="H3" s="44"/>
      <c r="I3" s="44"/>
      <c r="J3" s="44"/>
      <c r="K3" s="44"/>
      <c r="L3" s="44"/>
      <c r="M3" s="44"/>
      <c r="N3" s="44"/>
      <c r="O3" s="44"/>
      <c r="P3" s="44"/>
      <c r="Q3" s="44"/>
      <c r="R3" s="44"/>
      <c r="S3" s="44"/>
    </row>
    <row r="4" customFormat="false" ht="15" hidden="false" customHeight="true" outlineLevel="0" collapsed="false">
      <c r="A4" s="44"/>
      <c r="B4" s="44"/>
      <c r="C4" s="44"/>
      <c r="D4" s="44"/>
      <c r="E4" s="44"/>
      <c r="F4" s="44"/>
      <c r="G4" s="44"/>
      <c r="H4" s="44"/>
      <c r="I4" s="44"/>
      <c r="J4" s="44"/>
      <c r="K4" s="44"/>
      <c r="L4" s="44"/>
      <c r="M4" s="44"/>
      <c r="N4" s="44"/>
      <c r="O4" s="44"/>
      <c r="P4" s="44"/>
      <c r="Q4" s="44"/>
      <c r="R4" s="44"/>
      <c r="S4" s="44"/>
    </row>
    <row r="6" customFormat="false" ht="15" hidden="false" customHeight="true" outlineLevel="0" collapsed="false">
      <c r="A6" s="49" t="s">
        <v>490</v>
      </c>
      <c r="C6" s="72" t="s">
        <v>491</v>
      </c>
    </row>
    <row r="7" customFormat="false" ht="39" hidden="false" customHeight="true" outlineLevel="0" collapsed="false">
      <c r="A7" s="4" t="s">
        <v>492</v>
      </c>
      <c r="B7" s="4" t="s">
        <v>493</v>
      </c>
      <c r="C7" s="4" t="s">
        <v>494</v>
      </c>
      <c r="D7" s="4" t="s">
        <v>495</v>
      </c>
      <c r="E7" s="4" t="s">
        <v>496</v>
      </c>
      <c r="F7" s="4" t="s">
        <v>497</v>
      </c>
      <c r="G7" s="4" t="s">
        <v>498</v>
      </c>
      <c r="H7" s="4" t="s">
        <v>499</v>
      </c>
      <c r="I7" s="4" t="s">
        <v>500</v>
      </c>
      <c r="J7" s="4" t="s">
        <v>501</v>
      </c>
      <c r="K7" s="4" t="s">
        <v>502</v>
      </c>
      <c r="L7" s="4" t="s">
        <v>503</v>
      </c>
      <c r="M7" s="4" t="s">
        <v>504</v>
      </c>
      <c r="N7" s="4" t="s">
        <v>505</v>
      </c>
      <c r="O7" s="4" t="s">
        <v>506</v>
      </c>
      <c r="P7" s="4" t="s">
        <v>507</v>
      </c>
      <c r="Q7" s="4" t="s">
        <v>508</v>
      </c>
      <c r="R7" s="4" t="s">
        <v>509</v>
      </c>
      <c r="S7" s="4" t="s">
        <v>510</v>
      </c>
    </row>
    <row r="8" customFormat="false" ht="15" hidden="false" customHeight="true" outlineLevel="0" collapsed="false">
      <c r="A8" s="35" t="n">
        <v>1</v>
      </c>
      <c r="B8" s="73" t="n">
        <f aca="false">EDATE('Plan-Annahmen'!$B$8,A8-1)</f>
        <v>46266</v>
      </c>
      <c r="C8" s="66" t="n">
        <v>0</v>
      </c>
      <c r="D8" s="74" t="n">
        <f aca="false">IF(A8-'Plan-Annahmen'!$B$41&lt;1,0,INDEX($K$8:$K$31,A8-'Plan-Annahmen'!$B$41)*'Plan-Annahmen'!$B$35/12*'Plan-Annahmen'!$B$38*(1+'Plan-Annahmen'!$B$50*'Plan-Annahmen'!$B$51))</f>
        <v>0</v>
      </c>
      <c r="E8" s="69" t="n">
        <f aca="false">C8+D8</f>
        <v>0</v>
      </c>
      <c r="F8" s="69" t="n">
        <f aca="false">MIN(E8,MAX(0,'Plan-Annahmen'!$B$16-0))</f>
        <v>0</v>
      </c>
      <c r="G8" s="69" t="n">
        <f aca="false">E8-F8</f>
        <v>0</v>
      </c>
      <c r="H8" s="69" t="n">
        <f aca="false">0+F8</f>
        <v>0</v>
      </c>
      <c r="I8" s="75" t="n">
        <f aca="false">0*(1-'Plan-Annahmen'!$B$47)+F8</f>
        <v>0</v>
      </c>
      <c r="J8" s="75" t="n">
        <f aca="false">0*(1-'Plan-Annahmen'!$B$44)+G8</f>
        <v>0</v>
      </c>
      <c r="K8" s="76" t="n">
        <f aca="false">I8+J8</f>
        <v>0</v>
      </c>
      <c r="L8" s="77" t="n">
        <v>4</v>
      </c>
      <c r="M8" s="78" t="n">
        <f aca="false">K8*'Plan-Annahmen'!$B$71</f>
        <v>0</v>
      </c>
      <c r="N8" s="78" t="n">
        <f aca="false">E8*'Plan-Annahmen'!$B$72</f>
        <v>0</v>
      </c>
      <c r="O8" s="78" t="n">
        <f aca="false">'Plan-Annahmen'!$B$70</f>
        <v>25</v>
      </c>
      <c r="P8" s="76" t="n">
        <f aca="false">L8+M8+N8+O8</f>
        <v>29</v>
      </c>
      <c r="Q8" s="35" t="n">
        <f aca="false">IF(P8&gt;'Plan-Annahmen'!$B$69,1,0)</f>
        <v>0</v>
      </c>
      <c r="R8" s="35" t="n">
        <f aca="false">IF(P8&gt;'Plan-Annahmen'!$B$68,1,0)</f>
        <v>0</v>
      </c>
      <c r="S8" s="35" t="n">
        <f aca="false">IF(K8&gt;='Plan-Annahmen'!$B$59,1,0)</f>
        <v>0</v>
      </c>
    </row>
    <row r="9" customFormat="false" ht="15" hidden="false" customHeight="true" outlineLevel="0" collapsed="false">
      <c r="A9" s="35" t="n">
        <v>2</v>
      </c>
      <c r="B9" s="73" t="n">
        <f aca="false">EDATE('Plan-Annahmen'!$B$8,A9-1)</f>
        <v>46296</v>
      </c>
      <c r="C9" s="66" t="n">
        <v>0</v>
      </c>
      <c r="D9" s="74" t="n">
        <f aca="false">IF(A9-'Plan-Annahmen'!$B$41&lt;1,0,INDEX($K$8:$K$31,A9-'Plan-Annahmen'!$B$41)*'Plan-Annahmen'!$B$35/12*'Plan-Annahmen'!$B$38*(1+'Plan-Annahmen'!$B$50*'Plan-Annahmen'!$B$51))</f>
        <v>0</v>
      </c>
      <c r="E9" s="69" t="n">
        <f aca="false">C9+D9</f>
        <v>0</v>
      </c>
      <c r="F9" s="69" t="n">
        <f aca="false">MIN(E9,MAX(0,'Plan-Annahmen'!$B$16-H8))</f>
        <v>0</v>
      </c>
      <c r="G9" s="69" t="n">
        <f aca="false">E9-F9</f>
        <v>0</v>
      </c>
      <c r="H9" s="69" t="n">
        <f aca="false">H8+F9</f>
        <v>0</v>
      </c>
      <c r="I9" s="75" t="n">
        <f aca="false">I8*(1-'Plan-Annahmen'!$B$47)+F9</f>
        <v>0</v>
      </c>
      <c r="J9" s="75" t="n">
        <f aca="false">J8*(1-'Plan-Annahmen'!$B$44)+G9</f>
        <v>0</v>
      </c>
      <c r="K9" s="76" t="n">
        <f aca="false">I9+J9</f>
        <v>0</v>
      </c>
      <c r="L9" s="77" t="n">
        <v>18</v>
      </c>
      <c r="M9" s="78" t="n">
        <f aca="false">K9*'Plan-Annahmen'!$B$71</f>
        <v>0</v>
      </c>
      <c r="N9" s="78" t="n">
        <f aca="false">E9*'Plan-Annahmen'!$B$72</f>
        <v>0</v>
      </c>
      <c r="O9" s="78" t="n">
        <f aca="false">'Plan-Annahmen'!$B$70</f>
        <v>25</v>
      </c>
      <c r="P9" s="76" t="n">
        <f aca="false">L9+M9+N9+O9</f>
        <v>43</v>
      </c>
      <c r="Q9" s="35" t="n">
        <f aca="false">IF(P9&gt;'Plan-Annahmen'!$B$69,1,0)</f>
        <v>0</v>
      </c>
      <c r="R9" s="35" t="n">
        <f aca="false">IF(P9&gt;'Plan-Annahmen'!$B$68,1,0)</f>
        <v>0</v>
      </c>
      <c r="S9" s="35" t="n">
        <f aca="false">IF(K9&gt;='Plan-Annahmen'!$B$59,1,0)</f>
        <v>0</v>
      </c>
    </row>
    <row r="10" customFormat="false" ht="15" hidden="false" customHeight="true" outlineLevel="0" collapsed="false">
      <c r="A10" s="35" t="n">
        <v>3</v>
      </c>
      <c r="B10" s="73" t="n">
        <f aca="false">EDATE('Plan-Annahmen'!$B$8,A10-1)</f>
        <v>46327</v>
      </c>
      <c r="C10" s="66" t="n">
        <v>0</v>
      </c>
      <c r="D10" s="74" t="n">
        <f aca="false">IF(A10-'Plan-Annahmen'!$B$41&lt;1,0,INDEX($K$8:$K$31,A10-'Plan-Annahmen'!$B$41)*'Plan-Annahmen'!$B$35/12*'Plan-Annahmen'!$B$38*(1+'Plan-Annahmen'!$B$50*'Plan-Annahmen'!$B$51))</f>
        <v>0</v>
      </c>
      <c r="E10" s="69" t="n">
        <f aca="false">C10+D10</f>
        <v>0</v>
      </c>
      <c r="F10" s="69" t="n">
        <f aca="false">MIN(E10,MAX(0,'Plan-Annahmen'!$B$16-H9))</f>
        <v>0</v>
      </c>
      <c r="G10" s="69" t="n">
        <f aca="false">E10-F10</f>
        <v>0</v>
      </c>
      <c r="H10" s="69" t="n">
        <f aca="false">H9+F10</f>
        <v>0</v>
      </c>
      <c r="I10" s="75" t="n">
        <f aca="false">I9*(1-'Plan-Annahmen'!$B$47)+F10</f>
        <v>0</v>
      </c>
      <c r="J10" s="75" t="n">
        <f aca="false">J9*(1-'Plan-Annahmen'!$B$44)+G10</f>
        <v>0</v>
      </c>
      <c r="K10" s="76" t="n">
        <f aca="false">I10+J10</f>
        <v>0</v>
      </c>
      <c r="L10" s="77" t="n">
        <v>5</v>
      </c>
      <c r="M10" s="78" t="n">
        <f aca="false">K10*'Plan-Annahmen'!$B$71</f>
        <v>0</v>
      </c>
      <c r="N10" s="78" t="n">
        <f aca="false">E10*'Plan-Annahmen'!$B$72</f>
        <v>0</v>
      </c>
      <c r="O10" s="78" t="n">
        <f aca="false">'Plan-Annahmen'!$B$70</f>
        <v>25</v>
      </c>
      <c r="P10" s="76" t="n">
        <f aca="false">L10+M10+N10+O10</f>
        <v>30</v>
      </c>
      <c r="Q10" s="35" t="n">
        <f aca="false">IF(P10&gt;'Plan-Annahmen'!$B$69,1,0)</f>
        <v>0</v>
      </c>
      <c r="R10" s="35" t="n">
        <f aca="false">IF(P10&gt;'Plan-Annahmen'!$B$68,1,0)</f>
        <v>0</v>
      </c>
      <c r="S10" s="35" t="n">
        <f aca="false">IF(K10&gt;='Plan-Annahmen'!$B$59,1,0)</f>
        <v>0</v>
      </c>
    </row>
    <row r="11" customFormat="false" ht="15" hidden="false" customHeight="true" outlineLevel="0" collapsed="false">
      <c r="A11" s="35" t="n">
        <v>4</v>
      </c>
      <c r="B11" s="73" t="n">
        <f aca="false">EDATE('Plan-Annahmen'!$B$8,A11-1)</f>
        <v>46357</v>
      </c>
      <c r="C11" s="66" t="n">
        <v>0</v>
      </c>
      <c r="D11" s="74" t="n">
        <f aca="false">IF(A11-'Plan-Annahmen'!$B$41&lt;1,0,INDEX($K$8:$K$31,A11-'Plan-Annahmen'!$B$41)*'Plan-Annahmen'!$B$35/12*'Plan-Annahmen'!$B$38*(1+'Plan-Annahmen'!$B$50*'Plan-Annahmen'!$B$51))</f>
        <v>0</v>
      </c>
      <c r="E11" s="69" t="n">
        <f aca="false">C11+D11</f>
        <v>0</v>
      </c>
      <c r="F11" s="69" t="n">
        <f aca="false">MIN(E11,MAX(0,'Plan-Annahmen'!$B$16-H10))</f>
        <v>0</v>
      </c>
      <c r="G11" s="69" t="n">
        <f aca="false">E11-F11</f>
        <v>0</v>
      </c>
      <c r="H11" s="69" t="n">
        <f aca="false">H10+F11</f>
        <v>0</v>
      </c>
      <c r="I11" s="75" t="n">
        <f aca="false">I10*(1-'Plan-Annahmen'!$B$47)+F11</f>
        <v>0</v>
      </c>
      <c r="J11" s="75" t="n">
        <f aca="false">J10*(1-'Plan-Annahmen'!$B$44)+G11</f>
        <v>0</v>
      </c>
      <c r="K11" s="76" t="n">
        <f aca="false">I11+J11</f>
        <v>0</v>
      </c>
      <c r="L11" s="77" t="n">
        <v>15</v>
      </c>
      <c r="M11" s="78" t="n">
        <f aca="false">K11*'Plan-Annahmen'!$B$71</f>
        <v>0</v>
      </c>
      <c r="N11" s="78" t="n">
        <f aca="false">E11*'Plan-Annahmen'!$B$72</f>
        <v>0</v>
      </c>
      <c r="O11" s="78" t="n">
        <f aca="false">'Plan-Annahmen'!$B$70</f>
        <v>25</v>
      </c>
      <c r="P11" s="76" t="n">
        <f aca="false">L11+M11+N11+O11</f>
        <v>40</v>
      </c>
      <c r="Q11" s="35" t="n">
        <f aca="false">IF(P11&gt;'Plan-Annahmen'!$B$69,1,0)</f>
        <v>0</v>
      </c>
      <c r="R11" s="35" t="n">
        <f aca="false">IF(P11&gt;'Plan-Annahmen'!$B$68,1,0)</f>
        <v>0</v>
      </c>
      <c r="S11" s="35" t="n">
        <f aca="false">IF(K11&gt;='Plan-Annahmen'!$B$59,1,0)</f>
        <v>0</v>
      </c>
    </row>
    <row r="12" customFormat="false" ht="15" hidden="false" customHeight="true" outlineLevel="0" collapsed="false">
      <c r="A12" s="35" t="n">
        <v>5</v>
      </c>
      <c r="B12" s="73" t="n">
        <f aca="false">EDATE('Plan-Annahmen'!$B$8,A12-1)</f>
        <v>46388</v>
      </c>
      <c r="C12" s="66" t="n">
        <v>1</v>
      </c>
      <c r="D12" s="74" t="n">
        <f aca="false">IF(A12-'Plan-Annahmen'!$B$41&lt;1,0,INDEX($K$8:$K$31,A12-'Plan-Annahmen'!$B$41)*'Plan-Annahmen'!$B$35/12*'Plan-Annahmen'!$B$38*(1+'Plan-Annahmen'!$B$50*'Plan-Annahmen'!$B$51))</f>
        <v>0</v>
      </c>
      <c r="E12" s="69" t="n">
        <f aca="false">C12+D12</f>
        <v>1</v>
      </c>
      <c r="F12" s="69" t="n">
        <f aca="false">MIN(E12,MAX(0,'Plan-Annahmen'!$B$16-H11))</f>
        <v>1</v>
      </c>
      <c r="G12" s="69" t="n">
        <f aca="false">E12-F12</f>
        <v>0</v>
      </c>
      <c r="H12" s="69" t="n">
        <f aca="false">H11+F12</f>
        <v>1</v>
      </c>
      <c r="I12" s="75" t="n">
        <f aca="false">I11*(1-'Plan-Annahmen'!$B$47)+F12</f>
        <v>1</v>
      </c>
      <c r="J12" s="75" t="n">
        <f aca="false">J11*(1-'Plan-Annahmen'!$B$44)+G12</f>
        <v>0</v>
      </c>
      <c r="K12" s="76" t="n">
        <f aca="false">I12+J12</f>
        <v>1</v>
      </c>
      <c r="L12" s="77" t="n">
        <v>16</v>
      </c>
      <c r="M12" s="78" t="n">
        <f aca="false">K12*'Plan-Annahmen'!$B$71</f>
        <v>0.3</v>
      </c>
      <c r="N12" s="78" t="n">
        <f aca="false">E12*'Plan-Annahmen'!$B$72</f>
        <v>1</v>
      </c>
      <c r="O12" s="78" t="n">
        <f aca="false">'Plan-Annahmen'!$B$70</f>
        <v>25</v>
      </c>
      <c r="P12" s="76" t="n">
        <f aca="false">L12+M12+N12+O12</f>
        <v>42.3</v>
      </c>
      <c r="Q12" s="35" t="n">
        <f aca="false">IF(P12&gt;'Plan-Annahmen'!$B$69,1,0)</f>
        <v>0</v>
      </c>
      <c r="R12" s="35" t="n">
        <f aca="false">IF(P12&gt;'Plan-Annahmen'!$B$68,1,0)</f>
        <v>0</v>
      </c>
      <c r="S12" s="35" t="n">
        <f aca="false">IF(K12&gt;='Plan-Annahmen'!$B$59,1,0)</f>
        <v>0</v>
      </c>
    </row>
    <row r="13" customFormat="false" ht="15" hidden="false" customHeight="true" outlineLevel="0" collapsed="false">
      <c r="A13" s="35" t="n">
        <v>6</v>
      </c>
      <c r="B13" s="73" t="n">
        <f aca="false">EDATE('Plan-Annahmen'!$B$8,A13-1)</f>
        <v>46419</v>
      </c>
      <c r="C13" s="66" t="n">
        <v>1</v>
      </c>
      <c r="D13" s="74" t="n">
        <f aca="false">IF(A13-'Plan-Annahmen'!$B$41&lt;1,0,INDEX($K$8:$K$31,A13-'Plan-Annahmen'!$B$41)*'Plan-Annahmen'!$B$35/12*'Plan-Annahmen'!$B$38*(1+'Plan-Annahmen'!$B$50*'Plan-Annahmen'!$B$51))</f>
        <v>0</v>
      </c>
      <c r="E13" s="69" t="n">
        <f aca="false">C13+D13</f>
        <v>1</v>
      </c>
      <c r="F13" s="69" t="n">
        <f aca="false">MIN(E13,MAX(0,'Plan-Annahmen'!$B$16-H12))</f>
        <v>1</v>
      </c>
      <c r="G13" s="69" t="n">
        <f aca="false">E13-F13</f>
        <v>0</v>
      </c>
      <c r="H13" s="69" t="n">
        <f aca="false">H12+F13</f>
        <v>2</v>
      </c>
      <c r="I13" s="75" t="n">
        <f aca="false">I12*(1-'Plan-Annahmen'!$B$47)+F13</f>
        <v>1.98</v>
      </c>
      <c r="J13" s="75" t="n">
        <f aca="false">J12*(1-'Plan-Annahmen'!$B$44)+G13</f>
        <v>0</v>
      </c>
      <c r="K13" s="76" t="n">
        <f aca="false">I13+J13</f>
        <v>1.98</v>
      </c>
      <c r="L13" s="77" t="n">
        <v>16</v>
      </c>
      <c r="M13" s="78" t="n">
        <f aca="false">K13*'Plan-Annahmen'!$B$71</f>
        <v>0.594</v>
      </c>
      <c r="N13" s="78" t="n">
        <f aca="false">E13*'Plan-Annahmen'!$B$72</f>
        <v>1</v>
      </c>
      <c r="O13" s="78" t="n">
        <f aca="false">'Plan-Annahmen'!$B$70</f>
        <v>25</v>
      </c>
      <c r="P13" s="76" t="n">
        <f aca="false">L13+M13+N13+O13</f>
        <v>42.594</v>
      </c>
      <c r="Q13" s="35" t="n">
        <f aca="false">IF(P13&gt;'Plan-Annahmen'!$B$69,1,0)</f>
        <v>0</v>
      </c>
      <c r="R13" s="35" t="n">
        <f aca="false">IF(P13&gt;'Plan-Annahmen'!$B$68,1,0)</f>
        <v>0</v>
      </c>
      <c r="S13" s="35" t="n">
        <f aca="false">IF(K13&gt;='Plan-Annahmen'!$B$59,1,0)</f>
        <v>0</v>
      </c>
    </row>
    <row r="14" customFormat="false" ht="15" hidden="false" customHeight="true" outlineLevel="0" collapsed="false">
      <c r="A14" s="35" t="n">
        <v>7</v>
      </c>
      <c r="B14" s="73" t="n">
        <f aca="false">EDATE('Plan-Annahmen'!$B$8,A14-1)</f>
        <v>46447</v>
      </c>
      <c r="C14" s="66" t="n">
        <v>1.25</v>
      </c>
      <c r="D14" s="74" t="n">
        <f aca="false">IF(A14-'Plan-Annahmen'!$B$41&lt;1,0,INDEX($K$8:$K$31,A14-'Plan-Annahmen'!$B$41)*'Plan-Annahmen'!$B$35/12*'Plan-Annahmen'!$B$38*(1+'Plan-Annahmen'!$B$50*'Plan-Annahmen'!$B$51))</f>
        <v>0</v>
      </c>
      <c r="E14" s="69" t="n">
        <f aca="false">C14+D14</f>
        <v>1.25</v>
      </c>
      <c r="F14" s="69" t="n">
        <f aca="false">MIN(E14,MAX(0,'Plan-Annahmen'!$B$16-H13))</f>
        <v>1.25</v>
      </c>
      <c r="G14" s="69" t="n">
        <f aca="false">E14-F14</f>
        <v>0</v>
      </c>
      <c r="H14" s="69" t="n">
        <f aca="false">H13+F14</f>
        <v>3.25</v>
      </c>
      <c r="I14" s="75" t="n">
        <f aca="false">I13*(1-'Plan-Annahmen'!$B$47)+F14</f>
        <v>3.1904</v>
      </c>
      <c r="J14" s="75" t="n">
        <f aca="false">J13*(1-'Plan-Annahmen'!$B$44)+G14</f>
        <v>0</v>
      </c>
      <c r="K14" s="76" t="n">
        <f aca="false">I14+J14</f>
        <v>3.1904</v>
      </c>
      <c r="L14" s="77" t="n">
        <v>16.5</v>
      </c>
      <c r="M14" s="78" t="n">
        <f aca="false">K14*'Plan-Annahmen'!$B$71</f>
        <v>0.95712</v>
      </c>
      <c r="N14" s="78" t="n">
        <f aca="false">E14*'Plan-Annahmen'!$B$72</f>
        <v>1.25</v>
      </c>
      <c r="O14" s="78" t="n">
        <f aca="false">'Plan-Annahmen'!$B$70</f>
        <v>25</v>
      </c>
      <c r="P14" s="76" t="n">
        <f aca="false">L14+M14+N14+O14</f>
        <v>43.70712</v>
      </c>
      <c r="Q14" s="35" t="n">
        <f aca="false">IF(P14&gt;'Plan-Annahmen'!$B$69,1,0)</f>
        <v>0</v>
      </c>
      <c r="R14" s="35" t="n">
        <f aca="false">IF(P14&gt;'Plan-Annahmen'!$B$68,1,0)</f>
        <v>0</v>
      </c>
      <c r="S14" s="35" t="n">
        <f aca="false">IF(K14&gt;='Plan-Annahmen'!$B$59,1,0)</f>
        <v>0</v>
      </c>
    </row>
    <row r="15" customFormat="false" ht="15" hidden="false" customHeight="true" outlineLevel="0" collapsed="false">
      <c r="A15" s="35" t="n">
        <v>8</v>
      </c>
      <c r="B15" s="73" t="n">
        <f aca="false">EDATE('Plan-Annahmen'!$B$8,A15-1)</f>
        <v>46478</v>
      </c>
      <c r="C15" s="66" t="n">
        <v>0.25</v>
      </c>
      <c r="D15" s="74" t="n">
        <f aca="false">IF(A15-'Plan-Annahmen'!$B$41&lt;1,0,INDEX($K$8:$K$31,A15-'Plan-Annahmen'!$B$41)*'Plan-Annahmen'!$B$35/12*'Plan-Annahmen'!$B$38*(1+'Plan-Annahmen'!$B$50*'Plan-Annahmen'!$B$51))</f>
        <v>0</v>
      </c>
      <c r="E15" s="69" t="n">
        <f aca="false">C15+D15</f>
        <v>0.25</v>
      </c>
      <c r="F15" s="69" t="n">
        <f aca="false">MIN(E15,MAX(0,'Plan-Annahmen'!$B$16-H14))</f>
        <v>0.25</v>
      </c>
      <c r="G15" s="69" t="n">
        <f aca="false">E15-F15</f>
        <v>0</v>
      </c>
      <c r="H15" s="69" t="n">
        <f aca="false">H14+F15</f>
        <v>3.5</v>
      </c>
      <c r="I15" s="75" t="n">
        <f aca="false">I14*(1-'Plan-Annahmen'!$B$47)+F15</f>
        <v>3.376592</v>
      </c>
      <c r="J15" s="75" t="n">
        <f aca="false">J14*(1-'Plan-Annahmen'!$B$44)+G15</f>
        <v>0</v>
      </c>
      <c r="K15" s="76" t="n">
        <f aca="false">I15+J15</f>
        <v>3.376592</v>
      </c>
      <c r="L15" s="77" t="n">
        <v>20.5</v>
      </c>
      <c r="M15" s="78" t="n">
        <f aca="false">K15*'Plan-Annahmen'!$B$71</f>
        <v>1.0129776</v>
      </c>
      <c r="N15" s="78" t="n">
        <f aca="false">E15*'Plan-Annahmen'!$B$72</f>
        <v>0.25</v>
      </c>
      <c r="O15" s="78" t="n">
        <f aca="false">'Plan-Annahmen'!$B$70</f>
        <v>25</v>
      </c>
      <c r="P15" s="76" t="n">
        <f aca="false">L15+M15+N15+O15</f>
        <v>46.7629776</v>
      </c>
      <c r="Q15" s="35" t="n">
        <f aca="false">IF(P15&gt;'Plan-Annahmen'!$B$69,1,0)</f>
        <v>0</v>
      </c>
      <c r="R15" s="35" t="n">
        <f aca="false">IF(P15&gt;'Plan-Annahmen'!$B$68,1,0)</f>
        <v>0</v>
      </c>
      <c r="S15" s="35" t="n">
        <f aca="false">IF(K15&gt;='Plan-Annahmen'!$B$59,1,0)</f>
        <v>0</v>
      </c>
    </row>
    <row r="16" customFormat="false" ht="15" hidden="false" customHeight="true" outlineLevel="0" collapsed="false">
      <c r="A16" s="35" t="n">
        <v>9</v>
      </c>
      <c r="B16" s="73" t="n">
        <f aca="false">EDATE('Plan-Annahmen'!$B$8,A16-1)</f>
        <v>46508</v>
      </c>
      <c r="C16" s="66" t="n">
        <v>0.25</v>
      </c>
      <c r="D16" s="74" t="n">
        <f aca="false">IF(A16-'Plan-Annahmen'!$B$41&lt;1,0,INDEX($K$8:$K$31,A16-'Plan-Annahmen'!$B$41)*'Plan-Annahmen'!$B$35/12*'Plan-Annahmen'!$B$38*(1+'Plan-Annahmen'!$B$50*'Plan-Annahmen'!$B$51))</f>
        <v>0.00333333333333333</v>
      </c>
      <c r="E16" s="69" t="n">
        <f aca="false">C16+D16</f>
        <v>0.253333333333333</v>
      </c>
      <c r="F16" s="69" t="n">
        <f aca="false">MIN(E16,MAX(0,'Plan-Annahmen'!$B$16-H15))</f>
        <v>0.253333333333333</v>
      </c>
      <c r="G16" s="69" t="n">
        <f aca="false">E16-F16</f>
        <v>0</v>
      </c>
      <c r="H16" s="69" t="n">
        <f aca="false">H15+F16</f>
        <v>3.75333333333333</v>
      </c>
      <c r="I16" s="75" t="n">
        <f aca="false">I15*(1-'Plan-Annahmen'!$B$47)+F16</f>
        <v>3.56239349333333</v>
      </c>
      <c r="J16" s="75" t="n">
        <f aca="false">J15*(1-'Plan-Annahmen'!$B$44)+G16</f>
        <v>0</v>
      </c>
      <c r="K16" s="76" t="n">
        <f aca="false">I16+J16</f>
        <v>3.56239349333333</v>
      </c>
      <c r="L16" s="77" t="n">
        <v>20.5</v>
      </c>
      <c r="M16" s="78" t="n">
        <f aca="false">K16*'Plan-Annahmen'!$B$71</f>
        <v>1.068718048</v>
      </c>
      <c r="N16" s="78" t="n">
        <f aca="false">E16*'Plan-Annahmen'!$B$72</f>
        <v>0.253333333333333</v>
      </c>
      <c r="O16" s="78" t="n">
        <f aca="false">'Plan-Annahmen'!$B$70</f>
        <v>25</v>
      </c>
      <c r="P16" s="76" t="n">
        <f aca="false">L16+M16+N16+O16</f>
        <v>46.8220513813333</v>
      </c>
      <c r="Q16" s="35" t="n">
        <f aca="false">IF(P16&gt;'Plan-Annahmen'!$B$69,1,0)</f>
        <v>0</v>
      </c>
      <c r="R16" s="35" t="n">
        <f aca="false">IF(P16&gt;'Plan-Annahmen'!$B$68,1,0)</f>
        <v>0</v>
      </c>
      <c r="S16" s="35" t="n">
        <f aca="false">IF(K16&gt;='Plan-Annahmen'!$B$59,1,0)</f>
        <v>0</v>
      </c>
    </row>
    <row r="17" customFormat="false" ht="15" hidden="false" customHeight="true" outlineLevel="0" collapsed="false">
      <c r="A17" s="35" t="n">
        <v>10</v>
      </c>
      <c r="B17" s="73" t="n">
        <f aca="false">EDATE('Plan-Annahmen'!$B$8,A17-1)</f>
        <v>46539</v>
      </c>
      <c r="C17" s="66" t="n">
        <v>0.75</v>
      </c>
      <c r="D17" s="74" t="n">
        <f aca="false">IF(A17-'Plan-Annahmen'!$B$41&lt;1,0,INDEX($K$8:$K$31,A17-'Plan-Annahmen'!$B$41)*'Plan-Annahmen'!$B$35/12*'Plan-Annahmen'!$B$38*(1+'Plan-Annahmen'!$B$50*'Plan-Annahmen'!$B$51))</f>
        <v>0.0066</v>
      </c>
      <c r="E17" s="69" t="n">
        <f aca="false">C17+D17</f>
        <v>0.7566</v>
      </c>
      <c r="F17" s="69" t="n">
        <f aca="false">MIN(E17,MAX(0,'Plan-Annahmen'!$B$16-H16))</f>
        <v>0.7566</v>
      </c>
      <c r="G17" s="69" t="n">
        <f aca="false">E17-F17</f>
        <v>0</v>
      </c>
      <c r="H17" s="69" t="n">
        <f aca="false">H16+F17</f>
        <v>4.50993333333333</v>
      </c>
      <c r="I17" s="75" t="n">
        <f aca="false">I16*(1-'Plan-Annahmen'!$B$47)+F17</f>
        <v>4.24774562346667</v>
      </c>
      <c r="J17" s="75" t="n">
        <f aca="false">J16*(1-'Plan-Annahmen'!$B$44)+G17</f>
        <v>0</v>
      </c>
      <c r="K17" s="76" t="n">
        <f aca="false">I17+J17</f>
        <v>4.24774562346667</v>
      </c>
      <c r="L17" s="77" t="n">
        <v>19.5</v>
      </c>
      <c r="M17" s="78" t="n">
        <f aca="false">K17*'Plan-Annahmen'!$B$71</f>
        <v>1.27432368704</v>
      </c>
      <c r="N17" s="78" t="n">
        <f aca="false">E17*'Plan-Annahmen'!$B$72</f>
        <v>0.7566</v>
      </c>
      <c r="O17" s="78" t="n">
        <f aca="false">'Plan-Annahmen'!$B$70</f>
        <v>25</v>
      </c>
      <c r="P17" s="76" t="n">
        <f aca="false">L17+M17+N17+O17</f>
        <v>46.53092368704</v>
      </c>
      <c r="Q17" s="35" t="n">
        <f aca="false">IF(P17&gt;'Plan-Annahmen'!$B$69,1,0)</f>
        <v>0</v>
      </c>
      <c r="R17" s="35" t="n">
        <f aca="false">IF(P17&gt;'Plan-Annahmen'!$B$68,1,0)</f>
        <v>0</v>
      </c>
      <c r="S17" s="35" t="n">
        <f aca="false">IF(K17&gt;='Plan-Annahmen'!$B$59,1,0)</f>
        <v>0</v>
      </c>
    </row>
    <row r="18" customFormat="false" ht="15" hidden="false" customHeight="true" outlineLevel="0" collapsed="false">
      <c r="A18" s="35" t="n">
        <v>11</v>
      </c>
      <c r="B18" s="73" t="n">
        <f aca="false">EDATE('Plan-Annahmen'!$B$8,A18-1)</f>
        <v>46569</v>
      </c>
      <c r="C18" s="66" t="n">
        <v>0.25</v>
      </c>
      <c r="D18" s="74" t="n">
        <f aca="false">IF(A18-'Plan-Annahmen'!$B$41&lt;1,0,INDEX($K$8:$K$31,A18-'Plan-Annahmen'!$B$41)*'Plan-Annahmen'!$B$35/12*'Plan-Annahmen'!$B$38*(1+'Plan-Annahmen'!$B$50*'Plan-Annahmen'!$B$51))</f>
        <v>0.0106346666666667</v>
      </c>
      <c r="E18" s="69" t="n">
        <f aca="false">C18+D18</f>
        <v>0.260634666666667</v>
      </c>
      <c r="F18" s="69" t="n">
        <f aca="false">MIN(E18,MAX(0,'Plan-Annahmen'!$B$16-H17))</f>
        <v>0.260634666666667</v>
      </c>
      <c r="G18" s="69" t="n">
        <f aca="false">E18-F18</f>
        <v>0</v>
      </c>
      <c r="H18" s="69" t="n">
        <f aca="false">H17+F18</f>
        <v>4.770568</v>
      </c>
      <c r="I18" s="75" t="n">
        <f aca="false">I17*(1-'Plan-Annahmen'!$B$47)+F18</f>
        <v>4.423425377664</v>
      </c>
      <c r="J18" s="75" t="n">
        <f aca="false">J17*(1-'Plan-Annahmen'!$B$44)+G18</f>
        <v>0</v>
      </c>
      <c r="K18" s="76" t="n">
        <f aca="false">I18+J18</f>
        <v>4.423425377664</v>
      </c>
      <c r="L18" s="77" t="n">
        <v>19.5</v>
      </c>
      <c r="M18" s="78" t="n">
        <f aca="false">K18*'Plan-Annahmen'!$B$71</f>
        <v>1.3270276132992</v>
      </c>
      <c r="N18" s="78" t="n">
        <f aca="false">E18*'Plan-Annahmen'!$B$72</f>
        <v>0.260634666666667</v>
      </c>
      <c r="O18" s="78" t="n">
        <f aca="false">'Plan-Annahmen'!$B$70</f>
        <v>25</v>
      </c>
      <c r="P18" s="76" t="n">
        <f aca="false">L18+M18+N18+O18</f>
        <v>46.0876622799659</v>
      </c>
      <c r="Q18" s="35" t="n">
        <f aca="false">IF(P18&gt;'Plan-Annahmen'!$B$69,1,0)</f>
        <v>0</v>
      </c>
      <c r="R18" s="35" t="n">
        <f aca="false">IF(P18&gt;'Plan-Annahmen'!$B$68,1,0)</f>
        <v>0</v>
      </c>
      <c r="S18" s="35" t="n">
        <f aca="false">IF(K18&gt;='Plan-Annahmen'!$B$59,1,0)</f>
        <v>0</v>
      </c>
    </row>
    <row r="19" customFormat="false" ht="15" hidden="false" customHeight="true" outlineLevel="0" collapsed="false">
      <c r="A19" s="35" t="n">
        <v>12</v>
      </c>
      <c r="B19" s="73" t="n">
        <f aca="false">EDATE('Plan-Annahmen'!$B$8,A19-1)</f>
        <v>46600</v>
      </c>
      <c r="C19" s="66" t="n">
        <v>0.25</v>
      </c>
      <c r="D19" s="74" t="n">
        <f aca="false">IF(A19-'Plan-Annahmen'!$B$41&lt;1,0,INDEX($K$8:$K$31,A19-'Plan-Annahmen'!$B$41)*'Plan-Annahmen'!$B$35/12*'Plan-Annahmen'!$B$38*(1+'Plan-Annahmen'!$B$50*'Plan-Annahmen'!$B$51))</f>
        <v>0.0112553066666667</v>
      </c>
      <c r="E19" s="69" t="n">
        <f aca="false">C19+D19</f>
        <v>0.261255306666667</v>
      </c>
      <c r="F19" s="69" t="n">
        <f aca="false">MIN(E19,MAX(0,'Plan-Annahmen'!$B$16-H18))</f>
        <v>0.261255306666667</v>
      </c>
      <c r="G19" s="69" t="n">
        <f aca="false">E19-F19</f>
        <v>0</v>
      </c>
      <c r="H19" s="69" t="n">
        <f aca="false">H18+F19</f>
        <v>5.03182330666667</v>
      </c>
      <c r="I19" s="75" t="n">
        <f aca="false">I18*(1-'Plan-Annahmen'!$B$47)+F19</f>
        <v>4.59621217677739</v>
      </c>
      <c r="J19" s="75" t="n">
        <f aca="false">J18*(1-'Plan-Annahmen'!$B$44)+G19</f>
        <v>0</v>
      </c>
      <c r="K19" s="76" t="n">
        <f aca="false">I19+J19</f>
        <v>4.59621217677739</v>
      </c>
      <c r="L19" s="77" t="n">
        <v>19.5</v>
      </c>
      <c r="M19" s="78" t="n">
        <f aca="false">K19*'Plan-Annahmen'!$B$71</f>
        <v>1.37886365303322</v>
      </c>
      <c r="N19" s="78" t="n">
        <f aca="false">E19*'Plan-Annahmen'!$B$72</f>
        <v>0.261255306666667</v>
      </c>
      <c r="O19" s="78" t="n">
        <f aca="false">'Plan-Annahmen'!$B$70</f>
        <v>25</v>
      </c>
      <c r="P19" s="76" t="n">
        <f aca="false">L19+M19+N19+O19</f>
        <v>46.1401189596999</v>
      </c>
      <c r="Q19" s="35" t="n">
        <f aca="false">IF(P19&gt;'Plan-Annahmen'!$B$69,1,0)</f>
        <v>0</v>
      </c>
      <c r="R19" s="35" t="n">
        <f aca="false">IF(P19&gt;'Plan-Annahmen'!$B$68,1,0)</f>
        <v>0</v>
      </c>
      <c r="S19" s="35" t="n">
        <f aca="false">IF(K19&gt;='Plan-Annahmen'!$B$59,1,0)</f>
        <v>0</v>
      </c>
    </row>
    <row r="20" customFormat="false" ht="15" hidden="false" customHeight="true" outlineLevel="0" collapsed="false">
      <c r="A20" s="35" t="n">
        <v>13</v>
      </c>
      <c r="B20" s="73" t="n">
        <f aca="false">EDATE('Plan-Annahmen'!$B$8,A20-1)</f>
        <v>46631</v>
      </c>
      <c r="C20" s="66" t="n">
        <v>0.75</v>
      </c>
      <c r="D20" s="74" t="n">
        <f aca="false">IF(A20-'Plan-Annahmen'!$B$41&lt;1,0,INDEX($K$8:$K$31,A20-'Plan-Annahmen'!$B$41)*'Plan-Annahmen'!$B$35/12*'Plan-Annahmen'!$B$38*(1+'Plan-Annahmen'!$B$50*'Plan-Annahmen'!$B$51))</f>
        <v>0.0118746449777778</v>
      </c>
      <c r="E20" s="69" t="n">
        <f aca="false">C20+D20</f>
        <v>0.761874644977778</v>
      </c>
      <c r="F20" s="69" t="n">
        <f aca="false">MIN(E20,MAX(0,'Plan-Annahmen'!$B$16-H19))</f>
        <v>0.761874644977778</v>
      </c>
      <c r="G20" s="69" t="n">
        <f aca="false">E20-F20</f>
        <v>0</v>
      </c>
      <c r="H20" s="69" t="n">
        <f aca="false">H19+F20</f>
        <v>5.79369795164444</v>
      </c>
      <c r="I20" s="75" t="n">
        <f aca="false">I19*(1-'Plan-Annahmen'!$B$47)+F20</f>
        <v>5.26616257821962</v>
      </c>
      <c r="J20" s="75" t="n">
        <f aca="false">J19*(1-'Plan-Annahmen'!$B$44)+G20</f>
        <v>0</v>
      </c>
      <c r="K20" s="76" t="n">
        <f aca="false">I20+J20</f>
        <v>5.26616257821962</v>
      </c>
      <c r="L20" s="77" t="n">
        <v>19.5</v>
      </c>
      <c r="M20" s="78" t="n">
        <f aca="false">K20*'Plan-Annahmen'!$B$71</f>
        <v>1.57984877346588</v>
      </c>
      <c r="N20" s="78" t="n">
        <f aca="false">E20*'Plan-Annahmen'!$B$72</f>
        <v>0.761874644977778</v>
      </c>
      <c r="O20" s="78" t="n">
        <f aca="false">'Plan-Annahmen'!$B$70</f>
        <v>25</v>
      </c>
      <c r="P20" s="76" t="n">
        <f aca="false">L20+M20+N20+O20</f>
        <v>46.8417234184437</v>
      </c>
      <c r="Q20" s="35" t="n">
        <f aca="false">IF(P20&gt;'Plan-Annahmen'!$B$69,1,0)</f>
        <v>0</v>
      </c>
      <c r="R20" s="35" t="n">
        <f aca="false">IF(P20&gt;'Plan-Annahmen'!$B$68,1,0)</f>
        <v>0</v>
      </c>
      <c r="S20" s="35" t="n">
        <f aca="false">IF(K20&gt;='Plan-Annahmen'!$B$59,1,0)</f>
        <v>0</v>
      </c>
    </row>
    <row r="21" customFormat="false" ht="15" hidden="false" customHeight="true" outlineLevel="0" collapsed="false">
      <c r="A21" s="35" t="n">
        <v>14</v>
      </c>
      <c r="B21" s="73" t="n">
        <f aca="false">EDATE('Plan-Annahmen'!$B$8,A21-1)</f>
        <v>46661</v>
      </c>
      <c r="C21" s="66" t="n">
        <v>0.75</v>
      </c>
      <c r="D21" s="74" t="n">
        <f aca="false">IF(A21-'Plan-Annahmen'!$B$41&lt;1,0,INDEX($K$8:$K$31,A21-'Plan-Annahmen'!$B$41)*'Plan-Annahmen'!$B$35/12*'Plan-Annahmen'!$B$38*(1+'Plan-Annahmen'!$B$50*'Plan-Annahmen'!$B$51))</f>
        <v>0.0141591520782222</v>
      </c>
      <c r="E21" s="69" t="n">
        <f aca="false">C21+D21</f>
        <v>0.764159152078222</v>
      </c>
      <c r="F21" s="69" t="n">
        <f aca="false">MIN(E21,MAX(0,'Plan-Annahmen'!$B$16-H20))</f>
        <v>0.764159152078222</v>
      </c>
      <c r="G21" s="69" t="n">
        <f aca="false">E21-F21</f>
        <v>0</v>
      </c>
      <c r="H21" s="69" t="n">
        <f aca="false">H20+F21</f>
        <v>6.55785710372267</v>
      </c>
      <c r="I21" s="75" t="n">
        <f aca="false">I20*(1-'Plan-Annahmen'!$B$47)+F21</f>
        <v>5.92499847873345</v>
      </c>
      <c r="J21" s="75" t="n">
        <f aca="false">J20*(1-'Plan-Annahmen'!$B$44)+G21</f>
        <v>0</v>
      </c>
      <c r="K21" s="76" t="n">
        <f aca="false">I21+J21</f>
        <v>5.92499847873345</v>
      </c>
      <c r="L21" s="77" t="n">
        <v>19.5</v>
      </c>
      <c r="M21" s="78" t="n">
        <f aca="false">K21*'Plan-Annahmen'!$B$71</f>
        <v>1.77749954362003</v>
      </c>
      <c r="N21" s="78" t="n">
        <f aca="false">E21*'Plan-Annahmen'!$B$72</f>
        <v>0.764159152078222</v>
      </c>
      <c r="O21" s="78" t="n">
        <f aca="false">'Plan-Annahmen'!$B$70</f>
        <v>25</v>
      </c>
      <c r="P21" s="76" t="n">
        <f aca="false">L21+M21+N21+O21</f>
        <v>47.0416586956983</v>
      </c>
      <c r="Q21" s="35" t="n">
        <f aca="false">IF(P21&gt;'Plan-Annahmen'!$B$69,1,0)</f>
        <v>0</v>
      </c>
      <c r="R21" s="35" t="n">
        <f aca="false">IF(P21&gt;'Plan-Annahmen'!$B$68,1,0)</f>
        <v>0</v>
      </c>
      <c r="S21" s="35" t="n">
        <f aca="false">IF(K21&gt;='Plan-Annahmen'!$B$59,1,0)</f>
        <v>0</v>
      </c>
    </row>
    <row r="22" customFormat="false" ht="15" hidden="false" customHeight="true" outlineLevel="0" collapsed="false">
      <c r="A22" s="35" t="n">
        <v>15</v>
      </c>
      <c r="B22" s="73" t="n">
        <f aca="false">EDATE('Plan-Annahmen'!$B$8,A22-1)</f>
        <v>46692</v>
      </c>
      <c r="C22" s="66" t="n">
        <v>0.75</v>
      </c>
      <c r="D22" s="74" t="n">
        <f aca="false">IF(A22-'Plan-Annahmen'!$B$41&lt;1,0,INDEX($K$8:$K$31,A22-'Plan-Annahmen'!$B$41)*'Plan-Annahmen'!$B$35/12*'Plan-Annahmen'!$B$38*(1+'Plan-Annahmen'!$B$50*'Plan-Annahmen'!$B$51))</f>
        <v>0.01474475125888</v>
      </c>
      <c r="E22" s="69" t="n">
        <f aca="false">C22+D22</f>
        <v>0.76474475125888</v>
      </c>
      <c r="F22" s="69" t="n">
        <f aca="false">MIN(E22,MAX(0,'Plan-Annahmen'!$B$16-H21))</f>
        <v>0.76474475125888</v>
      </c>
      <c r="G22" s="69" t="n">
        <f aca="false">E22-F22</f>
        <v>0</v>
      </c>
      <c r="H22" s="69" t="n">
        <f aca="false">H21+F22</f>
        <v>7.32260185498155</v>
      </c>
      <c r="I22" s="75" t="n">
        <f aca="false">I21*(1-'Plan-Annahmen'!$B$47)+F22</f>
        <v>6.57124326041766</v>
      </c>
      <c r="J22" s="75" t="n">
        <f aca="false">J21*(1-'Plan-Annahmen'!$B$44)+G22</f>
        <v>0</v>
      </c>
      <c r="K22" s="76" t="n">
        <f aca="false">I22+J22</f>
        <v>6.57124326041766</v>
      </c>
      <c r="L22" s="77" t="n">
        <v>19.5</v>
      </c>
      <c r="M22" s="78" t="n">
        <f aca="false">K22*'Plan-Annahmen'!$B$71</f>
        <v>1.9713729781253</v>
      </c>
      <c r="N22" s="78" t="n">
        <f aca="false">E22*'Plan-Annahmen'!$B$72</f>
        <v>0.76474475125888</v>
      </c>
      <c r="O22" s="78" t="n">
        <f aca="false">'Plan-Annahmen'!$B$70</f>
        <v>25</v>
      </c>
      <c r="P22" s="76" t="n">
        <f aca="false">L22+M22+N22+O22</f>
        <v>47.2361177293842</v>
      </c>
      <c r="Q22" s="35" t="n">
        <f aca="false">IF(P22&gt;'Plan-Annahmen'!$B$69,1,0)</f>
        <v>0</v>
      </c>
      <c r="R22" s="35" t="n">
        <f aca="false">IF(P22&gt;'Plan-Annahmen'!$B$68,1,0)</f>
        <v>0</v>
      </c>
      <c r="S22" s="35" t="n">
        <f aca="false">IF(K22&gt;='Plan-Annahmen'!$B$59,1,0)</f>
        <v>0</v>
      </c>
    </row>
    <row r="23" customFormat="false" ht="15" hidden="false" customHeight="true" outlineLevel="0" collapsed="false">
      <c r="A23" s="35" t="n">
        <v>16</v>
      </c>
      <c r="B23" s="73" t="n">
        <f aca="false">EDATE('Plan-Annahmen'!$B$8,A23-1)</f>
        <v>46722</v>
      </c>
      <c r="C23" s="66" t="n">
        <v>1.25</v>
      </c>
      <c r="D23" s="74" t="n">
        <f aca="false">IF(A23-'Plan-Annahmen'!$B$41&lt;1,0,INDEX($K$8:$K$31,A23-'Plan-Annahmen'!$B$41)*'Plan-Annahmen'!$B$35/12*'Plan-Annahmen'!$B$38*(1+'Plan-Annahmen'!$B$50*'Plan-Annahmen'!$B$51))</f>
        <v>0.0153207072559246</v>
      </c>
      <c r="E23" s="69" t="n">
        <f aca="false">C23+D23</f>
        <v>1.26532070725592</v>
      </c>
      <c r="F23" s="69" t="n">
        <f aca="false">MIN(E23,MAX(0,'Plan-Annahmen'!$B$16-H22))</f>
        <v>1.26532070725592</v>
      </c>
      <c r="G23" s="69" t="n">
        <f aca="false">E23-F23</f>
        <v>0</v>
      </c>
      <c r="H23" s="69" t="n">
        <f aca="false">H22+F23</f>
        <v>8.58792256223747</v>
      </c>
      <c r="I23" s="75" t="n">
        <f aca="false">I22*(1-'Plan-Annahmen'!$B$47)+F23</f>
        <v>7.70513910246523</v>
      </c>
      <c r="J23" s="75" t="n">
        <f aca="false">J22*(1-'Plan-Annahmen'!$B$44)+G23</f>
        <v>0</v>
      </c>
      <c r="K23" s="76" t="n">
        <f aca="false">I23+J23</f>
        <v>7.70513910246523</v>
      </c>
      <c r="L23" s="77" t="n">
        <v>19.5</v>
      </c>
      <c r="M23" s="78" t="n">
        <f aca="false">K23*'Plan-Annahmen'!$B$71</f>
        <v>2.31154173073957</v>
      </c>
      <c r="N23" s="78" t="n">
        <f aca="false">E23*'Plan-Annahmen'!$B$72</f>
        <v>1.26532070725592</v>
      </c>
      <c r="O23" s="78" t="n">
        <f aca="false">'Plan-Annahmen'!$B$70</f>
        <v>25</v>
      </c>
      <c r="P23" s="76" t="n">
        <f aca="false">L23+M23+N23+O23</f>
        <v>48.0768624379955</v>
      </c>
      <c r="Q23" s="35" t="n">
        <f aca="false">IF(P23&gt;'Plan-Annahmen'!$B$69,1,0)</f>
        <v>0</v>
      </c>
      <c r="R23" s="35" t="n">
        <f aca="false">IF(P23&gt;'Plan-Annahmen'!$B$68,1,0)</f>
        <v>0</v>
      </c>
      <c r="S23" s="35" t="n">
        <f aca="false">IF(K23&gt;='Plan-Annahmen'!$B$59,1,0)</f>
        <v>0</v>
      </c>
    </row>
    <row r="24" customFormat="false" ht="15" hidden="false" customHeight="true" outlineLevel="0" collapsed="false">
      <c r="A24" s="35" t="n">
        <v>17</v>
      </c>
      <c r="B24" s="73" t="n">
        <f aca="false">EDATE('Plan-Annahmen'!$B$8,A24-1)</f>
        <v>46753</v>
      </c>
      <c r="C24" s="66" t="n">
        <v>0.75</v>
      </c>
      <c r="D24" s="74" t="n">
        <f aca="false">IF(A24-'Plan-Annahmen'!$B$41&lt;1,0,INDEX($K$8:$K$31,A24-'Plan-Annahmen'!$B$41)*'Plan-Annahmen'!$B$35/12*'Plan-Annahmen'!$B$38*(1+'Plan-Annahmen'!$B$50*'Plan-Annahmen'!$B$51))</f>
        <v>0.0175538752607321</v>
      </c>
      <c r="E24" s="69" t="n">
        <f aca="false">C24+D24</f>
        <v>0.767553875260732</v>
      </c>
      <c r="F24" s="69" t="n">
        <f aca="false">MIN(E24,MAX(0,'Plan-Annahmen'!$B$16-H23))</f>
        <v>0.767553875260732</v>
      </c>
      <c r="G24" s="69" t="n">
        <f aca="false">E24-F24</f>
        <v>0</v>
      </c>
      <c r="H24" s="69" t="n">
        <f aca="false">H23+F24</f>
        <v>9.3554764374982</v>
      </c>
      <c r="I24" s="75" t="n">
        <f aca="false">I23*(1-'Plan-Annahmen'!$B$47)+F24</f>
        <v>8.31859019567666</v>
      </c>
      <c r="J24" s="75" t="n">
        <f aca="false">J23*(1-'Plan-Annahmen'!$B$44)+G24</f>
        <v>0</v>
      </c>
      <c r="K24" s="76" t="n">
        <f aca="false">I24+J24</f>
        <v>8.31859019567666</v>
      </c>
      <c r="L24" s="77" t="n">
        <v>19.5</v>
      </c>
      <c r="M24" s="78" t="n">
        <f aca="false">K24*'Plan-Annahmen'!$B$71</f>
        <v>2.495577058703</v>
      </c>
      <c r="N24" s="78" t="n">
        <f aca="false">E24*'Plan-Annahmen'!$B$72</f>
        <v>0.767553875260732</v>
      </c>
      <c r="O24" s="78" t="n">
        <f aca="false">'Plan-Annahmen'!$B$70</f>
        <v>25</v>
      </c>
      <c r="P24" s="76" t="n">
        <f aca="false">L24+M24+N24+O24</f>
        <v>47.7631309339637</v>
      </c>
      <c r="Q24" s="35" t="n">
        <f aca="false">IF(P24&gt;'Plan-Annahmen'!$B$69,1,0)</f>
        <v>0</v>
      </c>
      <c r="R24" s="35" t="n">
        <f aca="false">IF(P24&gt;'Plan-Annahmen'!$B$68,1,0)</f>
        <v>0</v>
      </c>
      <c r="S24" s="35" t="n">
        <f aca="false">IF(K24&gt;='Plan-Annahmen'!$B$59,1,0)</f>
        <v>0</v>
      </c>
    </row>
    <row r="25" customFormat="false" ht="15" hidden="false" customHeight="true" outlineLevel="0" collapsed="false">
      <c r="A25" s="35" t="n">
        <v>18</v>
      </c>
      <c r="B25" s="73" t="n">
        <f aca="false">EDATE('Plan-Annahmen'!$B$8,A25-1)</f>
        <v>46784</v>
      </c>
      <c r="C25" s="66" t="n">
        <v>0.75</v>
      </c>
      <c r="D25" s="74" t="n">
        <f aca="false">IF(A25-'Plan-Annahmen'!$B$41&lt;1,0,INDEX($K$8:$K$31,A25-'Plan-Annahmen'!$B$41)*'Plan-Annahmen'!$B$35/12*'Plan-Annahmen'!$B$38*(1+'Plan-Annahmen'!$B$50*'Plan-Annahmen'!$B$51))</f>
        <v>0.0197499949291115</v>
      </c>
      <c r="E25" s="69" t="n">
        <f aca="false">C25+D25</f>
        <v>0.769749994929111</v>
      </c>
      <c r="F25" s="69" t="n">
        <f aca="false">MIN(E25,MAX(0,'Plan-Annahmen'!$B$16-H24))</f>
        <v>0.769749994929111</v>
      </c>
      <c r="G25" s="69" t="n">
        <f aca="false">E25-F25</f>
        <v>0</v>
      </c>
      <c r="H25" s="69" t="n">
        <f aca="false">H24+F25</f>
        <v>10.1252264324273</v>
      </c>
      <c r="I25" s="75" t="n">
        <f aca="false">I24*(1-'Plan-Annahmen'!$B$47)+F25</f>
        <v>8.92196838669223</v>
      </c>
      <c r="J25" s="75" t="n">
        <f aca="false">J24*(1-'Plan-Annahmen'!$B$44)+G25</f>
        <v>0</v>
      </c>
      <c r="K25" s="76" t="n">
        <f aca="false">I25+J25</f>
        <v>8.92196838669223</v>
      </c>
      <c r="L25" s="77" t="n">
        <v>19.5</v>
      </c>
      <c r="M25" s="78" t="n">
        <f aca="false">K25*'Plan-Annahmen'!$B$71</f>
        <v>2.67659051600767</v>
      </c>
      <c r="N25" s="78" t="n">
        <f aca="false">E25*'Plan-Annahmen'!$B$72</f>
        <v>0.769749994929111</v>
      </c>
      <c r="O25" s="78" t="n">
        <f aca="false">'Plan-Annahmen'!$B$70</f>
        <v>25</v>
      </c>
      <c r="P25" s="76" t="n">
        <f aca="false">L25+M25+N25+O25</f>
        <v>47.9463405109368</v>
      </c>
      <c r="Q25" s="35" t="n">
        <f aca="false">IF(P25&gt;'Plan-Annahmen'!$B$69,1,0)</f>
        <v>0</v>
      </c>
      <c r="R25" s="35" t="n">
        <f aca="false">IF(P25&gt;'Plan-Annahmen'!$B$68,1,0)</f>
        <v>0</v>
      </c>
      <c r="S25" s="35" t="n">
        <f aca="false">IF(K25&gt;='Plan-Annahmen'!$B$59,1,0)</f>
        <v>0</v>
      </c>
    </row>
    <row r="26" customFormat="false" ht="15" hidden="false" customHeight="true" outlineLevel="0" collapsed="false">
      <c r="A26" s="35" t="n">
        <v>19</v>
      </c>
      <c r="B26" s="73" t="n">
        <f aca="false">EDATE('Plan-Annahmen'!$B$8,A26-1)</f>
        <v>46813</v>
      </c>
      <c r="C26" s="66" t="n">
        <v>1</v>
      </c>
      <c r="D26" s="74" t="n">
        <f aca="false">IF(A26-'Plan-Annahmen'!$B$41&lt;1,0,INDEX($K$8:$K$31,A26-'Plan-Annahmen'!$B$41)*'Plan-Annahmen'!$B$35/12*'Plan-Annahmen'!$B$38*(1+'Plan-Annahmen'!$B$50*'Plan-Annahmen'!$B$51))</f>
        <v>0.0219041442013922</v>
      </c>
      <c r="E26" s="69" t="n">
        <f aca="false">C26+D26</f>
        <v>1.02190414420139</v>
      </c>
      <c r="F26" s="69" t="n">
        <f aca="false">MIN(E26,MAX(0,'Plan-Annahmen'!$B$16-H25))</f>
        <v>1.02190414420139</v>
      </c>
      <c r="G26" s="69" t="n">
        <f aca="false">E26-F26</f>
        <v>0</v>
      </c>
      <c r="H26" s="69" t="n">
        <f aca="false">H25+F26</f>
        <v>11.1471305766287</v>
      </c>
      <c r="I26" s="75" t="n">
        <f aca="false">I25*(1-'Plan-Annahmen'!$B$47)+F26</f>
        <v>9.76543316315978</v>
      </c>
      <c r="J26" s="75" t="n">
        <f aca="false">J25*(1-'Plan-Annahmen'!$B$44)+G26</f>
        <v>0</v>
      </c>
      <c r="K26" s="76" t="n">
        <f aca="false">I26+J26</f>
        <v>9.76543316315978</v>
      </c>
      <c r="L26" s="77" t="n">
        <v>19.5</v>
      </c>
      <c r="M26" s="78" t="n">
        <f aca="false">K26*'Plan-Annahmen'!$B$71</f>
        <v>2.92962994894793</v>
      </c>
      <c r="N26" s="78" t="n">
        <f aca="false">E26*'Plan-Annahmen'!$B$72</f>
        <v>1.02190414420139</v>
      </c>
      <c r="O26" s="78" t="n">
        <f aca="false">'Plan-Annahmen'!$B$70</f>
        <v>25</v>
      </c>
      <c r="P26" s="76" t="n">
        <f aca="false">L26+M26+N26+O26</f>
        <v>48.4515340931493</v>
      </c>
      <c r="Q26" s="35" t="n">
        <f aca="false">IF(P26&gt;'Plan-Annahmen'!$B$69,1,0)</f>
        <v>0</v>
      </c>
      <c r="R26" s="35" t="n">
        <f aca="false">IF(P26&gt;'Plan-Annahmen'!$B$68,1,0)</f>
        <v>0</v>
      </c>
      <c r="S26" s="35" t="n">
        <f aca="false">IF(K26&gt;='Plan-Annahmen'!$B$59,1,0)</f>
        <v>0</v>
      </c>
    </row>
    <row r="27" customFormat="false" ht="15" hidden="false" customHeight="true" outlineLevel="0" collapsed="false">
      <c r="A27" s="35" t="n">
        <v>20</v>
      </c>
      <c r="B27" s="73" t="n">
        <f aca="false">EDATE('Plan-Annahmen'!$B$8,A27-1)</f>
        <v>46844</v>
      </c>
      <c r="C27" s="66" t="n">
        <v>1</v>
      </c>
      <c r="D27" s="74" t="n">
        <f aca="false">IF(A27-'Plan-Annahmen'!$B$41&lt;1,0,INDEX($K$8:$K$31,A27-'Plan-Annahmen'!$B$41)*'Plan-Annahmen'!$B$35/12*'Plan-Annahmen'!$B$38*(1+'Plan-Annahmen'!$B$50*'Plan-Annahmen'!$B$51))</f>
        <v>0.0256837970082174</v>
      </c>
      <c r="E27" s="69" t="n">
        <f aca="false">C27+D27</f>
        <v>1.02568379700822</v>
      </c>
      <c r="F27" s="69" t="n">
        <f aca="false">MIN(E27,MAX(0,'Plan-Annahmen'!$B$16-H26))</f>
        <v>1.02568379700822</v>
      </c>
      <c r="G27" s="69" t="n">
        <f aca="false">E27-F27</f>
        <v>0</v>
      </c>
      <c r="H27" s="69" t="n">
        <f aca="false">H26+F27</f>
        <v>12.1728143736369</v>
      </c>
      <c r="I27" s="75" t="n">
        <f aca="false">I26*(1-'Plan-Annahmen'!$B$47)+F27</f>
        <v>10.5958082969048</v>
      </c>
      <c r="J27" s="75" t="n">
        <f aca="false">J26*(1-'Plan-Annahmen'!$B$44)+G27</f>
        <v>0</v>
      </c>
      <c r="K27" s="76" t="n">
        <f aca="false">I27+J27</f>
        <v>10.5958082969048</v>
      </c>
      <c r="L27" s="77" t="n">
        <v>19.5</v>
      </c>
      <c r="M27" s="78" t="n">
        <f aca="false">K27*'Plan-Annahmen'!$B$71</f>
        <v>3.17874248907144</v>
      </c>
      <c r="N27" s="78" t="n">
        <f aca="false">E27*'Plan-Annahmen'!$B$72</f>
        <v>1.02568379700822</v>
      </c>
      <c r="O27" s="78" t="n">
        <f aca="false">'Plan-Annahmen'!$B$70</f>
        <v>25</v>
      </c>
      <c r="P27" s="76" t="n">
        <f aca="false">L27+M27+N27+O27</f>
        <v>48.7044262860797</v>
      </c>
      <c r="Q27" s="35" t="n">
        <f aca="false">IF(P27&gt;'Plan-Annahmen'!$B$69,1,0)</f>
        <v>0</v>
      </c>
      <c r="R27" s="35" t="n">
        <f aca="false">IF(P27&gt;'Plan-Annahmen'!$B$68,1,0)</f>
        <v>0</v>
      </c>
      <c r="S27" s="35" t="n">
        <f aca="false">IF(K27&gt;='Plan-Annahmen'!$B$59,1,0)</f>
        <v>0</v>
      </c>
    </row>
    <row r="28" customFormat="false" ht="15" hidden="false" customHeight="true" outlineLevel="0" collapsed="false">
      <c r="A28" s="35" t="n">
        <v>21</v>
      </c>
      <c r="B28" s="73" t="n">
        <f aca="false">EDATE('Plan-Annahmen'!$B$8,A28-1)</f>
        <v>46874</v>
      </c>
      <c r="C28" s="66" t="n">
        <v>1</v>
      </c>
      <c r="D28" s="74" t="n">
        <f aca="false">IF(A28-'Plan-Annahmen'!$B$41&lt;1,0,INDEX($K$8:$K$31,A28-'Plan-Annahmen'!$B$41)*'Plan-Annahmen'!$B$35/12*'Plan-Annahmen'!$B$38*(1+'Plan-Annahmen'!$B$50*'Plan-Annahmen'!$B$51))</f>
        <v>0.0277286339855889</v>
      </c>
      <c r="E28" s="69" t="n">
        <f aca="false">C28+D28</f>
        <v>1.02772863398559</v>
      </c>
      <c r="F28" s="69" t="n">
        <f aca="false">MIN(E28,MAX(0,'Plan-Annahmen'!$B$16-H27))</f>
        <v>1.02772863398559</v>
      </c>
      <c r="G28" s="69" t="n">
        <f aca="false">E28-F28</f>
        <v>0</v>
      </c>
      <c r="H28" s="69" t="n">
        <f aca="false">H27+F28</f>
        <v>13.2005430076225</v>
      </c>
      <c r="I28" s="75" t="n">
        <f aca="false">I27*(1-'Plan-Annahmen'!$B$47)+F28</f>
        <v>11.4116207649523</v>
      </c>
      <c r="J28" s="75" t="n">
        <f aca="false">J27*(1-'Plan-Annahmen'!$B$44)+G28</f>
        <v>0</v>
      </c>
      <c r="K28" s="76" t="n">
        <f aca="false">I28+J28</f>
        <v>11.4116207649523</v>
      </c>
      <c r="L28" s="77" t="n">
        <v>19.5</v>
      </c>
      <c r="M28" s="78" t="n">
        <f aca="false">K28*'Plan-Annahmen'!$B$71</f>
        <v>3.42348622948569</v>
      </c>
      <c r="N28" s="78" t="n">
        <f aca="false">E28*'Plan-Annahmen'!$B$72</f>
        <v>1.02772863398559</v>
      </c>
      <c r="O28" s="78" t="n">
        <f aca="false">'Plan-Annahmen'!$B$70</f>
        <v>25</v>
      </c>
      <c r="P28" s="76" t="n">
        <f aca="false">L28+M28+N28+O28</f>
        <v>48.9512148634713</v>
      </c>
      <c r="Q28" s="35" t="n">
        <f aca="false">IF(P28&gt;'Plan-Annahmen'!$B$69,1,0)</f>
        <v>0</v>
      </c>
      <c r="R28" s="35" t="n">
        <f aca="false">IF(P28&gt;'Plan-Annahmen'!$B$68,1,0)</f>
        <v>0</v>
      </c>
      <c r="S28" s="35" t="n">
        <f aca="false">IF(K28&gt;='Plan-Annahmen'!$B$59,1,0)</f>
        <v>0</v>
      </c>
    </row>
    <row r="29" customFormat="false" ht="15" hidden="false" customHeight="true" outlineLevel="0" collapsed="false">
      <c r="A29" s="35" t="n">
        <v>22</v>
      </c>
      <c r="B29" s="73" t="n">
        <f aca="false">EDATE('Plan-Annahmen'!$B$8,A29-1)</f>
        <v>46905</v>
      </c>
      <c r="C29" s="66" t="n">
        <v>1.5</v>
      </c>
      <c r="D29" s="74" t="n">
        <f aca="false">IF(A29-'Plan-Annahmen'!$B$41&lt;1,0,INDEX($K$8:$K$31,A29-'Plan-Annahmen'!$B$41)*'Plan-Annahmen'!$B$35/12*'Plan-Annahmen'!$B$38*(1+'Plan-Annahmen'!$B$50*'Plan-Annahmen'!$B$51))</f>
        <v>0.0297398946223074</v>
      </c>
      <c r="E29" s="69" t="n">
        <f aca="false">C29+D29</f>
        <v>1.52973989462231</v>
      </c>
      <c r="F29" s="69" t="n">
        <f aca="false">MIN(E29,MAX(0,'Plan-Annahmen'!$B$16-H28))</f>
        <v>1.52973989462231</v>
      </c>
      <c r="G29" s="69" t="n">
        <f aca="false">E29-F29</f>
        <v>0</v>
      </c>
      <c r="H29" s="69" t="n">
        <f aca="false">H28+F29</f>
        <v>14.7302829022448</v>
      </c>
      <c r="I29" s="75" t="n">
        <f aca="false">I28*(1-'Plan-Annahmen'!$B$47)+F29</f>
        <v>12.7131282442756</v>
      </c>
      <c r="J29" s="75" t="n">
        <f aca="false">J28*(1-'Plan-Annahmen'!$B$44)+G29</f>
        <v>0</v>
      </c>
      <c r="K29" s="76" t="n">
        <f aca="false">I29+J29</f>
        <v>12.7131282442756</v>
      </c>
      <c r="L29" s="77" t="n">
        <v>19.5</v>
      </c>
      <c r="M29" s="78" t="n">
        <f aca="false">K29*'Plan-Annahmen'!$B$71</f>
        <v>3.81393847328267</v>
      </c>
      <c r="N29" s="78" t="n">
        <f aca="false">E29*'Plan-Annahmen'!$B$72</f>
        <v>1.52973989462231</v>
      </c>
      <c r="O29" s="78" t="n">
        <f aca="false">'Plan-Annahmen'!$B$70</f>
        <v>25</v>
      </c>
      <c r="P29" s="76" t="n">
        <f aca="false">L29+M29+N29+O29</f>
        <v>49.843678367905</v>
      </c>
      <c r="Q29" s="35" t="n">
        <f aca="false">IF(P29&gt;'Plan-Annahmen'!$B$69,1,0)</f>
        <v>0</v>
      </c>
      <c r="R29" s="35" t="n">
        <f aca="false">IF(P29&gt;'Plan-Annahmen'!$B$68,1,0)</f>
        <v>0</v>
      </c>
      <c r="S29" s="35" t="n">
        <f aca="false">IF(K29&gt;='Plan-Annahmen'!$B$59,1,0)</f>
        <v>0</v>
      </c>
    </row>
    <row r="30" customFormat="false" ht="15" hidden="false" customHeight="true" outlineLevel="0" collapsed="false">
      <c r="A30" s="35" t="n">
        <v>23</v>
      </c>
      <c r="B30" s="73" t="n">
        <f aca="false">EDATE('Plan-Annahmen'!$B$8,A30-1)</f>
        <v>46935</v>
      </c>
      <c r="C30" s="66" t="n">
        <v>1</v>
      </c>
      <c r="D30" s="74" t="n">
        <f aca="false">IF(A30-'Plan-Annahmen'!$B$41&lt;1,0,INDEX($K$8:$K$31,A30-'Plan-Annahmen'!$B$41)*'Plan-Annahmen'!$B$35/12*'Plan-Annahmen'!$B$38*(1+'Plan-Annahmen'!$B$50*'Plan-Annahmen'!$B$51))</f>
        <v>0.0325514438771993</v>
      </c>
      <c r="E30" s="69" t="n">
        <f aca="false">C30+D30</f>
        <v>1.0325514438772</v>
      </c>
      <c r="F30" s="69" t="n">
        <f aca="false">MIN(E30,MAX(0,'Plan-Annahmen'!$B$16-H29))</f>
        <v>1.0325514438772</v>
      </c>
      <c r="G30" s="69" t="n">
        <f aca="false">E30-F30</f>
        <v>0</v>
      </c>
      <c r="H30" s="69" t="n">
        <f aca="false">H29+F30</f>
        <v>15.762834346122</v>
      </c>
      <c r="I30" s="75" t="n">
        <f aca="false">I29*(1-'Plan-Annahmen'!$B$47)+F30</f>
        <v>13.4914171232672</v>
      </c>
      <c r="J30" s="75" t="n">
        <f aca="false">J29*(1-'Plan-Annahmen'!$B$44)+G30</f>
        <v>0</v>
      </c>
      <c r="K30" s="76" t="n">
        <f aca="false">I30+J30</f>
        <v>13.4914171232672</v>
      </c>
      <c r="L30" s="77" t="n">
        <v>19.5</v>
      </c>
      <c r="M30" s="78" t="n">
        <f aca="false">K30*'Plan-Annahmen'!$B$71</f>
        <v>4.04742513698017</v>
      </c>
      <c r="N30" s="78" t="n">
        <f aca="false">E30*'Plan-Annahmen'!$B$72</f>
        <v>1.0325514438772</v>
      </c>
      <c r="O30" s="78" t="n">
        <f aca="false">'Plan-Annahmen'!$B$70</f>
        <v>25</v>
      </c>
      <c r="P30" s="76" t="n">
        <f aca="false">L30+M30+N30+O30</f>
        <v>49.5799765808574</v>
      </c>
      <c r="Q30" s="35" t="n">
        <f aca="false">IF(P30&gt;'Plan-Annahmen'!$B$69,1,0)</f>
        <v>0</v>
      </c>
      <c r="R30" s="35" t="n">
        <f aca="false">IF(P30&gt;'Plan-Annahmen'!$B$68,1,0)</f>
        <v>0</v>
      </c>
      <c r="S30" s="35" t="n">
        <f aca="false">IF(K30&gt;='Plan-Annahmen'!$B$59,1,0)</f>
        <v>0</v>
      </c>
    </row>
    <row r="31" customFormat="false" ht="15" hidden="false" customHeight="true" outlineLevel="0" collapsed="false">
      <c r="A31" s="35" t="n">
        <v>24</v>
      </c>
      <c r="B31" s="73" t="n">
        <f aca="false">EDATE('Plan-Annahmen'!$B$8,A31-1)</f>
        <v>46966</v>
      </c>
      <c r="C31" s="66" t="n">
        <v>1</v>
      </c>
      <c r="D31" s="74" t="n">
        <f aca="false">IF(A31-'Plan-Annahmen'!$B$41&lt;1,0,INDEX($K$8:$K$31,A31-'Plan-Annahmen'!$B$41)*'Plan-Annahmen'!$B$35/12*'Plan-Annahmen'!$B$38*(1+'Plan-Annahmen'!$B$50*'Plan-Annahmen'!$B$51))</f>
        <v>0.0353193609896827</v>
      </c>
      <c r="E31" s="69" t="n">
        <f aca="false">C31+D31</f>
        <v>1.03531936098968</v>
      </c>
      <c r="F31" s="69" t="n">
        <f aca="false">MIN(E31,MAX(0,'Plan-Annahmen'!$B$16-H30))</f>
        <v>1.03531936098968</v>
      </c>
      <c r="G31" s="69" t="n">
        <f aca="false">E31-F31</f>
        <v>0</v>
      </c>
      <c r="H31" s="69" t="n">
        <f aca="false">H30+F31</f>
        <v>16.7981537071117</v>
      </c>
      <c r="I31" s="75" t="n">
        <f aca="false">I30*(1-'Plan-Annahmen'!$B$47)+F31</f>
        <v>14.2569081417916</v>
      </c>
      <c r="J31" s="75" t="n">
        <f aca="false">J30*(1-'Plan-Annahmen'!$B$44)+G31</f>
        <v>0</v>
      </c>
      <c r="K31" s="76" t="n">
        <f aca="false">I31+J31</f>
        <v>14.2569081417916</v>
      </c>
      <c r="L31" s="77" t="n">
        <v>19.5</v>
      </c>
      <c r="M31" s="78" t="n">
        <f aca="false">K31*'Plan-Annahmen'!$B$71</f>
        <v>4.27707244253747</v>
      </c>
      <c r="N31" s="78" t="n">
        <f aca="false">E31*'Plan-Annahmen'!$B$72</f>
        <v>1.03531936098968</v>
      </c>
      <c r="O31" s="78" t="n">
        <f aca="false">'Plan-Annahmen'!$B$70</f>
        <v>25</v>
      </c>
      <c r="P31" s="76" t="n">
        <f aca="false">L31+M31+N31+O31</f>
        <v>49.8123918035272</v>
      </c>
      <c r="Q31" s="35" t="n">
        <f aca="false">IF(P31&gt;'Plan-Annahmen'!$B$69,1,0)</f>
        <v>0</v>
      </c>
      <c r="R31" s="35" t="n">
        <f aca="false">IF(P31&gt;'Plan-Annahmen'!$B$68,1,0)</f>
        <v>0</v>
      </c>
      <c r="S31" s="35" t="n">
        <f aca="false">IF(K31&gt;='Plan-Annahmen'!$B$59,1,0)</f>
        <v>0</v>
      </c>
    </row>
    <row r="32" customFormat="false" ht="15" hidden="false" customHeight="true" outlineLevel="0" collapsed="false">
      <c r="A32" s="14" t="s">
        <v>511</v>
      </c>
      <c r="B32" s="15"/>
      <c r="C32" s="79" t="n">
        <f aca="false">SUM(C8:C31)</f>
        <v>16.5</v>
      </c>
      <c r="D32" s="79" t="n">
        <f aca="false">SUM(D8:D31)</f>
        <v>0.298153707111703</v>
      </c>
      <c r="E32" s="79" t="n">
        <f aca="false">SUM(E8:E31)</f>
        <v>16.7981537071117</v>
      </c>
      <c r="F32" s="15"/>
      <c r="G32" s="15"/>
      <c r="H32" s="15"/>
      <c r="I32" s="15"/>
      <c r="J32" s="15"/>
      <c r="K32" s="79" t="n">
        <f aca="false">K31</f>
        <v>14.2569081417916</v>
      </c>
      <c r="L32" s="15"/>
      <c r="M32" s="15"/>
      <c r="N32" s="15"/>
      <c r="O32" s="15"/>
      <c r="P32" s="15"/>
      <c r="Q32" s="59" t="n">
        <f aca="false">SUM(Q8:Q31)</f>
        <v>0</v>
      </c>
      <c r="R32" s="59" t="n">
        <f aca="false">SUM(R8:R31)</f>
        <v>0</v>
      </c>
      <c r="S32" s="59" t="n">
        <f aca="false">IFERROR(INDEX($A$8:$A$31,MATCH(1,$S$8:$S$31,0)),999)</f>
        <v>999</v>
      </c>
    </row>
    <row r="35" customFormat="false" ht="15" hidden="false" customHeight="true" outlineLevel="0" collapsed="false">
      <c r="A35" s="49" t="s">
        <v>512</v>
      </c>
      <c r="C35" s="72" t="s">
        <v>513</v>
      </c>
    </row>
    <row r="36" customFormat="false" ht="39" hidden="false" customHeight="true" outlineLevel="0" collapsed="false">
      <c r="A36" s="4" t="s">
        <v>492</v>
      </c>
      <c r="B36" s="4" t="s">
        <v>493</v>
      </c>
      <c r="C36" s="4" t="s">
        <v>494</v>
      </c>
      <c r="D36" s="4" t="s">
        <v>495</v>
      </c>
      <c r="E36" s="4" t="s">
        <v>496</v>
      </c>
      <c r="F36" s="4" t="s">
        <v>497</v>
      </c>
      <c r="G36" s="4" t="s">
        <v>498</v>
      </c>
      <c r="H36" s="4" t="s">
        <v>499</v>
      </c>
      <c r="I36" s="4" t="s">
        <v>500</v>
      </c>
      <c r="J36" s="4" t="s">
        <v>501</v>
      </c>
      <c r="K36" s="4" t="s">
        <v>502</v>
      </c>
      <c r="L36" s="4" t="s">
        <v>503</v>
      </c>
      <c r="M36" s="4" t="s">
        <v>504</v>
      </c>
      <c r="N36" s="4" t="s">
        <v>505</v>
      </c>
      <c r="O36" s="4" t="s">
        <v>506</v>
      </c>
      <c r="P36" s="4" t="s">
        <v>507</v>
      </c>
      <c r="Q36" s="4" t="s">
        <v>508</v>
      </c>
      <c r="R36" s="4" t="s">
        <v>509</v>
      </c>
      <c r="S36" s="4" t="s">
        <v>510</v>
      </c>
    </row>
    <row r="37" customFormat="false" ht="15" hidden="false" customHeight="true" outlineLevel="0" collapsed="false">
      <c r="A37" s="35" t="n">
        <v>1</v>
      </c>
      <c r="B37" s="73" t="n">
        <f aca="false">EDATE('Plan-Annahmen'!$B$8,A37-1)</f>
        <v>46266</v>
      </c>
      <c r="C37" s="66" t="n">
        <v>0</v>
      </c>
      <c r="D37" s="74" t="n">
        <f aca="false">IF(A37-'Plan-Annahmen'!$B$42&lt;1,0,INDEX($K$37:$K$60,A37-'Plan-Annahmen'!$B$42)*'Plan-Annahmen'!$B$36/12*'Plan-Annahmen'!$B$39*(1+'Plan-Annahmen'!$B$50*'Plan-Annahmen'!$B$51))</f>
        <v>0</v>
      </c>
      <c r="E37" s="69" t="n">
        <f aca="false">C37+D37</f>
        <v>0</v>
      </c>
      <c r="F37" s="69" t="n">
        <f aca="false">MIN(E37,MAX(0,'Plan-Annahmen'!$B$16-0))</f>
        <v>0</v>
      </c>
      <c r="G37" s="69" t="n">
        <f aca="false">E37-F37</f>
        <v>0</v>
      </c>
      <c r="H37" s="69" t="n">
        <f aca="false">0+F37</f>
        <v>0</v>
      </c>
      <c r="I37" s="75" t="n">
        <f aca="false">0*(1-'Plan-Annahmen'!$B$48)+F37</f>
        <v>0</v>
      </c>
      <c r="J37" s="75" t="n">
        <f aca="false">0*(1-'Plan-Annahmen'!$B$45)+G37</f>
        <v>0</v>
      </c>
      <c r="K37" s="76" t="n">
        <f aca="false">I37+J37</f>
        <v>0</v>
      </c>
      <c r="L37" s="77" t="n">
        <v>4</v>
      </c>
      <c r="M37" s="78" t="n">
        <f aca="false">K37*'Plan-Annahmen'!$B$71</f>
        <v>0</v>
      </c>
      <c r="N37" s="78" t="n">
        <f aca="false">E37*'Plan-Annahmen'!$B$72</f>
        <v>0</v>
      </c>
      <c r="O37" s="78" t="n">
        <f aca="false">'Plan-Annahmen'!$B$70</f>
        <v>25</v>
      </c>
      <c r="P37" s="76" t="n">
        <f aca="false">L37+M37+N37+O37</f>
        <v>29</v>
      </c>
      <c r="Q37" s="35" t="n">
        <f aca="false">IF(P37&gt;'Plan-Annahmen'!$B$69,1,0)</f>
        <v>0</v>
      </c>
      <c r="R37" s="35" t="n">
        <f aca="false">IF(P37&gt;'Plan-Annahmen'!$B$68,1,0)</f>
        <v>0</v>
      </c>
      <c r="S37" s="35" t="n">
        <f aca="false">IF(K37&gt;='Plan-Annahmen'!$B$59,1,0)</f>
        <v>0</v>
      </c>
    </row>
    <row r="38" customFormat="false" ht="15" hidden="false" customHeight="true" outlineLevel="0" collapsed="false">
      <c r="A38" s="35" t="n">
        <v>2</v>
      </c>
      <c r="B38" s="73" t="n">
        <f aca="false">EDATE('Plan-Annahmen'!$B$8,A38-1)</f>
        <v>46296</v>
      </c>
      <c r="C38" s="66" t="n">
        <v>0</v>
      </c>
      <c r="D38" s="74" t="n">
        <f aca="false">IF(A38-'Plan-Annahmen'!$B$42&lt;1,0,INDEX($K$37:$K$60,A38-'Plan-Annahmen'!$B$42)*'Plan-Annahmen'!$B$36/12*'Plan-Annahmen'!$B$39*(1+'Plan-Annahmen'!$B$50*'Plan-Annahmen'!$B$51))</f>
        <v>0</v>
      </c>
      <c r="E38" s="69" t="n">
        <f aca="false">C38+D38</f>
        <v>0</v>
      </c>
      <c r="F38" s="69" t="n">
        <f aca="false">MIN(E38,MAX(0,'Plan-Annahmen'!$B$16-H37))</f>
        <v>0</v>
      </c>
      <c r="G38" s="69" t="n">
        <f aca="false">E38-F38</f>
        <v>0</v>
      </c>
      <c r="H38" s="69" t="n">
        <f aca="false">H37+F38</f>
        <v>0</v>
      </c>
      <c r="I38" s="75" t="n">
        <f aca="false">I37*(1-'Plan-Annahmen'!$B$48)+F38</f>
        <v>0</v>
      </c>
      <c r="J38" s="75" t="n">
        <f aca="false">J37*(1-'Plan-Annahmen'!$B$45)+G38</f>
        <v>0</v>
      </c>
      <c r="K38" s="76" t="n">
        <f aca="false">I38+J38</f>
        <v>0</v>
      </c>
      <c r="L38" s="77" t="n">
        <v>18</v>
      </c>
      <c r="M38" s="78" t="n">
        <f aca="false">K38*'Plan-Annahmen'!$B$71</f>
        <v>0</v>
      </c>
      <c r="N38" s="78" t="n">
        <f aca="false">E38*'Plan-Annahmen'!$B$72</f>
        <v>0</v>
      </c>
      <c r="O38" s="78" t="n">
        <f aca="false">'Plan-Annahmen'!$B$70</f>
        <v>25</v>
      </c>
      <c r="P38" s="76" t="n">
        <f aca="false">L38+M38+N38+O38</f>
        <v>43</v>
      </c>
      <c r="Q38" s="35" t="n">
        <f aca="false">IF(P38&gt;'Plan-Annahmen'!$B$69,1,0)</f>
        <v>0</v>
      </c>
      <c r="R38" s="35" t="n">
        <f aca="false">IF(P38&gt;'Plan-Annahmen'!$B$68,1,0)</f>
        <v>0</v>
      </c>
      <c r="S38" s="35" t="n">
        <f aca="false">IF(K38&gt;='Plan-Annahmen'!$B$59,1,0)</f>
        <v>0</v>
      </c>
    </row>
    <row r="39" customFormat="false" ht="15" hidden="false" customHeight="true" outlineLevel="0" collapsed="false">
      <c r="A39" s="35" t="n">
        <v>3</v>
      </c>
      <c r="B39" s="73" t="n">
        <f aca="false">EDATE('Plan-Annahmen'!$B$8,A39-1)</f>
        <v>46327</v>
      </c>
      <c r="C39" s="66" t="n">
        <v>0</v>
      </c>
      <c r="D39" s="74" t="n">
        <f aca="false">IF(A39-'Plan-Annahmen'!$B$42&lt;1,0,INDEX($K$37:$K$60,A39-'Plan-Annahmen'!$B$42)*'Plan-Annahmen'!$B$36/12*'Plan-Annahmen'!$B$39*(1+'Plan-Annahmen'!$B$50*'Plan-Annahmen'!$B$51))</f>
        <v>0</v>
      </c>
      <c r="E39" s="69" t="n">
        <f aca="false">C39+D39</f>
        <v>0</v>
      </c>
      <c r="F39" s="69" t="n">
        <f aca="false">MIN(E39,MAX(0,'Plan-Annahmen'!$B$16-H38))</f>
        <v>0</v>
      </c>
      <c r="G39" s="69" t="n">
        <f aca="false">E39-F39</f>
        <v>0</v>
      </c>
      <c r="H39" s="69" t="n">
        <f aca="false">H38+F39</f>
        <v>0</v>
      </c>
      <c r="I39" s="75" t="n">
        <f aca="false">I38*(1-'Plan-Annahmen'!$B$48)+F39</f>
        <v>0</v>
      </c>
      <c r="J39" s="75" t="n">
        <f aca="false">J38*(1-'Plan-Annahmen'!$B$45)+G39</f>
        <v>0</v>
      </c>
      <c r="K39" s="76" t="n">
        <f aca="false">I39+J39</f>
        <v>0</v>
      </c>
      <c r="L39" s="77" t="n">
        <v>5</v>
      </c>
      <c r="M39" s="78" t="n">
        <f aca="false">K39*'Plan-Annahmen'!$B$71</f>
        <v>0</v>
      </c>
      <c r="N39" s="78" t="n">
        <f aca="false">E39*'Plan-Annahmen'!$B$72</f>
        <v>0</v>
      </c>
      <c r="O39" s="78" t="n">
        <f aca="false">'Plan-Annahmen'!$B$70</f>
        <v>25</v>
      </c>
      <c r="P39" s="76" t="n">
        <f aca="false">L39+M39+N39+O39</f>
        <v>30</v>
      </c>
      <c r="Q39" s="35" t="n">
        <f aca="false">IF(P39&gt;'Plan-Annahmen'!$B$69,1,0)</f>
        <v>0</v>
      </c>
      <c r="R39" s="35" t="n">
        <f aca="false">IF(P39&gt;'Plan-Annahmen'!$B$68,1,0)</f>
        <v>0</v>
      </c>
      <c r="S39" s="35" t="n">
        <f aca="false">IF(K39&gt;='Plan-Annahmen'!$B$59,1,0)</f>
        <v>0</v>
      </c>
    </row>
    <row r="40" customFormat="false" ht="15" hidden="false" customHeight="true" outlineLevel="0" collapsed="false">
      <c r="A40" s="35" t="n">
        <v>4</v>
      </c>
      <c r="B40" s="73" t="n">
        <f aca="false">EDATE('Plan-Annahmen'!$B$8,A40-1)</f>
        <v>46357</v>
      </c>
      <c r="C40" s="66" t="n">
        <v>1</v>
      </c>
      <c r="D40" s="74" t="n">
        <f aca="false">IF(A40-'Plan-Annahmen'!$B$42&lt;1,0,INDEX($K$37:$K$60,A40-'Plan-Annahmen'!$B$42)*'Plan-Annahmen'!$B$36/12*'Plan-Annahmen'!$B$39*(1+'Plan-Annahmen'!$B$50*'Plan-Annahmen'!$B$51))</f>
        <v>0</v>
      </c>
      <c r="E40" s="69" t="n">
        <f aca="false">C40+D40</f>
        <v>1</v>
      </c>
      <c r="F40" s="69" t="n">
        <f aca="false">MIN(E40,MAX(0,'Plan-Annahmen'!$B$16-H39))</f>
        <v>1</v>
      </c>
      <c r="G40" s="69" t="n">
        <f aca="false">E40-F40</f>
        <v>0</v>
      </c>
      <c r="H40" s="69" t="n">
        <f aca="false">H39+F40</f>
        <v>1</v>
      </c>
      <c r="I40" s="75" t="n">
        <f aca="false">I39*(1-'Plan-Annahmen'!$B$48)+F40</f>
        <v>1</v>
      </c>
      <c r="J40" s="75" t="n">
        <f aca="false">J39*(1-'Plan-Annahmen'!$B$45)+G40</f>
        <v>0</v>
      </c>
      <c r="K40" s="76" t="n">
        <f aca="false">I40+J40</f>
        <v>1</v>
      </c>
      <c r="L40" s="77" t="n">
        <v>15</v>
      </c>
      <c r="M40" s="78" t="n">
        <f aca="false">K40*'Plan-Annahmen'!$B$71</f>
        <v>0.3</v>
      </c>
      <c r="N40" s="78" t="n">
        <f aca="false">E40*'Plan-Annahmen'!$B$72</f>
        <v>1</v>
      </c>
      <c r="O40" s="78" t="n">
        <f aca="false">'Plan-Annahmen'!$B$70</f>
        <v>25</v>
      </c>
      <c r="P40" s="76" t="n">
        <f aca="false">L40+M40+N40+O40</f>
        <v>41.3</v>
      </c>
      <c r="Q40" s="35" t="n">
        <f aca="false">IF(P40&gt;'Plan-Annahmen'!$B$69,1,0)</f>
        <v>0</v>
      </c>
      <c r="R40" s="35" t="n">
        <f aca="false">IF(P40&gt;'Plan-Annahmen'!$B$68,1,0)</f>
        <v>0</v>
      </c>
      <c r="S40" s="35" t="n">
        <f aca="false">IF(K40&gt;='Plan-Annahmen'!$B$59,1,0)</f>
        <v>0</v>
      </c>
    </row>
    <row r="41" customFormat="false" ht="15" hidden="false" customHeight="true" outlineLevel="0" collapsed="false">
      <c r="A41" s="35" t="n">
        <v>5</v>
      </c>
      <c r="B41" s="73" t="n">
        <f aca="false">EDATE('Plan-Annahmen'!$B$8,A41-1)</f>
        <v>46388</v>
      </c>
      <c r="C41" s="66" t="n">
        <v>1.5</v>
      </c>
      <c r="D41" s="74" t="n">
        <f aca="false">IF(A41-'Plan-Annahmen'!$B$42&lt;1,0,INDEX($K$37:$K$60,A41-'Plan-Annahmen'!$B$42)*'Plan-Annahmen'!$B$36/12*'Plan-Annahmen'!$B$39*(1+'Plan-Annahmen'!$B$50*'Plan-Annahmen'!$B$51))</f>
        <v>0</v>
      </c>
      <c r="E41" s="69" t="n">
        <f aca="false">C41+D41</f>
        <v>1.5</v>
      </c>
      <c r="F41" s="69" t="n">
        <f aca="false">MIN(E41,MAX(0,'Plan-Annahmen'!$B$16-H40))</f>
        <v>1.5</v>
      </c>
      <c r="G41" s="69" t="n">
        <f aca="false">E41-F41</f>
        <v>0</v>
      </c>
      <c r="H41" s="69" t="n">
        <f aca="false">H40+F41</f>
        <v>2.5</v>
      </c>
      <c r="I41" s="75" t="n">
        <f aca="false">I40*(1-'Plan-Annahmen'!$B$48)+F41</f>
        <v>2.485</v>
      </c>
      <c r="J41" s="75" t="n">
        <f aca="false">J40*(1-'Plan-Annahmen'!$B$45)+G41</f>
        <v>0</v>
      </c>
      <c r="K41" s="76" t="n">
        <f aca="false">I41+J41</f>
        <v>2.485</v>
      </c>
      <c r="L41" s="77" t="n">
        <v>16</v>
      </c>
      <c r="M41" s="78" t="n">
        <f aca="false">K41*'Plan-Annahmen'!$B$71</f>
        <v>0.7455</v>
      </c>
      <c r="N41" s="78" t="n">
        <f aca="false">E41*'Plan-Annahmen'!$B$72</f>
        <v>1.5</v>
      </c>
      <c r="O41" s="78" t="n">
        <f aca="false">'Plan-Annahmen'!$B$70</f>
        <v>25</v>
      </c>
      <c r="P41" s="76" t="n">
        <f aca="false">L41+M41+N41+O41</f>
        <v>43.2455</v>
      </c>
      <c r="Q41" s="35" t="n">
        <f aca="false">IF(P41&gt;'Plan-Annahmen'!$B$69,1,0)</f>
        <v>0</v>
      </c>
      <c r="R41" s="35" t="n">
        <f aca="false">IF(P41&gt;'Plan-Annahmen'!$B$68,1,0)</f>
        <v>0</v>
      </c>
      <c r="S41" s="35" t="n">
        <f aca="false">IF(K41&gt;='Plan-Annahmen'!$B$59,1,0)</f>
        <v>0</v>
      </c>
    </row>
    <row r="42" customFormat="false" ht="15" hidden="false" customHeight="true" outlineLevel="0" collapsed="false">
      <c r="A42" s="35" t="n">
        <v>6</v>
      </c>
      <c r="B42" s="73" t="n">
        <f aca="false">EDATE('Plan-Annahmen'!$B$8,A42-1)</f>
        <v>46419</v>
      </c>
      <c r="C42" s="66" t="n">
        <v>2.5</v>
      </c>
      <c r="D42" s="74" t="n">
        <f aca="false">IF(A42-'Plan-Annahmen'!$B$42&lt;1,0,INDEX($K$37:$K$60,A42-'Plan-Annahmen'!$B$42)*'Plan-Annahmen'!$B$36/12*'Plan-Annahmen'!$B$39*(1+'Plan-Annahmen'!$B$50*'Plan-Annahmen'!$B$51))</f>
        <v>0</v>
      </c>
      <c r="E42" s="69" t="n">
        <f aca="false">C42+D42</f>
        <v>2.5</v>
      </c>
      <c r="F42" s="69" t="n">
        <f aca="false">MIN(E42,MAX(0,'Plan-Annahmen'!$B$16-H41))</f>
        <v>2.5</v>
      </c>
      <c r="G42" s="69" t="n">
        <f aca="false">E42-F42</f>
        <v>0</v>
      </c>
      <c r="H42" s="69" t="n">
        <f aca="false">H41+F42</f>
        <v>5</v>
      </c>
      <c r="I42" s="75" t="n">
        <f aca="false">I41*(1-'Plan-Annahmen'!$B$48)+F42</f>
        <v>4.947725</v>
      </c>
      <c r="J42" s="75" t="n">
        <f aca="false">J41*(1-'Plan-Annahmen'!$B$45)+G42</f>
        <v>0</v>
      </c>
      <c r="K42" s="76" t="n">
        <f aca="false">I42+J42</f>
        <v>4.947725</v>
      </c>
      <c r="L42" s="77" t="n">
        <v>16</v>
      </c>
      <c r="M42" s="78" t="n">
        <f aca="false">K42*'Plan-Annahmen'!$B$71</f>
        <v>1.4843175</v>
      </c>
      <c r="N42" s="78" t="n">
        <f aca="false">E42*'Plan-Annahmen'!$B$72</f>
        <v>2.5</v>
      </c>
      <c r="O42" s="78" t="n">
        <f aca="false">'Plan-Annahmen'!$B$70</f>
        <v>25</v>
      </c>
      <c r="P42" s="76" t="n">
        <f aca="false">L42+M42+N42+O42</f>
        <v>44.9843175</v>
      </c>
      <c r="Q42" s="35" t="n">
        <f aca="false">IF(P42&gt;'Plan-Annahmen'!$B$69,1,0)</f>
        <v>0</v>
      </c>
      <c r="R42" s="35" t="n">
        <f aca="false">IF(P42&gt;'Plan-Annahmen'!$B$68,1,0)</f>
        <v>0</v>
      </c>
      <c r="S42" s="35" t="n">
        <f aca="false">IF(K42&gt;='Plan-Annahmen'!$B$59,1,0)</f>
        <v>0</v>
      </c>
    </row>
    <row r="43" customFormat="false" ht="15" hidden="false" customHeight="true" outlineLevel="0" collapsed="false">
      <c r="A43" s="35" t="n">
        <v>7</v>
      </c>
      <c r="B43" s="73" t="n">
        <f aca="false">EDATE('Plan-Annahmen'!$B$8,A43-1)</f>
        <v>46447</v>
      </c>
      <c r="C43" s="66" t="n">
        <v>2</v>
      </c>
      <c r="D43" s="74" t="n">
        <f aca="false">IF(A43-'Plan-Annahmen'!$B$42&lt;1,0,INDEX($K$37:$K$60,A43-'Plan-Annahmen'!$B$42)*'Plan-Annahmen'!$B$36/12*'Plan-Annahmen'!$B$39*(1+'Plan-Annahmen'!$B$50*'Plan-Annahmen'!$B$51))</f>
        <v>0.00833333333333333</v>
      </c>
      <c r="E43" s="69" t="n">
        <f aca="false">C43+D43</f>
        <v>2.00833333333333</v>
      </c>
      <c r="F43" s="69" t="n">
        <f aca="false">MIN(E43,MAX(0,'Plan-Annahmen'!$B$16-H42))</f>
        <v>2.00833333333333</v>
      </c>
      <c r="G43" s="69" t="n">
        <f aca="false">E43-F43</f>
        <v>0</v>
      </c>
      <c r="H43" s="69" t="n">
        <f aca="false">H42+F43</f>
        <v>7.00833333333333</v>
      </c>
      <c r="I43" s="75" t="n">
        <f aca="false">I42*(1-'Plan-Annahmen'!$B$48)+F43</f>
        <v>6.88184245833333</v>
      </c>
      <c r="J43" s="75" t="n">
        <f aca="false">J42*(1-'Plan-Annahmen'!$B$45)+G43</f>
        <v>0</v>
      </c>
      <c r="K43" s="76" t="n">
        <f aca="false">I43+J43</f>
        <v>6.88184245833333</v>
      </c>
      <c r="L43" s="77" t="n">
        <v>16.5</v>
      </c>
      <c r="M43" s="78" t="n">
        <f aca="false">K43*'Plan-Annahmen'!$B$71</f>
        <v>2.0645527375</v>
      </c>
      <c r="N43" s="78" t="n">
        <f aca="false">E43*'Plan-Annahmen'!$B$72</f>
        <v>2.00833333333333</v>
      </c>
      <c r="O43" s="78" t="n">
        <f aca="false">'Plan-Annahmen'!$B$70</f>
        <v>25</v>
      </c>
      <c r="P43" s="76" t="n">
        <f aca="false">L43+M43+N43+O43</f>
        <v>45.5728860708333</v>
      </c>
      <c r="Q43" s="35" t="n">
        <f aca="false">IF(P43&gt;'Plan-Annahmen'!$B$69,1,0)</f>
        <v>0</v>
      </c>
      <c r="R43" s="35" t="n">
        <f aca="false">IF(P43&gt;'Plan-Annahmen'!$B$68,1,0)</f>
        <v>0</v>
      </c>
      <c r="S43" s="35" t="n">
        <f aca="false">IF(K43&gt;='Plan-Annahmen'!$B$59,1,0)</f>
        <v>0</v>
      </c>
    </row>
    <row r="44" customFormat="false" ht="15" hidden="false" customHeight="true" outlineLevel="0" collapsed="false">
      <c r="A44" s="35" t="n">
        <v>8</v>
      </c>
      <c r="B44" s="73" t="n">
        <f aca="false">EDATE('Plan-Annahmen'!$B$8,A44-1)</f>
        <v>46478</v>
      </c>
      <c r="C44" s="66" t="n">
        <v>2</v>
      </c>
      <c r="D44" s="74" t="n">
        <f aca="false">IF(A44-'Plan-Annahmen'!$B$42&lt;1,0,INDEX($K$37:$K$60,A44-'Plan-Annahmen'!$B$42)*'Plan-Annahmen'!$B$36/12*'Plan-Annahmen'!$B$39*(1+'Plan-Annahmen'!$B$50*'Plan-Annahmen'!$B$51))</f>
        <v>0.0207083333333333</v>
      </c>
      <c r="E44" s="69" t="n">
        <f aca="false">C44+D44</f>
        <v>2.02070833333333</v>
      </c>
      <c r="F44" s="69" t="n">
        <f aca="false">MIN(E44,MAX(0,'Plan-Annahmen'!$B$16-H43))</f>
        <v>2.02070833333333</v>
      </c>
      <c r="G44" s="69" t="n">
        <f aca="false">E44-F44</f>
        <v>0</v>
      </c>
      <c r="H44" s="69" t="n">
        <f aca="false">H43+F44</f>
        <v>9.02904166666667</v>
      </c>
      <c r="I44" s="75" t="n">
        <f aca="false">I43*(1-'Plan-Annahmen'!$B$48)+F44</f>
        <v>8.79932315479167</v>
      </c>
      <c r="J44" s="75" t="n">
        <f aca="false">J43*(1-'Plan-Annahmen'!$B$45)+G44</f>
        <v>0</v>
      </c>
      <c r="K44" s="76" t="n">
        <f aca="false">I44+J44</f>
        <v>8.79932315479167</v>
      </c>
      <c r="L44" s="77" t="n">
        <v>20.5</v>
      </c>
      <c r="M44" s="78" t="n">
        <f aca="false">K44*'Plan-Annahmen'!$B$71</f>
        <v>2.6397969464375</v>
      </c>
      <c r="N44" s="78" t="n">
        <f aca="false">E44*'Plan-Annahmen'!$B$72</f>
        <v>2.02070833333333</v>
      </c>
      <c r="O44" s="78" t="n">
        <f aca="false">'Plan-Annahmen'!$B$70</f>
        <v>25</v>
      </c>
      <c r="P44" s="76" t="n">
        <f aca="false">L44+M44+N44+O44</f>
        <v>50.1605052797708</v>
      </c>
      <c r="Q44" s="35" t="n">
        <f aca="false">IF(P44&gt;'Plan-Annahmen'!$B$69,1,0)</f>
        <v>0</v>
      </c>
      <c r="R44" s="35" t="n">
        <f aca="false">IF(P44&gt;'Plan-Annahmen'!$B$68,1,0)</f>
        <v>0</v>
      </c>
      <c r="S44" s="35" t="n">
        <f aca="false">IF(K44&gt;='Plan-Annahmen'!$B$59,1,0)</f>
        <v>0</v>
      </c>
    </row>
    <row r="45" customFormat="false" ht="15" hidden="false" customHeight="true" outlineLevel="0" collapsed="false">
      <c r="A45" s="35" t="n">
        <v>9</v>
      </c>
      <c r="B45" s="73" t="n">
        <f aca="false">EDATE('Plan-Annahmen'!$B$8,A45-1)</f>
        <v>46508</v>
      </c>
      <c r="C45" s="66" t="n">
        <v>1.25</v>
      </c>
      <c r="D45" s="74" t="n">
        <f aca="false">IF(A45-'Plan-Annahmen'!$B$42&lt;1,0,INDEX($K$37:$K$60,A45-'Plan-Annahmen'!$B$42)*'Plan-Annahmen'!$B$36/12*'Plan-Annahmen'!$B$39*(1+'Plan-Annahmen'!$B$50*'Plan-Annahmen'!$B$51))</f>
        <v>0.0412310416666667</v>
      </c>
      <c r="E45" s="69" t="n">
        <f aca="false">C45+D45</f>
        <v>1.29123104166667</v>
      </c>
      <c r="F45" s="69" t="n">
        <f aca="false">MIN(E45,MAX(0,'Plan-Annahmen'!$B$16-H44))</f>
        <v>1.29123104166667</v>
      </c>
      <c r="G45" s="69" t="n">
        <f aca="false">E45-F45</f>
        <v>0</v>
      </c>
      <c r="H45" s="69" t="n">
        <f aca="false">H44+F45</f>
        <v>10.3202727083333</v>
      </c>
      <c r="I45" s="75" t="n">
        <f aca="false">I44*(1-'Plan-Annahmen'!$B$48)+F45</f>
        <v>9.95856434913646</v>
      </c>
      <c r="J45" s="75" t="n">
        <f aca="false">J44*(1-'Plan-Annahmen'!$B$45)+G45</f>
        <v>0</v>
      </c>
      <c r="K45" s="76" t="n">
        <f aca="false">I45+J45</f>
        <v>9.95856434913646</v>
      </c>
      <c r="L45" s="77" t="n">
        <v>20.5</v>
      </c>
      <c r="M45" s="78" t="n">
        <f aca="false">K45*'Plan-Annahmen'!$B$71</f>
        <v>2.98756930474094</v>
      </c>
      <c r="N45" s="78" t="n">
        <f aca="false">E45*'Plan-Annahmen'!$B$72</f>
        <v>1.29123104166667</v>
      </c>
      <c r="O45" s="78" t="n">
        <f aca="false">'Plan-Annahmen'!$B$70</f>
        <v>25</v>
      </c>
      <c r="P45" s="76" t="n">
        <f aca="false">L45+M45+N45+O45</f>
        <v>49.7788003464076</v>
      </c>
      <c r="Q45" s="35" t="n">
        <f aca="false">IF(P45&gt;'Plan-Annahmen'!$B$69,1,0)</f>
        <v>0</v>
      </c>
      <c r="R45" s="35" t="n">
        <f aca="false">IF(P45&gt;'Plan-Annahmen'!$B$68,1,0)</f>
        <v>0</v>
      </c>
      <c r="S45" s="35" t="n">
        <f aca="false">IF(K45&gt;='Plan-Annahmen'!$B$59,1,0)</f>
        <v>0</v>
      </c>
    </row>
    <row r="46" customFormat="false" ht="15" hidden="false" customHeight="true" outlineLevel="0" collapsed="false">
      <c r="A46" s="35" t="n">
        <v>10</v>
      </c>
      <c r="B46" s="73" t="n">
        <f aca="false">EDATE('Plan-Annahmen'!$B$8,A46-1)</f>
        <v>46539</v>
      </c>
      <c r="C46" s="66" t="n">
        <v>1.25</v>
      </c>
      <c r="D46" s="74" t="n">
        <f aca="false">IF(A46-'Plan-Annahmen'!$B$42&lt;1,0,INDEX($K$37:$K$60,A46-'Plan-Annahmen'!$B$42)*'Plan-Annahmen'!$B$36/12*'Plan-Annahmen'!$B$39*(1+'Plan-Annahmen'!$B$50*'Plan-Annahmen'!$B$51))</f>
        <v>0.0573486871527778</v>
      </c>
      <c r="E46" s="69" t="n">
        <f aca="false">C46+D46</f>
        <v>1.30734868715278</v>
      </c>
      <c r="F46" s="69" t="n">
        <f aca="false">MIN(E46,MAX(0,'Plan-Annahmen'!$B$16-H45))</f>
        <v>1.30734868715278</v>
      </c>
      <c r="G46" s="69" t="n">
        <f aca="false">E46-F46</f>
        <v>0</v>
      </c>
      <c r="H46" s="69" t="n">
        <f aca="false">H45+F46</f>
        <v>11.6276213954861</v>
      </c>
      <c r="I46" s="75" t="n">
        <f aca="false">I45*(1-'Plan-Annahmen'!$B$48)+F46</f>
        <v>11.1165345710522</v>
      </c>
      <c r="J46" s="75" t="n">
        <f aca="false">J45*(1-'Plan-Annahmen'!$B$45)+G46</f>
        <v>0</v>
      </c>
      <c r="K46" s="76" t="n">
        <f aca="false">I46+J46</f>
        <v>11.1165345710522</v>
      </c>
      <c r="L46" s="77" t="n">
        <v>19.5</v>
      </c>
      <c r="M46" s="78" t="n">
        <f aca="false">K46*'Plan-Annahmen'!$B$71</f>
        <v>3.33496037131566</v>
      </c>
      <c r="N46" s="78" t="n">
        <f aca="false">E46*'Plan-Annahmen'!$B$72</f>
        <v>1.30734868715278</v>
      </c>
      <c r="O46" s="78" t="n">
        <f aca="false">'Plan-Annahmen'!$B$70</f>
        <v>25</v>
      </c>
      <c r="P46" s="76" t="n">
        <f aca="false">L46+M46+N46+O46</f>
        <v>49.1423090584684</v>
      </c>
      <c r="Q46" s="35" t="n">
        <f aca="false">IF(P46&gt;'Plan-Annahmen'!$B$69,1,0)</f>
        <v>0</v>
      </c>
      <c r="R46" s="35" t="n">
        <f aca="false">IF(P46&gt;'Plan-Annahmen'!$B$68,1,0)</f>
        <v>0</v>
      </c>
      <c r="S46" s="35" t="n">
        <f aca="false">IF(K46&gt;='Plan-Annahmen'!$B$59,1,0)</f>
        <v>0</v>
      </c>
    </row>
    <row r="47" customFormat="false" ht="15" hidden="false" customHeight="true" outlineLevel="0" collapsed="false">
      <c r="A47" s="35" t="n">
        <v>11</v>
      </c>
      <c r="B47" s="73" t="n">
        <f aca="false">EDATE('Plan-Annahmen'!$B$8,A47-1)</f>
        <v>46569</v>
      </c>
      <c r="C47" s="66" t="n">
        <v>2.25</v>
      </c>
      <c r="D47" s="74" t="n">
        <f aca="false">IF(A47-'Plan-Annahmen'!$B$42&lt;1,0,INDEX($K$37:$K$60,A47-'Plan-Annahmen'!$B$42)*'Plan-Annahmen'!$B$36/12*'Plan-Annahmen'!$B$39*(1+'Plan-Annahmen'!$B$50*'Plan-Annahmen'!$B$51))</f>
        <v>0.0733276929565972</v>
      </c>
      <c r="E47" s="69" t="n">
        <f aca="false">C47+D47</f>
        <v>2.3233276929566</v>
      </c>
      <c r="F47" s="69" t="n">
        <f aca="false">MIN(E47,MAX(0,'Plan-Annahmen'!$B$16-H46))</f>
        <v>2.3233276929566</v>
      </c>
      <c r="G47" s="69" t="n">
        <f aca="false">E47-F47</f>
        <v>0</v>
      </c>
      <c r="H47" s="69" t="n">
        <f aca="false">H46+F47</f>
        <v>13.9509490884427</v>
      </c>
      <c r="I47" s="75" t="n">
        <f aca="false">I46*(1-'Plan-Annahmen'!$B$48)+F47</f>
        <v>13.273114245443</v>
      </c>
      <c r="J47" s="75" t="n">
        <f aca="false">J46*(1-'Plan-Annahmen'!$B$45)+G47</f>
        <v>0</v>
      </c>
      <c r="K47" s="76" t="n">
        <f aca="false">I47+J47</f>
        <v>13.273114245443</v>
      </c>
      <c r="L47" s="77" t="n">
        <v>19.5</v>
      </c>
      <c r="M47" s="78" t="n">
        <f aca="false">K47*'Plan-Annahmen'!$B$71</f>
        <v>3.9819342736329</v>
      </c>
      <c r="N47" s="78" t="n">
        <f aca="false">E47*'Plan-Annahmen'!$B$72</f>
        <v>2.3233276929566</v>
      </c>
      <c r="O47" s="78" t="n">
        <f aca="false">'Plan-Annahmen'!$B$70</f>
        <v>25</v>
      </c>
      <c r="P47" s="76" t="n">
        <f aca="false">L47+M47+N47+O47</f>
        <v>50.8052619665895</v>
      </c>
      <c r="Q47" s="35" t="n">
        <f aca="false">IF(P47&gt;'Plan-Annahmen'!$B$69,1,0)</f>
        <v>0</v>
      </c>
      <c r="R47" s="35" t="n">
        <f aca="false">IF(P47&gt;'Plan-Annahmen'!$B$68,1,0)</f>
        <v>0</v>
      </c>
      <c r="S47" s="35" t="n">
        <f aca="false">IF(K47&gt;='Plan-Annahmen'!$B$59,1,0)</f>
        <v>0</v>
      </c>
    </row>
    <row r="48" customFormat="false" ht="15" hidden="false" customHeight="true" outlineLevel="0" collapsed="false">
      <c r="A48" s="35" t="n">
        <v>12</v>
      </c>
      <c r="B48" s="73" t="n">
        <f aca="false">EDATE('Plan-Annahmen'!$B$8,A48-1)</f>
        <v>46600</v>
      </c>
      <c r="C48" s="66" t="n">
        <v>2</v>
      </c>
      <c r="D48" s="74" t="n">
        <f aca="false">IF(A48-'Plan-Annahmen'!$B$42&lt;1,0,INDEX($K$37:$K$60,A48-'Plan-Annahmen'!$B$42)*'Plan-Annahmen'!$B$36/12*'Plan-Annahmen'!$B$39*(1+'Plan-Annahmen'!$B$50*'Plan-Annahmen'!$B$51))</f>
        <v>0.0829880362428038</v>
      </c>
      <c r="E48" s="69" t="n">
        <f aca="false">C48+D48</f>
        <v>2.0829880362428</v>
      </c>
      <c r="F48" s="69" t="n">
        <f aca="false">MIN(E48,MAX(0,'Plan-Annahmen'!$B$16-H47))</f>
        <v>2.0829880362428</v>
      </c>
      <c r="G48" s="69" t="n">
        <f aca="false">E48-F48</f>
        <v>0</v>
      </c>
      <c r="H48" s="69" t="n">
        <f aca="false">H47+F48</f>
        <v>16.0339371246855</v>
      </c>
      <c r="I48" s="75" t="n">
        <f aca="false">I47*(1-'Plan-Annahmen'!$B$48)+F48</f>
        <v>15.1570055680042</v>
      </c>
      <c r="J48" s="75" t="n">
        <f aca="false">J47*(1-'Plan-Annahmen'!$B$45)+G48</f>
        <v>0</v>
      </c>
      <c r="K48" s="76" t="n">
        <f aca="false">I48+J48</f>
        <v>15.1570055680042</v>
      </c>
      <c r="L48" s="77" t="n">
        <v>19.5</v>
      </c>
      <c r="M48" s="78" t="n">
        <f aca="false">K48*'Plan-Annahmen'!$B$71</f>
        <v>4.54710167040125</v>
      </c>
      <c r="N48" s="78" t="n">
        <f aca="false">E48*'Plan-Annahmen'!$B$72</f>
        <v>2.0829880362428</v>
      </c>
      <c r="O48" s="78" t="n">
        <f aca="false">'Plan-Annahmen'!$B$70</f>
        <v>25</v>
      </c>
      <c r="P48" s="76" t="n">
        <f aca="false">L48+M48+N48+O48</f>
        <v>51.1300897066441</v>
      </c>
      <c r="Q48" s="35" t="n">
        <f aca="false">IF(P48&gt;'Plan-Annahmen'!$B$69,1,0)</f>
        <v>0</v>
      </c>
      <c r="R48" s="35" t="n">
        <f aca="false">IF(P48&gt;'Plan-Annahmen'!$B$68,1,0)</f>
        <v>0</v>
      </c>
      <c r="S48" s="35" t="n">
        <f aca="false">IF(K48&gt;='Plan-Annahmen'!$B$59,1,0)</f>
        <v>0</v>
      </c>
    </row>
    <row r="49" customFormat="false" ht="15" hidden="false" customHeight="true" outlineLevel="0" collapsed="false">
      <c r="A49" s="35" t="n">
        <v>13</v>
      </c>
      <c r="B49" s="73" t="n">
        <f aca="false">EDATE('Plan-Annahmen'!$B$8,A49-1)</f>
        <v>46631</v>
      </c>
      <c r="C49" s="66" t="n">
        <v>2</v>
      </c>
      <c r="D49" s="74" t="n">
        <f aca="false">IF(A49-'Plan-Annahmen'!$B$42&lt;1,0,INDEX($K$37:$K$60,A49-'Plan-Annahmen'!$B$42)*'Plan-Annahmen'!$B$36/12*'Plan-Annahmen'!$B$39*(1+'Plan-Annahmen'!$B$50*'Plan-Annahmen'!$B$51))</f>
        <v>0.0926377880921016</v>
      </c>
      <c r="E49" s="69" t="n">
        <f aca="false">C49+D49</f>
        <v>2.0926377880921</v>
      </c>
      <c r="F49" s="69" t="n">
        <f aca="false">MIN(E49,MAX(0,'Plan-Annahmen'!$B$16-H48))</f>
        <v>2.0926377880921</v>
      </c>
      <c r="G49" s="69" t="n">
        <f aca="false">E49-F49</f>
        <v>0</v>
      </c>
      <c r="H49" s="69" t="n">
        <f aca="false">H48+F49</f>
        <v>18.1265749127776</v>
      </c>
      <c r="I49" s="75" t="n">
        <f aca="false">I48*(1-'Plan-Annahmen'!$B$48)+F49</f>
        <v>17.0222882725762</v>
      </c>
      <c r="J49" s="75" t="n">
        <f aca="false">J48*(1-'Plan-Annahmen'!$B$45)+G49</f>
        <v>0</v>
      </c>
      <c r="K49" s="76" t="n">
        <f aca="false">I49+J49</f>
        <v>17.0222882725762</v>
      </c>
      <c r="L49" s="77" t="n">
        <v>19.5</v>
      </c>
      <c r="M49" s="78" t="n">
        <f aca="false">K49*'Plan-Annahmen'!$B$71</f>
        <v>5.10668648177286</v>
      </c>
      <c r="N49" s="78" t="n">
        <f aca="false">E49*'Plan-Annahmen'!$B$72</f>
        <v>2.0926377880921</v>
      </c>
      <c r="O49" s="78" t="n">
        <f aca="false">'Plan-Annahmen'!$B$70</f>
        <v>25</v>
      </c>
      <c r="P49" s="76" t="n">
        <f aca="false">L49+M49+N49+O49</f>
        <v>51.699324269865</v>
      </c>
      <c r="Q49" s="35" t="n">
        <f aca="false">IF(P49&gt;'Plan-Annahmen'!$B$69,1,0)</f>
        <v>0</v>
      </c>
      <c r="R49" s="35" t="n">
        <f aca="false">IF(P49&gt;'Plan-Annahmen'!$B$68,1,0)</f>
        <v>0</v>
      </c>
      <c r="S49" s="35" t="n">
        <f aca="false">IF(K49&gt;='Plan-Annahmen'!$B$59,1,0)</f>
        <v>0</v>
      </c>
    </row>
    <row r="50" customFormat="false" ht="15" hidden="false" customHeight="true" outlineLevel="0" collapsed="false">
      <c r="A50" s="35" t="n">
        <v>14</v>
      </c>
      <c r="B50" s="73" t="n">
        <f aca="false">EDATE('Plan-Annahmen'!$B$8,A50-1)</f>
        <v>46661</v>
      </c>
      <c r="C50" s="66" t="n">
        <v>2.5</v>
      </c>
      <c r="D50" s="74" t="n">
        <f aca="false">IF(A50-'Plan-Annahmen'!$B$42&lt;1,0,INDEX($K$37:$K$60,A50-'Plan-Annahmen'!$B$42)*'Plan-Annahmen'!$B$36/12*'Plan-Annahmen'!$B$39*(1+'Plan-Annahmen'!$B$50*'Plan-Annahmen'!$B$51))</f>
        <v>0.110609285378692</v>
      </c>
      <c r="E50" s="69" t="n">
        <f aca="false">C50+D50</f>
        <v>2.61060928537869</v>
      </c>
      <c r="F50" s="69" t="n">
        <f aca="false">MIN(E50,MAX(0,'Plan-Annahmen'!$B$16-H49))</f>
        <v>2.61060928537869</v>
      </c>
      <c r="G50" s="69" t="n">
        <f aca="false">E50-F50</f>
        <v>0</v>
      </c>
      <c r="H50" s="69" t="n">
        <f aca="false">H49+F50</f>
        <v>20.7371841981563</v>
      </c>
      <c r="I50" s="75" t="n">
        <f aca="false">I49*(1-'Plan-Annahmen'!$B$48)+F50</f>
        <v>19.3775632338662</v>
      </c>
      <c r="J50" s="75" t="n">
        <f aca="false">J49*(1-'Plan-Annahmen'!$B$45)+G50</f>
        <v>0</v>
      </c>
      <c r="K50" s="76" t="n">
        <f aca="false">I50+J50</f>
        <v>19.3775632338662</v>
      </c>
      <c r="L50" s="77" t="n">
        <v>19.5</v>
      </c>
      <c r="M50" s="78" t="n">
        <f aca="false">K50*'Plan-Annahmen'!$B$71</f>
        <v>5.81326897015987</v>
      </c>
      <c r="N50" s="78" t="n">
        <f aca="false">E50*'Plan-Annahmen'!$B$72</f>
        <v>2.61060928537869</v>
      </c>
      <c r="O50" s="78" t="n">
        <f aca="false">'Plan-Annahmen'!$B$70</f>
        <v>25</v>
      </c>
      <c r="P50" s="76" t="n">
        <f aca="false">L50+M50+N50+O50</f>
        <v>52.9238782555386</v>
      </c>
      <c r="Q50" s="35" t="n">
        <f aca="false">IF(P50&gt;'Plan-Annahmen'!$B$69,1,0)</f>
        <v>0</v>
      </c>
      <c r="R50" s="35" t="n">
        <f aca="false">IF(P50&gt;'Plan-Annahmen'!$B$68,1,0)</f>
        <v>0</v>
      </c>
      <c r="S50" s="35" t="n">
        <f aca="false">IF(K50&gt;='Plan-Annahmen'!$B$59,1,0)</f>
        <v>0</v>
      </c>
    </row>
    <row r="51" customFormat="false" ht="15" hidden="false" customHeight="true" outlineLevel="0" collapsed="false">
      <c r="A51" s="35" t="n">
        <v>15</v>
      </c>
      <c r="B51" s="73" t="n">
        <f aca="false">EDATE('Plan-Annahmen'!$B$8,A51-1)</f>
        <v>46692</v>
      </c>
      <c r="C51" s="66" t="n">
        <v>2</v>
      </c>
      <c r="D51" s="74" t="n">
        <f aca="false">IF(A51-'Plan-Annahmen'!$B$42&lt;1,0,INDEX($K$37:$K$60,A51-'Plan-Annahmen'!$B$42)*'Plan-Annahmen'!$B$36/12*'Plan-Annahmen'!$B$39*(1+'Plan-Annahmen'!$B$50*'Plan-Annahmen'!$B$51))</f>
        <v>0.126308379733368</v>
      </c>
      <c r="E51" s="69" t="n">
        <f aca="false">C51+D51</f>
        <v>2.12630837973337</v>
      </c>
      <c r="F51" s="69" t="n">
        <f aca="false">MIN(E51,MAX(0,'Plan-Annahmen'!$B$16-H50))</f>
        <v>2.12630837973337</v>
      </c>
      <c r="G51" s="69" t="n">
        <f aca="false">E51-F51</f>
        <v>0</v>
      </c>
      <c r="H51" s="69" t="n">
        <f aca="false">H50+F51</f>
        <v>22.8634925778897</v>
      </c>
      <c r="I51" s="75" t="n">
        <f aca="false">I50*(1-'Plan-Annahmen'!$B$48)+F51</f>
        <v>21.2132081650916</v>
      </c>
      <c r="J51" s="75" t="n">
        <f aca="false">J50*(1-'Plan-Annahmen'!$B$45)+G51</f>
        <v>0</v>
      </c>
      <c r="K51" s="76" t="n">
        <f aca="false">I51+J51</f>
        <v>21.2132081650916</v>
      </c>
      <c r="L51" s="77" t="n">
        <v>19.5</v>
      </c>
      <c r="M51" s="78" t="n">
        <f aca="false">K51*'Plan-Annahmen'!$B$71</f>
        <v>6.36396244952749</v>
      </c>
      <c r="N51" s="78" t="n">
        <f aca="false">E51*'Plan-Annahmen'!$B$72</f>
        <v>2.12630837973337</v>
      </c>
      <c r="O51" s="78" t="n">
        <f aca="false">'Plan-Annahmen'!$B$70</f>
        <v>25</v>
      </c>
      <c r="P51" s="76" t="n">
        <f aca="false">L51+M51+N51+O51</f>
        <v>52.9902708292609</v>
      </c>
      <c r="Q51" s="35" t="n">
        <f aca="false">IF(P51&gt;'Plan-Annahmen'!$B$69,1,0)</f>
        <v>0</v>
      </c>
      <c r="R51" s="35" t="n">
        <f aca="false">IF(P51&gt;'Plan-Annahmen'!$B$68,1,0)</f>
        <v>0</v>
      </c>
      <c r="S51" s="35" t="n">
        <f aca="false">IF(K51&gt;='Plan-Annahmen'!$B$59,1,0)</f>
        <v>1</v>
      </c>
    </row>
    <row r="52" customFormat="false" ht="15" hidden="false" customHeight="true" outlineLevel="0" collapsed="false">
      <c r="A52" s="35" t="n">
        <v>16</v>
      </c>
      <c r="B52" s="73" t="n">
        <f aca="false">EDATE('Plan-Annahmen'!$B$8,A52-1)</f>
        <v>46722</v>
      </c>
      <c r="C52" s="66" t="n">
        <v>2.25</v>
      </c>
      <c r="D52" s="74" t="n">
        <f aca="false">IF(A52-'Plan-Annahmen'!$B$42&lt;1,0,INDEX($K$37:$K$60,A52-'Plan-Annahmen'!$B$42)*'Plan-Annahmen'!$B$36/12*'Plan-Annahmen'!$B$39*(1+'Plan-Annahmen'!$B$50*'Plan-Annahmen'!$B$51))</f>
        <v>0.141852402271468</v>
      </c>
      <c r="E52" s="69" t="n">
        <f aca="false">C52+D52</f>
        <v>2.39185240227147</v>
      </c>
      <c r="F52" s="69" t="n">
        <f aca="false">MIN(E52,MAX(0,'Plan-Annahmen'!$B$16-H51))</f>
        <v>2.13650742211033</v>
      </c>
      <c r="G52" s="69" t="n">
        <f aca="false">E52-F52</f>
        <v>0.255344980161141</v>
      </c>
      <c r="H52" s="69" t="n">
        <f aca="false">H51+F52</f>
        <v>25</v>
      </c>
      <c r="I52" s="75" t="n">
        <f aca="false">I51*(1-'Plan-Annahmen'!$B$48)+F52</f>
        <v>23.0315174647256</v>
      </c>
      <c r="J52" s="75" t="n">
        <f aca="false">J51*(1-'Plan-Annahmen'!$B$45)+G52</f>
        <v>0.255344980161141</v>
      </c>
      <c r="K52" s="76" t="n">
        <f aca="false">I52+J52</f>
        <v>23.2868624448867</v>
      </c>
      <c r="L52" s="77" t="n">
        <v>19.5</v>
      </c>
      <c r="M52" s="78" t="n">
        <f aca="false">K52*'Plan-Annahmen'!$B$71</f>
        <v>6.98605873346601</v>
      </c>
      <c r="N52" s="78" t="n">
        <f aca="false">E52*'Plan-Annahmen'!$B$72</f>
        <v>2.39185240227147</v>
      </c>
      <c r="O52" s="78" t="n">
        <f aca="false">'Plan-Annahmen'!$B$70</f>
        <v>25</v>
      </c>
      <c r="P52" s="76" t="n">
        <f aca="false">L52+M52+N52+O52</f>
        <v>53.8779111357375</v>
      </c>
      <c r="Q52" s="35" t="n">
        <f aca="false">IF(P52&gt;'Plan-Annahmen'!$B$69,1,0)</f>
        <v>0</v>
      </c>
      <c r="R52" s="35" t="n">
        <f aca="false">IF(P52&gt;'Plan-Annahmen'!$B$68,1,0)</f>
        <v>0</v>
      </c>
      <c r="S52" s="35" t="n">
        <f aca="false">IF(K52&gt;='Plan-Annahmen'!$B$59,1,0)</f>
        <v>1</v>
      </c>
    </row>
    <row r="53" customFormat="false" ht="15" hidden="false" customHeight="true" outlineLevel="0" collapsed="false">
      <c r="A53" s="35" t="n">
        <v>17</v>
      </c>
      <c r="B53" s="73" t="n">
        <f aca="false">EDATE('Plan-Annahmen'!$B$8,A53-1)</f>
        <v>46753</v>
      </c>
      <c r="C53" s="66" t="n">
        <v>3.25</v>
      </c>
      <c r="D53" s="74" t="n">
        <f aca="false">IF(A53-'Plan-Annahmen'!$B$42&lt;1,0,INDEX($K$37:$K$60,A53-'Plan-Annahmen'!$B$42)*'Plan-Annahmen'!$B$36/12*'Plan-Annahmen'!$B$39*(1+'Plan-Annahmen'!$B$50*'Plan-Annahmen'!$B$51))</f>
        <v>0.161479693615552</v>
      </c>
      <c r="E53" s="69" t="n">
        <f aca="false">C53+D53</f>
        <v>3.41147969361555</v>
      </c>
      <c r="F53" s="69" t="n">
        <f aca="false">MIN(E53,MAX(0,'Plan-Annahmen'!$B$16-H52))</f>
        <v>0</v>
      </c>
      <c r="G53" s="69" t="n">
        <f aca="false">E53-F53</f>
        <v>3.41147969361555</v>
      </c>
      <c r="H53" s="69" t="n">
        <f aca="false">H52+F53</f>
        <v>25</v>
      </c>
      <c r="I53" s="75" t="n">
        <f aca="false">I52*(1-'Plan-Annahmen'!$B$48)+F53</f>
        <v>22.6860447027547</v>
      </c>
      <c r="J53" s="75" t="n">
        <f aca="false">J52*(1-'Plan-Annahmen'!$B$45)+G53</f>
        <v>3.65661087457025</v>
      </c>
      <c r="K53" s="76" t="n">
        <f aca="false">I53+J53</f>
        <v>26.3426555773249</v>
      </c>
      <c r="L53" s="77" t="n">
        <v>19.5</v>
      </c>
      <c r="M53" s="78" t="n">
        <f aca="false">K53*'Plan-Annahmen'!$B$71</f>
        <v>7.90279667319748</v>
      </c>
      <c r="N53" s="78" t="n">
        <f aca="false">E53*'Plan-Annahmen'!$B$72</f>
        <v>3.41147969361555</v>
      </c>
      <c r="O53" s="78" t="n">
        <f aca="false">'Plan-Annahmen'!$B$70</f>
        <v>25</v>
      </c>
      <c r="P53" s="76" t="n">
        <f aca="false">L53+M53+N53+O53</f>
        <v>55.814276366813</v>
      </c>
      <c r="Q53" s="35" t="n">
        <f aca="false">IF(P53&gt;'Plan-Annahmen'!$B$69,1,0)</f>
        <v>0</v>
      </c>
      <c r="R53" s="35" t="n">
        <f aca="false">IF(P53&gt;'Plan-Annahmen'!$B$68,1,0)</f>
        <v>0</v>
      </c>
      <c r="S53" s="35" t="n">
        <f aca="false">IF(K53&gt;='Plan-Annahmen'!$B$59,1,0)</f>
        <v>1</v>
      </c>
    </row>
    <row r="54" customFormat="false" ht="15" hidden="false" customHeight="true" outlineLevel="0" collapsed="false">
      <c r="A54" s="35" t="n">
        <v>18</v>
      </c>
      <c r="B54" s="73" t="n">
        <f aca="false">EDATE('Plan-Annahmen'!$B$8,A54-1)</f>
        <v>46784</v>
      </c>
      <c r="C54" s="66" t="n">
        <v>2.75</v>
      </c>
      <c r="D54" s="74" t="n">
        <f aca="false">IF(A54-'Plan-Annahmen'!$B$42&lt;1,0,INDEX($K$37:$K$60,A54-'Plan-Annahmen'!$B$42)*'Plan-Annahmen'!$B$36/12*'Plan-Annahmen'!$B$39*(1+'Plan-Annahmen'!$B$50*'Plan-Annahmen'!$B$51))</f>
        <v>0.176776734709097</v>
      </c>
      <c r="E54" s="69" t="n">
        <f aca="false">C54+D54</f>
        <v>2.9267767347091</v>
      </c>
      <c r="F54" s="69" t="n">
        <f aca="false">MIN(E54,MAX(0,'Plan-Annahmen'!$B$16-H53))</f>
        <v>0</v>
      </c>
      <c r="G54" s="69" t="n">
        <f aca="false">E54-F54</f>
        <v>2.9267767347091</v>
      </c>
      <c r="H54" s="69" t="n">
        <f aca="false">H53+F54</f>
        <v>25</v>
      </c>
      <c r="I54" s="75" t="n">
        <f aca="false">I53*(1-'Plan-Annahmen'!$B$48)+F54</f>
        <v>22.3457540322134</v>
      </c>
      <c r="J54" s="75" t="n">
        <f aca="false">J53*(1-'Plan-Annahmen'!$B$45)+G54</f>
        <v>6.43712317429653</v>
      </c>
      <c r="K54" s="76" t="n">
        <f aca="false">I54+J54</f>
        <v>28.7828772065099</v>
      </c>
      <c r="L54" s="77" t="n">
        <v>19.5</v>
      </c>
      <c r="M54" s="78" t="n">
        <f aca="false">K54*'Plan-Annahmen'!$B$71</f>
        <v>8.63486316195297</v>
      </c>
      <c r="N54" s="78" t="n">
        <f aca="false">E54*'Plan-Annahmen'!$B$72</f>
        <v>2.9267767347091</v>
      </c>
      <c r="O54" s="78" t="n">
        <f aca="false">'Plan-Annahmen'!$B$70</f>
        <v>25</v>
      </c>
      <c r="P54" s="76" t="n">
        <f aca="false">L54+M54+N54+O54</f>
        <v>56.0616398966621</v>
      </c>
      <c r="Q54" s="35" t="n">
        <f aca="false">IF(P54&gt;'Plan-Annahmen'!$B$69,1,0)</f>
        <v>0</v>
      </c>
      <c r="R54" s="35" t="n">
        <f aca="false">IF(P54&gt;'Plan-Annahmen'!$B$68,1,0)</f>
        <v>0</v>
      </c>
      <c r="S54" s="35" t="n">
        <f aca="false">IF(K54&gt;='Plan-Annahmen'!$B$59,1,0)</f>
        <v>1</v>
      </c>
    </row>
    <row r="55" customFormat="false" ht="15" hidden="false" customHeight="true" outlineLevel="0" collapsed="false">
      <c r="A55" s="35" t="n">
        <v>19</v>
      </c>
      <c r="B55" s="73" t="n">
        <f aca="false">EDATE('Plan-Annahmen'!$B$8,A55-1)</f>
        <v>46813</v>
      </c>
      <c r="C55" s="66" t="n">
        <v>3.25</v>
      </c>
      <c r="D55" s="74" t="n">
        <f aca="false">IF(A55-'Plan-Annahmen'!$B$42&lt;1,0,INDEX($K$37:$K$60,A55-'Plan-Annahmen'!$B$42)*'Plan-Annahmen'!$B$36/12*'Plan-Annahmen'!$B$39*(1+'Plan-Annahmen'!$B$50*'Plan-Annahmen'!$B$51))</f>
        <v>0.194057187040723</v>
      </c>
      <c r="E55" s="69" t="n">
        <f aca="false">C55+D55</f>
        <v>3.44405718704072</v>
      </c>
      <c r="F55" s="69" t="n">
        <f aca="false">MIN(E55,MAX(0,'Plan-Annahmen'!$B$16-H54))</f>
        <v>0</v>
      </c>
      <c r="G55" s="69" t="n">
        <f aca="false">E55-F55</f>
        <v>3.44405718704072</v>
      </c>
      <c r="H55" s="69" t="n">
        <f aca="false">H54+F55</f>
        <v>25</v>
      </c>
      <c r="I55" s="75" t="n">
        <f aca="false">I54*(1-'Plan-Annahmen'!$B$48)+F55</f>
        <v>22.0105677217302</v>
      </c>
      <c r="J55" s="75" t="n">
        <f aca="false">J54*(1-'Plan-Annahmen'!$B$45)+G55</f>
        <v>9.6236954343654</v>
      </c>
      <c r="K55" s="76" t="n">
        <f aca="false">I55+J55</f>
        <v>31.6342631560956</v>
      </c>
      <c r="L55" s="77" t="n">
        <v>19.5</v>
      </c>
      <c r="M55" s="78" t="n">
        <f aca="false">K55*'Plan-Annahmen'!$B$71</f>
        <v>9.49027894682867</v>
      </c>
      <c r="N55" s="78" t="n">
        <f aca="false">E55*'Plan-Annahmen'!$B$72</f>
        <v>3.44405718704072</v>
      </c>
      <c r="O55" s="78" t="n">
        <f aca="false">'Plan-Annahmen'!$B$70</f>
        <v>25</v>
      </c>
      <c r="P55" s="76" t="n">
        <f aca="false">L55+M55+N55+O55</f>
        <v>57.4343361338694</v>
      </c>
      <c r="Q55" s="35" t="n">
        <f aca="false">IF(P55&gt;'Plan-Annahmen'!$B$69,1,0)</f>
        <v>0</v>
      </c>
      <c r="R55" s="35" t="n">
        <f aca="false">IF(P55&gt;'Plan-Annahmen'!$B$68,1,0)</f>
        <v>0</v>
      </c>
      <c r="S55" s="35" t="n">
        <f aca="false">IF(K55&gt;='Plan-Annahmen'!$B$59,1,0)</f>
        <v>1</v>
      </c>
    </row>
    <row r="56" customFormat="false" ht="15" hidden="false" customHeight="true" outlineLevel="0" collapsed="false">
      <c r="A56" s="35" t="n">
        <v>20</v>
      </c>
      <c r="B56" s="73" t="n">
        <f aca="false">EDATE('Plan-Annahmen'!$B$8,A56-1)</f>
        <v>46844</v>
      </c>
      <c r="C56" s="66" t="n">
        <v>4</v>
      </c>
      <c r="D56" s="74" t="n">
        <f aca="false">IF(A56-'Plan-Annahmen'!$B$42&lt;1,0,INDEX($K$37:$K$60,A56-'Plan-Annahmen'!$B$42)*'Plan-Annahmen'!$B$36/12*'Plan-Annahmen'!$B$39*(1+'Plan-Annahmen'!$B$50*'Plan-Annahmen'!$B$51))</f>
        <v>0.219522129811041</v>
      </c>
      <c r="E56" s="69" t="n">
        <f aca="false">C56+D56</f>
        <v>4.21952212981104</v>
      </c>
      <c r="F56" s="69" t="n">
        <f aca="false">MIN(E56,MAX(0,'Plan-Annahmen'!$B$16-H55))</f>
        <v>0</v>
      </c>
      <c r="G56" s="69" t="n">
        <f aca="false">E56-F56</f>
        <v>4.21952212981104</v>
      </c>
      <c r="H56" s="69" t="n">
        <f aca="false">H55+F56</f>
        <v>25</v>
      </c>
      <c r="I56" s="75" t="n">
        <f aca="false">I55*(1-'Plan-Annahmen'!$B$48)+F56</f>
        <v>21.6804092059042</v>
      </c>
      <c r="J56" s="75" t="n">
        <f aca="false">J55*(1-'Plan-Annahmen'!$B$45)+G56</f>
        <v>13.4582697468018</v>
      </c>
      <c r="K56" s="76" t="n">
        <f aca="false">I56+J56</f>
        <v>35.138678952706</v>
      </c>
      <c r="L56" s="77" t="n">
        <v>19.5</v>
      </c>
      <c r="M56" s="78" t="n">
        <f aca="false">K56*'Plan-Annahmen'!$B$71</f>
        <v>10.5416036858118</v>
      </c>
      <c r="N56" s="78" t="n">
        <f aca="false">E56*'Plan-Annahmen'!$B$72</f>
        <v>4.21952212981104</v>
      </c>
      <c r="O56" s="78" t="n">
        <f aca="false">'Plan-Annahmen'!$B$70</f>
        <v>25</v>
      </c>
      <c r="P56" s="76" t="n">
        <f aca="false">L56+M56+N56+O56</f>
        <v>59.2611258156229</v>
      </c>
      <c r="Q56" s="35" t="n">
        <f aca="false">IF(P56&gt;'Plan-Annahmen'!$B$69,1,0)</f>
        <v>0</v>
      </c>
      <c r="R56" s="35" t="n">
        <f aca="false">IF(P56&gt;'Plan-Annahmen'!$B$68,1,0)</f>
        <v>0</v>
      </c>
      <c r="S56" s="35" t="n">
        <f aca="false">IF(K56&gt;='Plan-Annahmen'!$B$59,1,0)</f>
        <v>1</v>
      </c>
    </row>
    <row r="57" customFormat="false" ht="15" hidden="false" customHeight="true" outlineLevel="0" collapsed="false">
      <c r="A57" s="35" t="n">
        <v>21</v>
      </c>
      <c r="B57" s="73" t="n">
        <f aca="false">EDATE('Plan-Annahmen'!$B$8,A57-1)</f>
        <v>46874</v>
      </c>
      <c r="C57" s="66" t="n">
        <v>3.5</v>
      </c>
      <c r="D57" s="74" t="n">
        <f aca="false">IF(A57-'Plan-Annahmen'!$B$42&lt;1,0,INDEX($K$37:$K$60,A57-'Plan-Annahmen'!$B$42)*'Plan-Annahmen'!$B$36/12*'Plan-Annahmen'!$B$39*(1+'Plan-Annahmen'!$B$50*'Plan-Annahmen'!$B$51))</f>
        <v>0.239857310054249</v>
      </c>
      <c r="E57" s="69" t="n">
        <f aca="false">C57+D57</f>
        <v>3.73985731005425</v>
      </c>
      <c r="F57" s="69" t="n">
        <f aca="false">MIN(E57,MAX(0,'Plan-Annahmen'!$B$16-H56))</f>
        <v>0</v>
      </c>
      <c r="G57" s="69" t="n">
        <f aca="false">E57-F57</f>
        <v>3.73985731005425</v>
      </c>
      <c r="H57" s="69" t="n">
        <f aca="false">H56+F57</f>
        <v>25</v>
      </c>
      <c r="I57" s="75" t="n">
        <f aca="false">I56*(1-'Plan-Annahmen'!$B$48)+F57</f>
        <v>21.3552030678156</v>
      </c>
      <c r="J57" s="75" t="n">
        <f aca="false">J56*(1-'Plan-Annahmen'!$B$45)+G57</f>
        <v>16.659796266984</v>
      </c>
      <c r="K57" s="76" t="n">
        <f aca="false">I57+J57</f>
        <v>38.0149993347996</v>
      </c>
      <c r="L57" s="77" t="n">
        <v>19.5</v>
      </c>
      <c r="M57" s="78" t="n">
        <f aca="false">K57*'Plan-Annahmen'!$B$71</f>
        <v>11.4044998004399</v>
      </c>
      <c r="N57" s="78" t="n">
        <f aca="false">E57*'Plan-Annahmen'!$B$72</f>
        <v>3.73985731005425</v>
      </c>
      <c r="O57" s="78" t="n">
        <f aca="false">'Plan-Annahmen'!$B$70</f>
        <v>25</v>
      </c>
      <c r="P57" s="76" t="n">
        <f aca="false">L57+M57+N57+O57</f>
        <v>59.6443571104941</v>
      </c>
      <c r="Q57" s="35" t="n">
        <f aca="false">IF(P57&gt;'Plan-Annahmen'!$B$69,1,0)</f>
        <v>0</v>
      </c>
      <c r="R57" s="35" t="n">
        <f aca="false">IF(P57&gt;'Plan-Annahmen'!$B$68,1,0)</f>
        <v>0</v>
      </c>
      <c r="S57" s="35" t="n">
        <f aca="false">IF(K57&gt;='Plan-Annahmen'!$B$59,1,0)</f>
        <v>1</v>
      </c>
    </row>
    <row r="58" customFormat="false" ht="15" hidden="false" customHeight="true" outlineLevel="0" collapsed="false">
      <c r="A58" s="35" t="n">
        <v>22</v>
      </c>
      <c r="B58" s="73" t="n">
        <f aca="false">EDATE('Plan-Annahmen'!$B$8,A58-1)</f>
        <v>46905</v>
      </c>
      <c r="C58" s="66" t="n">
        <v>3.5</v>
      </c>
      <c r="D58" s="74" t="n">
        <f aca="false">IF(A58-'Plan-Annahmen'!$B$42&lt;1,0,INDEX($K$37:$K$60,A58-'Plan-Annahmen'!$B$42)*'Plan-Annahmen'!$B$36/12*'Plan-Annahmen'!$B$39*(1+'Plan-Annahmen'!$B$50*'Plan-Annahmen'!$B$51))</f>
        <v>0.26361885963413</v>
      </c>
      <c r="E58" s="69" t="n">
        <f aca="false">C58+D58</f>
        <v>3.76361885963413</v>
      </c>
      <c r="F58" s="69" t="n">
        <f aca="false">MIN(E58,MAX(0,'Plan-Annahmen'!$B$16-H57))</f>
        <v>0</v>
      </c>
      <c r="G58" s="69" t="n">
        <f aca="false">E58-F58</f>
        <v>3.76361885963413</v>
      </c>
      <c r="H58" s="69" t="n">
        <f aca="false">H57+F58</f>
        <v>25</v>
      </c>
      <c r="I58" s="75" t="n">
        <f aca="false">I57*(1-'Plan-Annahmen'!$B$48)+F58</f>
        <v>21.0348750217984</v>
      </c>
      <c r="J58" s="75" t="n">
        <f aca="false">J57*(1-'Plan-Annahmen'!$B$45)+G58</f>
        <v>19.7570232759388</v>
      </c>
      <c r="K58" s="76" t="n">
        <f aca="false">I58+J58</f>
        <v>40.7918982977372</v>
      </c>
      <c r="L58" s="77" t="n">
        <v>19.5</v>
      </c>
      <c r="M58" s="78" t="n">
        <f aca="false">K58*'Plan-Annahmen'!$B$71</f>
        <v>12.2375694893212</v>
      </c>
      <c r="N58" s="78" t="n">
        <f aca="false">E58*'Plan-Annahmen'!$B$72</f>
        <v>3.76361885963413</v>
      </c>
      <c r="O58" s="78" t="n">
        <f aca="false">'Plan-Annahmen'!$B$70</f>
        <v>25</v>
      </c>
      <c r="P58" s="76" t="n">
        <f aca="false">L58+M58+N58+O58</f>
        <v>60.5011883489553</v>
      </c>
      <c r="Q58" s="35" t="n">
        <f aca="false">IF(P58&gt;'Plan-Annahmen'!$B$69,1,0)</f>
        <v>0</v>
      </c>
      <c r="R58" s="35" t="n">
        <f aca="false">IF(P58&gt;'Plan-Annahmen'!$B$68,1,0)</f>
        <v>0</v>
      </c>
      <c r="S58" s="35" t="n">
        <f aca="false">IF(K58&gt;='Plan-Annahmen'!$B$59,1,0)</f>
        <v>1</v>
      </c>
    </row>
    <row r="59" customFormat="false" ht="15" hidden="false" customHeight="true" outlineLevel="0" collapsed="false">
      <c r="A59" s="35" t="n">
        <v>23</v>
      </c>
      <c r="B59" s="73" t="n">
        <f aca="false">EDATE('Plan-Annahmen'!$B$8,A59-1)</f>
        <v>46935</v>
      </c>
      <c r="C59" s="66" t="n">
        <v>4</v>
      </c>
      <c r="D59" s="74" t="n">
        <f aca="false">IF(A59-'Plan-Annahmen'!$B$42&lt;1,0,INDEX($K$37:$K$60,A59-'Plan-Annahmen'!$B$42)*'Plan-Annahmen'!$B$36/12*'Plan-Annahmen'!$B$39*(1+'Plan-Annahmen'!$B$50*'Plan-Annahmen'!$B$51))</f>
        <v>0.292822324605884</v>
      </c>
      <c r="E59" s="69" t="n">
        <f aca="false">C59+D59</f>
        <v>4.29282232460588</v>
      </c>
      <c r="F59" s="69" t="n">
        <f aca="false">MIN(E59,MAX(0,'Plan-Annahmen'!$B$16-H58))</f>
        <v>0</v>
      </c>
      <c r="G59" s="69" t="n">
        <f aca="false">E59-F59</f>
        <v>4.29282232460588</v>
      </c>
      <c r="H59" s="69" t="n">
        <f aca="false">H58+F59</f>
        <v>25</v>
      </c>
      <c r="I59" s="75" t="n">
        <f aca="false">I58*(1-'Plan-Annahmen'!$B$48)+F59</f>
        <v>20.7193518964714</v>
      </c>
      <c r="J59" s="75" t="n">
        <f aca="false">J58*(1-'Plan-Annahmen'!$B$45)+G59</f>
        <v>23.2595646695071</v>
      </c>
      <c r="K59" s="76" t="n">
        <f aca="false">I59+J59</f>
        <v>43.9789165659785</v>
      </c>
      <c r="L59" s="77" t="n">
        <v>19.5</v>
      </c>
      <c r="M59" s="78" t="n">
        <f aca="false">K59*'Plan-Annahmen'!$B$71</f>
        <v>13.1936749697936</v>
      </c>
      <c r="N59" s="78" t="n">
        <f aca="false">E59*'Plan-Annahmen'!$B$72</f>
        <v>4.29282232460588</v>
      </c>
      <c r="O59" s="78" t="n">
        <f aca="false">'Plan-Annahmen'!$B$70</f>
        <v>25</v>
      </c>
      <c r="P59" s="76" t="n">
        <f aca="false">L59+M59+N59+O59</f>
        <v>61.9864972943995</v>
      </c>
      <c r="Q59" s="35" t="n">
        <f aca="false">IF(P59&gt;'Plan-Annahmen'!$B$69,1,0)</f>
        <v>0</v>
      </c>
      <c r="R59" s="35" t="n">
        <f aca="false">IF(P59&gt;'Plan-Annahmen'!$B$68,1,0)</f>
        <v>0</v>
      </c>
      <c r="S59" s="35" t="n">
        <f aca="false">IF(K59&gt;='Plan-Annahmen'!$B$59,1,0)</f>
        <v>1</v>
      </c>
    </row>
    <row r="60" customFormat="false" ht="15" hidden="false" customHeight="true" outlineLevel="0" collapsed="false">
      <c r="A60" s="35" t="n">
        <v>24</v>
      </c>
      <c r="B60" s="73" t="n">
        <f aca="false">EDATE('Plan-Annahmen'!$B$8,A60-1)</f>
        <v>46966</v>
      </c>
      <c r="C60" s="66" t="n">
        <v>3.5</v>
      </c>
      <c r="D60" s="74" t="n">
        <f aca="false">IF(A60-'Plan-Annahmen'!$B$42&lt;1,0,INDEX($K$37:$K$60,A60-'Plan-Annahmen'!$B$42)*'Plan-Annahmen'!$B$36/12*'Plan-Annahmen'!$B$39*(1+'Plan-Annahmen'!$B$50*'Plan-Annahmen'!$B$51))</f>
        <v>0.31679166112333</v>
      </c>
      <c r="E60" s="69" t="n">
        <f aca="false">C60+D60</f>
        <v>3.81679166112333</v>
      </c>
      <c r="F60" s="69" t="n">
        <f aca="false">MIN(E60,MAX(0,'Plan-Annahmen'!$B$16-H59))</f>
        <v>0</v>
      </c>
      <c r="G60" s="69" t="n">
        <f aca="false">E60-F60</f>
        <v>3.81679166112333</v>
      </c>
      <c r="H60" s="69" t="n">
        <f aca="false">H59+F60</f>
        <v>25</v>
      </c>
      <c r="I60" s="75" t="n">
        <f aca="false">I59*(1-'Plan-Annahmen'!$B$48)+F60</f>
        <v>20.4085616180244</v>
      </c>
      <c r="J60" s="75" t="n">
        <f aca="false">J59*(1-'Plan-Annahmen'!$B$45)+G60</f>
        <v>26.1459737438501</v>
      </c>
      <c r="K60" s="76" t="n">
        <f aca="false">I60+J60</f>
        <v>46.5545353618745</v>
      </c>
      <c r="L60" s="77" t="n">
        <v>19.5</v>
      </c>
      <c r="M60" s="78" t="n">
        <f aca="false">K60*'Plan-Annahmen'!$B$71</f>
        <v>13.9663606085624</v>
      </c>
      <c r="N60" s="78" t="n">
        <f aca="false">E60*'Plan-Annahmen'!$B$72</f>
        <v>3.81679166112333</v>
      </c>
      <c r="O60" s="78" t="n">
        <f aca="false">'Plan-Annahmen'!$B$70</f>
        <v>25</v>
      </c>
      <c r="P60" s="76" t="n">
        <f aca="false">L60+M60+N60+O60</f>
        <v>62.2831522696857</v>
      </c>
      <c r="Q60" s="35" t="n">
        <f aca="false">IF(P60&gt;'Plan-Annahmen'!$B$69,1,0)</f>
        <v>0</v>
      </c>
      <c r="R60" s="35" t="n">
        <f aca="false">IF(P60&gt;'Plan-Annahmen'!$B$68,1,0)</f>
        <v>0</v>
      </c>
      <c r="S60" s="35" t="n">
        <f aca="false">IF(K60&gt;='Plan-Annahmen'!$B$59,1,0)</f>
        <v>1</v>
      </c>
    </row>
    <row r="61" customFormat="false" ht="15" hidden="false" customHeight="true" outlineLevel="0" collapsed="false">
      <c r="A61" s="14" t="s">
        <v>511</v>
      </c>
      <c r="B61" s="15"/>
      <c r="C61" s="79" t="n">
        <f aca="false">SUM(C37:C60)</f>
        <v>52.25</v>
      </c>
      <c r="D61" s="79" t="n">
        <f aca="false">SUM(D37:D60)</f>
        <v>2.62027088075515</v>
      </c>
      <c r="E61" s="79" t="n">
        <f aca="false">SUM(E37:E60)</f>
        <v>54.8702708807552</v>
      </c>
      <c r="F61" s="15"/>
      <c r="G61" s="15"/>
      <c r="H61" s="15"/>
      <c r="I61" s="15"/>
      <c r="J61" s="15"/>
      <c r="K61" s="79" t="n">
        <f aca="false">K60</f>
        <v>46.5545353618745</v>
      </c>
      <c r="L61" s="15"/>
      <c r="M61" s="15"/>
      <c r="N61" s="15"/>
      <c r="O61" s="15"/>
      <c r="P61" s="15"/>
      <c r="Q61" s="59" t="n">
        <f aca="false">SUM(Q37:Q60)</f>
        <v>0</v>
      </c>
      <c r="R61" s="59" t="n">
        <f aca="false">SUM(R37:R60)</f>
        <v>0</v>
      </c>
      <c r="S61" s="59" t="n">
        <f aca="false">IFERROR(INDEX($A$37:$A$60,MATCH(1,$S$37:$S$60,0)),999)</f>
        <v>15</v>
      </c>
    </row>
    <row r="64" customFormat="false" ht="15" hidden="false" customHeight="true" outlineLevel="0" collapsed="false">
      <c r="A64" s="49" t="s">
        <v>514</v>
      </c>
      <c r="C64" s="72" t="s">
        <v>515</v>
      </c>
    </row>
    <row r="65" customFormat="false" ht="39" hidden="false" customHeight="true" outlineLevel="0" collapsed="false">
      <c r="A65" s="4" t="s">
        <v>492</v>
      </c>
      <c r="B65" s="4" t="s">
        <v>493</v>
      </c>
      <c r="C65" s="4" t="s">
        <v>494</v>
      </c>
      <c r="D65" s="4" t="s">
        <v>495</v>
      </c>
      <c r="E65" s="4" t="s">
        <v>496</v>
      </c>
      <c r="F65" s="4" t="s">
        <v>497</v>
      </c>
      <c r="G65" s="4" t="s">
        <v>498</v>
      </c>
      <c r="H65" s="4" t="s">
        <v>499</v>
      </c>
      <c r="I65" s="4" t="s">
        <v>500</v>
      </c>
      <c r="J65" s="4" t="s">
        <v>501</v>
      </c>
      <c r="K65" s="4" t="s">
        <v>502</v>
      </c>
      <c r="L65" s="4" t="s">
        <v>503</v>
      </c>
      <c r="M65" s="4" t="s">
        <v>504</v>
      </c>
      <c r="N65" s="4" t="s">
        <v>505</v>
      </c>
      <c r="O65" s="4" t="s">
        <v>506</v>
      </c>
      <c r="P65" s="4" t="s">
        <v>507</v>
      </c>
      <c r="Q65" s="4" t="s">
        <v>508</v>
      </c>
      <c r="R65" s="4" t="s">
        <v>509</v>
      </c>
      <c r="S65" s="4" t="s">
        <v>510</v>
      </c>
    </row>
    <row r="66" customFormat="false" ht="15" hidden="false" customHeight="true" outlineLevel="0" collapsed="false">
      <c r="A66" s="35" t="n">
        <v>1</v>
      </c>
      <c r="B66" s="73" t="n">
        <f aca="false">EDATE('Plan-Annahmen'!$B$8,A66-1)</f>
        <v>46266</v>
      </c>
      <c r="C66" s="66" t="n">
        <v>0</v>
      </c>
      <c r="D66" s="74" t="n">
        <f aca="false">IF(A66-'Plan-Annahmen'!$B$43&lt;1,0,INDEX($K$66:$K$89,A66-'Plan-Annahmen'!$B$43)*'Plan-Annahmen'!$B$37/12*'Plan-Annahmen'!$B$40*(1+'Plan-Annahmen'!$B$50*'Plan-Annahmen'!$B$51))</f>
        <v>0</v>
      </c>
      <c r="E66" s="69" t="n">
        <f aca="false">C66+D66</f>
        <v>0</v>
      </c>
      <c r="F66" s="69" t="n">
        <f aca="false">MIN(E66,MAX(0,'Plan-Annahmen'!$B$16-0))</f>
        <v>0</v>
      </c>
      <c r="G66" s="69" t="n">
        <f aca="false">E66-F66</f>
        <v>0</v>
      </c>
      <c r="H66" s="69" t="n">
        <f aca="false">0+F66</f>
        <v>0</v>
      </c>
      <c r="I66" s="75" t="n">
        <f aca="false">0*(1-'Plan-Annahmen'!$B$49)+F66</f>
        <v>0</v>
      </c>
      <c r="J66" s="75" t="n">
        <f aca="false">0*(1-'Plan-Annahmen'!$B$46)+G66</f>
        <v>0</v>
      </c>
      <c r="K66" s="76" t="n">
        <f aca="false">I66+J66</f>
        <v>0</v>
      </c>
      <c r="L66" s="77" t="n">
        <v>4</v>
      </c>
      <c r="M66" s="78" t="n">
        <f aca="false">K66*'Plan-Annahmen'!$B$71</f>
        <v>0</v>
      </c>
      <c r="N66" s="78" t="n">
        <f aca="false">E66*'Plan-Annahmen'!$B$72</f>
        <v>0</v>
      </c>
      <c r="O66" s="78" t="n">
        <f aca="false">'Plan-Annahmen'!$B$70</f>
        <v>25</v>
      </c>
      <c r="P66" s="76" t="n">
        <f aca="false">L66+M66+N66+O66</f>
        <v>29</v>
      </c>
      <c r="Q66" s="35" t="n">
        <f aca="false">IF(P66&gt;'Plan-Annahmen'!$B$69,1,0)</f>
        <v>0</v>
      </c>
      <c r="R66" s="35" t="n">
        <f aca="false">IF(P66&gt;'Plan-Annahmen'!$B$68,1,0)</f>
        <v>0</v>
      </c>
      <c r="S66" s="35" t="n">
        <f aca="false">IF(K66&gt;='Plan-Annahmen'!$B$59,1,0)</f>
        <v>0</v>
      </c>
    </row>
    <row r="67" customFormat="false" ht="15" hidden="false" customHeight="true" outlineLevel="0" collapsed="false">
      <c r="A67" s="35" t="n">
        <v>2</v>
      </c>
      <c r="B67" s="73" t="n">
        <f aca="false">EDATE('Plan-Annahmen'!$B$8,A67-1)</f>
        <v>46296</v>
      </c>
      <c r="C67" s="66" t="n">
        <v>0</v>
      </c>
      <c r="D67" s="74" t="n">
        <f aca="false">IF(A67-'Plan-Annahmen'!$B$43&lt;1,0,INDEX($K$66:$K$89,A67-'Plan-Annahmen'!$B$43)*'Plan-Annahmen'!$B$37/12*'Plan-Annahmen'!$B$40*(1+'Plan-Annahmen'!$B$50*'Plan-Annahmen'!$B$51))</f>
        <v>0</v>
      </c>
      <c r="E67" s="69" t="n">
        <f aca="false">C67+D67</f>
        <v>0</v>
      </c>
      <c r="F67" s="69" t="n">
        <f aca="false">MIN(E67,MAX(0,'Plan-Annahmen'!$B$16-H66))</f>
        <v>0</v>
      </c>
      <c r="G67" s="69" t="n">
        <f aca="false">E67-F67</f>
        <v>0</v>
      </c>
      <c r="H67" s="69" t="n">
        <f aca="false">H66+F67</f>
        <v>0</v>
      </c>
      <c r="I67" s="75" t="n">
        <f aca="false">I66*(1-'Plan-Annahmen'!$B$49)+F67</f>
        <v>0</v>
      </c>
      <c r="J67" s="75" t="n">
        <f aca="false">J66*(1-'Plan-Annahmen'!$B$46)+G67</f>
        <v>0</v>
      </c>
      <c r="K67" s="76" t="n">
        <f aca="false">I67+J67</f>
        <v>0</v>
      </c>
      <c r="L67" s="77" t="n">
        <v>18</v>
      </c>
      <c r="M67" s="78" t="n">
        <f aca="false">K67*'Plan-Annahmen'!$B$71</f>
        <v>0</v>
      </c>
      <c r="N67" s="78" t="n">
        <f aca="false">E67*'Plan-Annahmen'!$B$72</f>
        <v>0</v>
      </c>
      <c r="O67" s="78" t="n">
        <f aca="false">'Plan-Annahmen'!$B$70</f>
        <v>25</v>
      </c>
      <c r="P67" s="76" t="n">
        <f aca="false">L67+M67+N67+O67</f>
        <v>43</v>
      </c>
      <c r="Q67" s="35" t="n">
        <f aca="false">IF(P67&gt;'Plan-Annahmen'!$B$69,1,0)</f>
        <v>0</v>
      </c>
      <c r="R67" s="35" t="n">
        <f aca="false">IF(P67&gt;'Plan-Annahmen'!$B$68,1,0)</f>
        <v>0</v>
      </c>
      <c r="S67" s="35" t="n">
        <f aca="false">IF(K67&gt;='Plan-Annahmen'!$B$59,1,0)</f>
        <v>0</v>
      </c>
    </row>
    <row r="68" customFormat="false" ht="15" hidden="false" customHeight="true" outlineLevel="0" collapsed="false">
      <c r="A68" s="35" t="n">
        <v>3</v>
      </c>
      <c r="B68" s="73" t="n">
        <f aca="false">EDATE('Plan-Annahmen'!$B$8,A68-1)</f>
        <v>46327</v>
      </c>
      <c r="C68" s="66" t="n">
        <v>0</v>
      </c>
      <c r="D68" s="74" t="n">
        <f aca="false">IF(A68-'Plan-Annahmen'!$B$43&lt;1,0,INDEX($K$66:$K$89,A68-'Plan-Annahmen'!$B$43)*'Plan-Annahmen'!$B$37/12*'Plan-Annahmen'!$B$40*(1+'Plan-Annahmen'!$B$50*'Plan-Annahmen'!$B$51))</f>
        <v>0</v>
      </c>
      <c r="E68" s="69" t="n">
        <f aca="false">C68+D68</f>
        <v>0</v>
      </c>
      <c r="F68" s="69" t="n">
        <f aca="false">MIN(E68,MAX(0,'Plan-Annahmen'!$B$16-H67))</f>
        <v>0</v>
      </c>
      <c r="G68" s="69" t="n">
        <f aca="false">E68-F68</f>
        <v>0</v>
      </c>
      <c r="H68" s="69" t="n">
        <f aca="false">H67+F68</f>
        <v>0</v>
      </c>
      <c r="I68" s="75" t="n">
        <f aca="false">I67*(1-'Plan-Annahmen'!$B$49)+F68</f>
        <v>0</v>
      </c>
      <c r="J68" s="75" t="n">
        <f aca="false">J67*(1-'Plan-Annahmen'!$B$46)+G68</f>
        <v>0</v>
      </c>
      <c r="K68" s="76" t="n">
        <f aca="false">I68+J68</f>
        <v>0</v>
      </c>
      <c r="L68" s="77" t="n">
        <v>5</v>
      </c>
      <c r="M68" s="78" t="n">
        <f aca="false">K68*'Plan-Annahmen'!$B$71</f>
        <v>0</v>
      </c>
      <c r="N68" s="78" t="n">
        <f aca="false">E68*'Plan-Annahmen'!$B$72</f>
        <v>0</v>
      </c>
      <c r="O68" s="78" t="n">
        <f aca="false">'Plan-Annahmen'!$B$70</f>
        <v>25</v>
      </c>
      <c r="P68" s="76" t="n">
        <f aca="false">L68+M68+N68+O68</f>
        <v>30</v>
      </c>
      <c r="Q68" s="35" t="n">
        <f aca="false">IF(P68&gt;'Plan-Annahmen'!$B$69,1,0)</f>
        <v>0</v>
      </c>
      <c r="R68" s="35" t="n">
        <f aca="false">IF(P68&gt;'Plan-Annahmen'!$B$68,1,0)</f>
        <v>0</v>
      </c>
      <c r="S68" s="35" t="n">
        <f aca="false">IF(K68&gt;='Plan-Annahmen'!$B$59,1,0)</f>
        <v>0</v>
      </c>
    </row>
    <row r="69" customFormat="false" ht="15" hidden="false" customHeight="true" outlineLevel="0" collapsed="false">
      <c r="A69" s="35" t="n">
        <v>4</v>
      </c>
      <c r="B69" s="73" t="n">
        <f aca="false">EDATE('Plan-Annahmen'!$B$8,A69-1)</f>
        <v>46357</v>
      </c>
      <c r="C69" s="66" t="n">
        <v>1</v>
      </c>
      <c r="D69" s="74" t="n">
        <f aca="false">IF(A69-'Plan-Annahmen'!$B$43&lt;1,0,INDEX($K$66:$K$89,A69-'Plan-Annahmen'!$B$43)*'Plan-Annahmen'!$B$37/12*'Plan-Annahmen'!$B$40*(1+'Plan-Annahmen'!$B$50*'Plan-Annahmen'!$B$51))</f>
        <v>0</v>
      </c>
      <c r="E69" s="69" t="n">
        <f aca="false">C69+D69</f>
        <v>1</v>
      </c>
      <c r="F69" s="69" t="n">
        <f aca="false">MIN(E69,MAX(0,'Plan-Annahmen'!$B$16-H68))</f>
        <v>1</v>
      </c>
      <c r="G69" s="69" t="n">
        <f aca="false">E69-F69</f>
        <v>0</v>
      </c>
      <c r="H69" s="69" t="n">
        <f aca="false">H68+F69</f>
        <v>1</v>
      </c>
      <c r="I69" s="75" t="n">
        <f aca="false">I68*(1-'Plan-Annahmen'!$B$49)+F69</f>
        <v>1</v>
      </c>
      <c r="J69" s="75" t="n">
        <f aca="false">J68*(1-'Plan-Annahmen'!$B$46)+G69</f>
        <v>0</v>
      </c>
      <c r="K69" s="76" t="n">
        <f aca="false">I69+J69</f>
        <v>1</v>
      </c>
      <c r="L69" s="77" t="n">
        <v>15</v>
      </c>
      <c r="M69" s="78" t="n">
        <f aca="false">K69*'Plan-Annahmen'!$B$71</f>
        <v>0.3</v>
      </c>
      <c r="N69" s="78" t="n">
        <f aca="false">E69*'Plan-Annahmen'!$B$72</f>
        <v>1</v>
      </c>
      <c r="O69" s="78" t="n">
        <f aca="false">'Plan-Annahmen'!$B$70</f>
        <v>25</v>
      </c>
      <c r="P69" s="76" t="n">
        <f aca="false">L69+M69+N69+O69</f>
        <v>41.3</v>
      </c>
      <c r="Q69" s="35" t="n">
        <f aca="false">IF(P69&gt;'Plan-Annahmen'!$B$69,1,0)</f>
        <v>0</v>
      </c>
      <c r="R69" s="35" t="n">
        <f aca="false">IF(P69&gt;'Plan-Annahmen'!$B$68,1,0)</f>
        <v>0</v>
      </c>
      <c r="S69" s="35" t="n">
        <f aca="false">IF(K69&gt;='Plan-Annahmen'!$B$59,1,0)</f>
        <v>0</v>
      </c>
    </row>
    <row r="70" customFormat="false" ht="15" hidden="false" customHeight="true" outlineLevel="0" collapsed="false">
      <c r="A70" s="35" t="n">
        <v>5</v>
      </c>
      <c r="B70" s="73" t="n">
        <f aca="false">EDATE('Plan-Annahmen'!$B$8,A70-1)</f>
        <v>46388</v>
      </c>
      <c r="C70" s="66" t="n">
        <v>2.5</v>
      </c>
      <c r="D70" s="74" t="n">
        <f aca="false">IF(A70-'Plan-Annahmen'!$B$43&lt;1,0,INDEX($K$66:$K$89,A70-'Plan-Annahmen'!$B$43)*'Plan-Annahmen'!$B$37/12*'Plan-Annahmen'!$B$40*(1+'Plan-Annahmen'!$B$50*'Plan-Annahmen'!$B$51))</f>
        <v>0</v>
      </c>
      <c r="E70" s="69" t="n">
        <f aca="false">C70+D70</f>
        <v>2.5</v>
      </c>
      <c r="F70" s="69" t="n">
        <f aca="false">MIN(E70,MAX(0,'Plan-Annahmen'!$B$16-H69))</f>
        <v>2.5</v>
      </c>
      <c r="G70" s="69" t="n">
        <f aca="false">E70-F70</f>
        <v>0</v>
      </c>
      <c r="H70" s="69" t="n">
        <f aca="false">H69+F70</f>
        <v>3.5</v>
      </c>
      <c r="I70" s="75" t="n">
        <f aca="false">I69*(1-'Plan-Annahmen'!$B$49)+F70</f>
        <v>3.49</v>
      </c>
      <c r="J70" s="75" t="n">
        <f aca="false">J69*(1-'Plan-Annahmen'!$B$46)+G70</f>
        <v>0</v>
      </c>
      <c r="K70" s="76" t="n">
        <f aca="false">I70+J70</f>
        <v>3.49</v>
      </c>
      <c r="L70" s="77" t="n">
        <v>16</v>
      </c>
      <c r="M70" s="78" t="n">
        <f aca="false">K70*'Plan-Annahmen'!$B$71</f>
        <v>1.047</v>
      </c>
      <c r="N70" s="78" t="n">
        <f aca="false">E70*'Plan-Annahmen'!$B$72</f>
        <v>2.5</v>
      </c>
      <c r="O70" s="78" t="n">
        <f aca="false">'Plan-Annahmen'!$B$70</f>
        <v>25</v>
      </c>
      <c r="P70" s="76" t="n">
        <f aca="false">L70+M70+N70+O70</f>
        <v>44.547</v>
      </c>
      <c r="Q70" s="35" t="n">
        <f aca="false">IF(P70&gt;'Plan-Annahmen'!$B$69,1,0)</f>
        <v>0</v>
      </c>
      <c r="R70" s="35" t="n">
        <f aca="false">IF(P70&gt;'Plan-Annahmen'!$B$68,1,0)</f>
        <v>0</v>
      </c>
      <c r="S70" s="35" t="n">
        <f aca="false">IF(K70&gt;='Plan-Annahmen'!$B$59,1,0)</f>
        <v>0</v>
      </c>
    </row>
    <row r="71" customFormat="false" ht="15" hidden="false" customHeight="true" outlineLevel="0" collapsed="false">
      <c r="A71" s="35" t="n">
        <v>6</v>
      </c>
      <c r="B71" s="73" t="n">
        <f aca="false">EDATE('Plan-Annahmen'!$B$8,A71-1)</f>
        <v>46419</v>
      </c>
      <c r="C71" s="66" t="n">
        <v>4</v>
      </c>
      <c r="D71" s="74" t="n">
        <f aca="false">IF(A71-'Plan-Annahmen'!$B$43&lt;1,0,INDEX($K$66:$K$89,A71-'Plan-Annahmen'!$B$43)*'Plan-Annahmen'!$B$37/12*'Plan-Annahmen'!$B$40*(1+'Plan-Annahmen'!$B$50*'Plan-Annahmen'!$B$51))</f>
        <v>0.0175</v>
      </c>
      <c r="E71" s="69" t="n">
        <f aca="false">C71+D71</f>
        <v>4.0175</v>
      </c>
      <c r="F71" s="69" t="n">
        <f aca="false">MIN(E71,MAX(0,'Plan-Annahmen'!$B$16-H70))</f>
        <v>4.0175</v>
      </c>
      <c r="G71" s="69" t="n">
        <f aca="false">E71-F71</f>
        <v>0</v>
      </c>
      <c r="H71" s="69" t="n">
        <f aca="false">H70+F71</f>
        <v>7.5175</v>
      </c>
      <c r="I71" s="75" t="n">
        <f aca="false">I70*(1-'Plan-Annahmen'!$B$49)+F71</f>
        <v>7.4726</v>
      </c>
      <c r="J71" s="75" t="n">
        <f aca="false">J70*(1-'Plan-Annahmen'!$B$46)+G71</f>
        <v>0</v>
      </c>
      <c r="K71" s="76" t="n">
        <f aca="false">I71+J71</f>
        <v>7.4726</v>
      </c>
      <c r="L71" s="77" t="n">
        <v>16</v>
      </c>
      <c r="M71" s="78" t="n">
        <f aca="false">K71*'Plan-Annahmen'!$B$71</f>
        <v>2.24178</v>
      </c>
      <c r="N71" s="78" t="n">
        <f aca="false">E71*'Plan-Annahmen'!$B$72</f>
        <v>4.0175</v>
      </c>
      <c r="O71" s="78" t="n">
        <f aca="false">'Plan-Annahmen'!$B$70</f>
        <v>25</v>
      </c>
      <c r="P71" s="76" t="n">
        <f aca="false">L71+M71+N71+O71</f>
        <v>47.25928</v>
      </c>
      <c r="Q71" s="35" t="n">
        <f aca="false">IF(P71&gt;'Plan-Annahmen'!$B$69,1,0)</f>
        <v>0</v>
      </c>
      <c r="R71" s="35" t="n">
        <f aca="false">IF(P71&gt;'Plan-Annahmen'!$B$68,1,0)</f>
        <v>0</v>
      </c>
      <c r="S71" s="35" t="n">
        <f aca="false">IF(K71&gt;='Plan-Annahmen'!$B$59,1,0)</f>
        <v>0</v>
      </c>
    </row>
    <row r="72" customFormat="false" ht="15" hidden="false" customHeight="true" outlineLevel="0" collapsed="false">
      <c r="A72" s="35" t="n">
        <v>7</v>
      </c>
      <c r="B72" s="73" t="n">
        <f aca="false">EDATE('Plan-Annahmen'!$B$8,A72-1)</f>
        <v>46447</v>
      </c>
      <c r="C72" s="66" t="n">
        <v>4</v>
      </c>
      <c r="D72" s="74" t="n">
        <f aca="false">IF(A72-'Plan-Annahmen'!$B$43&lt;1,0,INDEX($K$66:$K$89,A72-'Plan-Annahmen'!$B$43)*'Plan-Annahmen'!$B$37/12*'Plan-Annahmen'!$B$40*(1+'Plan-Annahmen'!$B$50*'Plan-Annahmen'!$B$51))</f>
        <v>0.061075</v>
      </c>
      <c r="E72" s="69" t="n">
        <f aca="false">C72+D72</f>
        <v>4.061075</v>
      </c>
      <c r="F72" s="69" t="n">
        <f aca="false">MIN(E72,MAX(0,'Plan-Annahmen'!$B$16-H71))</f>
        <v>4.061075</v>
      </c>
      <c r="G72" s="69" t="n">
        <f aca="false">E72-F72</f>
        <v>0</v>
      </c>
      <c r="H72" s="69" t="n">
        <f aca="false">H71+F72</f>
        <v>11.578575</v>
      </c>
      <c r="I72" s="75" t="n">
        <f aca="false">I71*(1-'Plan-Annahmen'!$B$49)+F72</f>
        <v>11.458949</v>
      </c>
      <c r="J72" s="75" t="n">
        <f aca="false">J71*(1-'Plan-Annahmen'!$B$46)+G72</f>
        <v>0</v>
      </c>
      <c r="K72" s="76" t="n">
        <f aca="false">I72+J72</f>
        <v>11.458949</v>
      </c>
      <c r="L72" s="77" t="n">
        <v>16.5</v>
      </c>
      <c r="M72" s="78" t="n">
        <f aca="false">K72*'Plan-Annahmen'!$B$71</f>
        <v>3.4376847</v>
      </c>
      <c r="N72" s="78" t="n">
        <f aca="false">E72*'Plan-Annahmen'!$B$72</f>
        <v>4.061075</v>
      </c>
      <c r="O72" s="78" t="n">
        <f aca="false">'Plan-Annahmen'!$B$70</f>
        <v>25</v>
      </c>
      <c r="P72" s="76" t="n">
        <f aca="false">L72+M72+N72+O72</f>
        <v>48.9987597</v>
      </c>
      <c r="Q72" s="35" t="n">
        <f aca="false">IF(P72&gt;'Plan-Annahmen'!$B$69,1,0)</f>
        <v>0</v>
      </c>
      <c r="R72" s="35" t="n">
        <f aca="false">IF(P72&gt;'Plan-Annahmen'!$B$68,1,0)</f>
        <v>0</v>
      </c>
      <c r="S72" s="35" t="n">
        <f aca="false">IF(K72&gt;='Plan-Annahmen'!$B$59,1,0)</f>
        <v>0</v>
      </c>
    </row>
    <row r="73" customFormat="false" ht="15" hidden="false" customHeight="true" outlineLevel="0" collapsed="false">
      <c r="A73" s="35" t="n">
        <v>8</v>
      </c>
      <c r="B73" s="73" t="n">
        <f aca="false">EDATE('Plan-Annahmen'!$B$8,A73-1)</f>
        <v>46478</v>
      </c>
      <c r="C73" s="66" t="n">
        <v>3</v>
      </c>
      <c r="D73" s="74" t="n">
        <f aca="false">IF(A73-'Plan-Annahmen'!$B$43&lt;1,0,INDEX($K$66:$K$89,A73-'Plan-Annahmen'!$B$43)*'Plan-Annahmen'!$B$37/12*'Plan-Annahmen'!$B$40*(1+'Plan-Annahmen'!$B$50*'Plan-Annahmen'!$B$51))</f>
        <v>0.1307705</v>
      </c>
      <c r="E73" s="69" t="n">
        <f aca="false">C73+D73</f>
        <v>3.1307705</v>
      </c>
      <c r="F73" s="69" t="n">
        <f aca="false">MIN(E73,MAX(0,'Plan-Annahmen'!$B$16-H72))</f>
        <v>3.1307705</v>
      </c>
      <c r="G73" s="69" t="n">
        <f aca="false">E73-F73</f>
        <v>0</v>
      </c>
      <c r="H73" s="69" t="n">
        <f aca="false">H72+F73</f>
        <v>14.7093455</v>
      </c>
      <c r="I73" s="75" t="n">
        <f aca="false">I72*(1-'Plan-Annahmen'!$B$49)+F73</f>
        <v>14.47513001</v>
      </c>
      <c r="J73" s="75" t="n">
        <f aca="false">J72*(1-'Plan-Annahmen'!$B$46)+G73</f>
        <v>0</v>
      </c>
      <c r="K73" s="76" t="n">
        <f aca="false">I73+J73</f>
        <v>14.47513001</v>
      </c>
      <c r="L73" s="77" t="n">
        <v>20.5</v>
      </c>
      <c r="M73" s="78" t="n">
        <f aca="false">K73*'Plan-Annahmen'!$B$71</f>
        <v>4.342539003</v>
      </c>
      <c r="N73" s="78" t="n">
        <f aca="false">E73*'Plan-Annahmen'!$B$72</f>
        <v>3.1307705</v>
      </c>
      <c r="O73" s="78" t="n">
        <f aca="false">'Plan-Annahmen'!$B$70</f>
        <v>25</v>
      </c>
      <c r="P73" s="76" t="n">
        <f aca="false">L73+M73+N73+O73</f>
        <v>52.973309503</v>
      </c>
      <c r="Q73" s="35" t="n">
        <f aca="false">IF(P73&gt;'Plan-Annahmen'!$B$69,1,0)</f>
        <v>0</v>
      </c>
      <c r="R73" s="35" t="n">
        <f aca="false">IF(P73&gt;'Plan-Annahmen'!$B$68,1,0)</f>
        <v>0</v>
      </c>
      <c r="S73" s="35" t="n">
        <f aca="false">IF(K73&gt;='Plan-Annahmen'!$B$59,1,0)</f>
        <v>0</v>
      </c>
    </row>
    <row r="74" customFormat="false" ht="15" hidden="false" customHeight="true" outlineLevel="0" collapsed="false">
      <c r="A74" s="35" t="n">
        <v>9</v>
      </c>
      <c r="B74" s="73" t="n">
        <f aca="false">EDATE('Plan-Annahmen'!$B$8,A74-1)</f>
        <v>46508</v>
      </c>
      <c r="C74" s="66" t="n">
        <v>3.5</v>
      </c>
      <c r="D74" s="74" t="n">
        <f aca="false">IF(A74-'Plan-Annahmen'!$B$43&lt;1,0,INDEX($K$66:$K$89,A74-'Plan-Annahmen'!$B$43)*'Plan-Annahmen'!$B$37/12*'Plan-Annahmen'!$B$40*(1+'Plan-Annahmen'!$B$50*'Plan-Annahmen'!$B$51))</f>
        <v>0.2005316075</v>
      </c>
      <c r="E74" s="69" t="n">
        <f aca="false">C74+D74</f>
        <v>3.7005316075</v>
      </c>
      <c r="F74" s="69" t="n">
        <f aca="false">MIN(E74,MAX(0,'Plan-Annahmen'!$B$16-H73))</f>
        <v>3.7005316075</v>
      </c>
      <c r="G74" s="69" t="n">
        <f aca="false">E74-F74</f>
        <v>0</v>
      </c>
      <c r="H74" s="69" t="n">
        <f aca="false">H73+F74</f>
        <v>18.4098771075</v>
      </c>
      <c r="I74" s="75" t="n">
        <f aca="false">I73*(1-'Plan-Annahmen'!$B$49)+F74</f>
        <v>18.0309103174</v>
      </c>
      <c r="J74" s="75" t="n">
        <f aca="false">J73*(1-'Plan-Annahmen'!$B$46)+G74</f>
        <v>0</v>
      </c>
      <c r="K74" s="76" t="n">
        <f aca="false">I74+J74</f>
        <v>18.0309103174</v>
      </c>
      <c r="L74" s="77" t="n">
        <v>20.5</v>
      </c>
      <c r="M74" s="78" t="n">
        <f aca="false">K74*'Plan-Annahmen'!$B$71</f>
        <v>5.40927309522</v>
      </c>
      <c r="N74" s="78" t="n">
        <f aca="false">E74*'Plan-Annahmen'!$B$72</f>
        <v>3.7005316075</v>
      </c>
      <c r="O74" s="78" t="n">
        <f aca="false">'Plan-Annahmen'!$B$70</f>
        <v>25</v>
      </c>
      <c r="P74" s="76" t="n">
        <f aca="false">L74+M74+N74+O74</f>
        <v>54.60980470272</v>
      </c>
      <c r="Q74" s="35" t="n">
        <f aca="false">IF(P74&gt;'Plan-Annahmen'!$B$69,1,0)</f>
        <v>0</v>
      </c>
      <c r="R74" s="35" t="n">
        <f aca="false">IF(P74&gt;'Plan-Annahmen'!$B$68,1,0)</f>
        <v>0</v>
      </c>
      <c r="S74" s="35" t="n">
        <f aca="false">IF(K74&gt;='Plan-Annahmen'!$B$59,1,0)</f>
        <v>0</v>
      </c>
    </row>
    <row r="75" customFormat="false" ht="15" hidden="false" customHeight="true" outlineLevel="0" collapsed="false">
      <c r="A75" s="35" t="n">
        <v>10</v>
      </c>
      <c r="B75" s="73" t="n">
        <f aca="false">EDATE('Plan-Annahmen'!$B$8,A75-1)</f>
        <v>46539</v>
      </c>
      <c r="C75" s="66" t="n">
        <v>3.5</v>
      </c>
      <c r="D75" s="74" t="n">
        <f aca="false">IF(A75-'Plan-Annahmen'!$B$43&lt;1,0,INDEX($K$66:$K$89,A75-'Plan-Annahmen'!$B$43)*'Plan-Annahmen'!$B$37/12*'Plan-Annahmen'!$B$40*(1+'Plan-Annahmen'!$B$50*'Plan-Annahmen'!$B$51))</f>
        <v>0.253314775175</v>
      </c>
      <c r="E75" s="69" t="n">
        <f aca="false">C75+D75</f>
        <v>3.753314775175</v>
      </c>
      <c r="F75" s="69" t="n">
        <f aca="false">MIN(E75,MAX(0,'Plan-Annahmen'!$B$16-H74))</f>
        <v>3.753314775175</v>
      </c>
      <c r="G75" s="69" t="n">
        <f aca="false">E75-F75</f>
        <v>0</v>
      </c>
      <c r="H75" s="69" t="n">
        <f aca="false">H74+F75</f>
        <v>22.163191882675</v>
      </c>
      <c r="I75" s="75" t="n">
        <f aca="false">I74*(1-'Plan-Annahmen'!$B$49)+F75</f>
        <v>21.603915989401</v>
      </c>
      <c r="J75" s="75" t="n">
        <f aca="false">J74*(1-'Plan-Annahmen'!$B$46)+G75</f>
        <v>0</v>
      </c>
      <c r="K75" s="76" t="n">
        <f aca="false">I75+J75</f>
        <v>21.603915989401</v>
      </c>
      <c r="L75" s="77" t="n">
        <v>19.5</v>
      </c>
      <c r="M75" s="78" t="n">
        <f aca="false">K75*'Plan-Annahmen'!$B$71</f>
        <v>6.4811747968203</v>
      </c>
      <c r="N75" s="78" t="n">
        <f aca="false">E75*'Plan-Annahmen'!$B$72</f>
        <v>3.753314775175</v>
      </c>
      <c r="O75" s="78" t="n">
        <f aca="false">'Plan-Annahmen'!$B$70</f>
        <v>25</v>
      </c>
      <c r="P75" s="76" t="n">
        <f aca="false">L75+M75+N75+O75</f>
        <v>54.7344895719953</v>
      </c>
      <c r="Q75" s="35" t="n">
        <f aca="false">IF(P75&gt;'Plan-Annahmen'!$B$69,1,0)</f>
        <v>0</v>
      </c>
      <c r="R75" s="35" t="n">
        <f aca="false">IF(P75&gt;'Plan-Annahmen'!$B$68,1,0)</f>
        <v>0</v>
      </c>
      <c r="S75" s="35" t="n">
        <f aca="false">IF(K75&gt;='Plan-Annahmen'!$B$59,1,0)</f>
        <v>1</v>
      </c>
    </row>
    <row r="76" customFormat="false" ht="15" hidden="false" customHeight="true" outlineLevel="0" collapsed="false">
      <c r="A76" s="35" t="n">
        <v>11</v>
      </c>
      <c r="B76" s="73" t="n">
        <f aca="false">EDATE('Plan-Annahmen'!$B$8,A76-1)</f>
        <v>46569</v>
      </c>
      <c r="C76" s="66" t="n">
        <v>4</v>
      </c>
      <c r="D76" s="74" t="n">
        <f aca="false">IF(A76-'Plan-Annahmen'!$B$43&lt;1,0,INDEX($K$66:$K$89,A76-'Plan-Annahmen'!$B$43)*'Plan-Annahmen'!$B$37/12*'Plan-Annahmen'!$B$40*(1+'Plan-Annahmen'!$B$50*'Plan-Annahmen'!$B$51))</f>
        <v>0.3155409305545</v>
      </c>
      <c r="E76" s="69" t="n">
        <f aca="false">C76+D76</f>
        <v>4.3155409305545</v>
      </c>
      <c r="F76" s="69" t="n">
        <f aca="false">MIN(E76,MAX(0,'Plan-Annahmen'!$B$16-H75))</f>
        <v>2.836808117325</v>
      </c>
      <c r="G76" s="69" t="n">
        <f aca="false">E76-F76</f>
        <v>1.4787328132295</v>
      </c>
      <c r="H76" s="69" t="n">
        <f aca="false">H75+F76</f>
        <v>25</v>
      </c>
      <c r="I76" s="75" t="n">
        <f aca="false">I75*(1-'Plan-Annahmen'!$B$49)+F76</f>
        <v>24.224684946832</v>
      </c>
      <c r="J76" s="75" t="n">
        <f aca="false">J75*(1-'Plan-Annahmen'!$B$46)+G76</f>
        <v>1.4787328132295</v>
      </c>
      <c r="K76" s="76" t="n">
        <f aca="false">I76+J76</f>
        <v>25.7034177600615</v>
      </c>
      <c r="L76" s="77" t="n">
        <v>19.5</v>
      </c>
      <c r="M76" s="78" t="n">
        <f aca="false">K76*'Plan-Annahmen'!$B$71</f>
        <v>7.71102532801845</v>
      </c>
      <c r="N76" s="78" t="n">
        <f aca="false">E76*'Plan-Annahmen'!$B$72</f>
        <v>4.3155409305545</v>
      </c>
      <c r="O76" s="78" t="n">
        <f aca="false">'Plan-Annahmen'!$B$70</f>
        <v>25</v>
      </c>
      <c r="P76" s="76" t="n">
        <f aca="false">L76+M76+N76+O76</f>
        <v>56.526566258573</v>
      </c>
      <c r="Q76" s="35" t="n">
        <f aca="false">IF(P76&gt;'Plan-Annahmen'!$B$69,1,0)</f>
        <v>0</v>
      </c>
      <c r="R76" s="35" t="n">
        <f aca="false">IF(P76&gt;'Plan-Annahmen'!$B$68,1,0)</f>
        <v>0</v>
      </c>
      <c r="S76" s="35" t="n">
        <f aca="false">IF(K76&gt;='Plan-Annahmen'!$B$59,1,0)</f>
        <v>1</v>
      </c>
    </row>
    <row r="77" customFormat="false" ht="15" hidden="false" customHeight="true" outlineLevel="0" collapsed="false">
      <c r="A77" s="35" t="n">
        <v>12</v>
      </c>
      <c r="B77" s="73" t="n">
        <f aca="false">EDATE('Plan-Annahmen'!$B$8,A77-1)</f>
        <v>46600</v>
      </c>
      <c r="C77" s="66" t="n">
        <v>4.5</v>
      </c>
      <c r="D77" s="74" t="n">
        <f aca="false">IF(A77-'Plan-Annahmen'!$B$43&lt;1,0,INDEX($K$66:$K$89,A77-'Plan-Annahmen'!$B$43)*'Plan-Annahmen'!$B$37/12*'Plan-Annahmen'!$B$40*(1+'Plan-Annahmen'!$B$50*'Plan-Annahmen'!$B$51))</f>
        <v>0.378068529814517</v>
      </c>
      <c r="E77" s="69" t="n">
        <f aca="false">C77+D77</f>
        <v>4.87806852981452</v>
      </c>
      <c r="F77" s="69" t="n">
        <f aca="false">MIN(E77,MAX(0,'Plan-Annahmen'!$B$16-H76))</f>
        <v>0</v>
      </c>
      <c r="G77" s="69" t="n">
        <f aca="false">E77-F77</f>
        <v>4.87806852981452</v>
      </c>
      <c r="H77" s="69" t="n">
        <f aca="false">H76+F77</f>
        <v>25</v>
      </c>
      <c r="I77" s="75" t="n">
        <f aca="false">I76*(1-'Plan-Annahmen'!$B$49)+F77</f>
        <v>23.9824380973637</v>
      </c>
      <c r="J77" s="75" t="n">
        <f aca="false">J76*(1-'Plan-Annahmen'!$B$46)+G77</f>
        <v>6.31243935864713</v>
      </c>
      <c r="K77" s="76" t="n">
        <f aca="false">I77+J77</f>
        <v>30.2948774560108</v>
      </c>
      <c r="L77" s="77" t="n">
        <v>19.5</v>
      </c>
      <c r="M77" s="78" t="n">
        <f aca="false">K77*'Plan-Annahmen'!$B$71</f>
        <v>9.08846323680324</v>
      </c>
      <c r="N77" s="78" t="n">
        <f aca="false">E77*'Plan-Annahmen'!$B$72</f>
        <v>4.87806852981452</v>
      </c>
      <c r="O77" s="78" t="n">
        <f aca="false">'Plan-Annahmen'!$B$70</f>
        <v>25</v>
      </c>
      <c r="P77" s="76" t="n">
        <f aca="false">L77+M77+N77+O77</f>
        <v>58.4665317666178</v>
      </c>
      <c r="Q77" s="35" t="n">
        <f aca="false">IF(P77&gt;'Plan-Annahmen'!$B$69,1,0)</f>
        <v>0</v>
      </c>
      <c r="R77" s="35" t="n">
        <f aca="false">IF(P77&gt;'Plan-Annahmen'!$B$68,1,0)</f>
        <v>0</v>
      </c>
      <c r="S77" s="35" t="n">
        <f aca="false">IF(K77&gt;='Plan-Annahmen'!$B$59,1,0)</f>
        <v>1</v>
      </c>
    </row>
    <row r="78" customFormat="false" ht="15" hidden="false" customHeight="true" outlineLevel="0" collapsed="false">
      <c r="A78" s="35" t="n">
        <v>13</v>
      </c>
      <c r="B78" s="73" t="n">
        <f aca="false">EDATE('Plan-Annahmen'!$B$8,A78-1)</f>
        <v>46631</v>
      </c>
      <c r="C78" s="66" t="n">
        <v>4.5</v>
      </c>
      <c r="D78" s="74" t="n">
        <f aca="false">IF(A78-'Plan-Annahmen'!$B$43&lt;1,0,INDEX($K$66:$K$89,A78-'Plan-Annahmen'!$B$43)*'Plan-Annahmen'!$B$37/12*'Plan-Annahmen'!$B$40*(1+'Plan-Annahmen'!$B$50*'Plan-Annahmen'!$B$51))</f>
        <v>0.449809810801076</v>
      </c>
      <c r="E78" s="69" t="n">
        <f aca="false">C78+D78</f>
        <v>4.94980981080108</v>
      </c>
      <c r="F78" s="69" t="n">
        <f aca="false">MIN(E78,MAX(0,'Plan-Annahmen'!$B$16-H77))</f>
        <v>0</v>
      </c>
      <c r="G78" s="69" t="n">
        <f aca="false">E78-F78</f>
        <v>4.94980981080108</v>
      </c>
      <c r="H78" s="69" t="n">
        <f aca="false">H77+F78</f>
        <v>25</v>
      </c>
      <c r="I78" s="75" t="n">
        <f aca="false">I77*(1-'Plan-Annahmen'!$B$49)+F78</f>
        <v>23.74261371639</v>
      </c>
      <c r="J78" s="75" t="n">
        <f aca="false">J77*(1-'Plan-Annahmen'!$B$46)+G78</f>
        <v>11.0728759886888</v>
      </c>
      <c r="K78" s="76" t="n">
        <f aca="false">I78+J78</f>
        <v>34.8154897050788</v>
      </c>
      <c r="L78" s="77" t="n">
        <v>19.5</v>
      </c>
      <c r="M78" s="78" t="n">
        <f aca="false">K78*'Plan-Annahmen'!$B$71</f>
        <v>10.4446469115236</v>
      </c>
      <c r="N78" s="78" t="n">
        <f aca="false">E78*'Plan-Annahmen'!$B$72</f>
        <v>4.94980981080108</v>
      </c>
      <c r="O78" s="78" t="n">
        <f aca="false">'Plan-Annahmen'!$B$70</f>
        <v>25</v>
      </c>
      <c r="P78" s="76" t="n">
        <f aca="false">L78+M78+N78+O78</f>
        <v>59.8944567223247</v>
      </c>
      <c r="Q78" s="35" t="n">
        <f aca="false">IF(P78&gt;'Plan-Annahmen'!$B$69,1,0)</f>
        <v>0</v>
      </c>
      <c r="R78" s="35" t="n">
        <f aca="false">IF(P78&gt;'Plan-Annahmen'!$B$68,1,0)</f>
        <v>0</v>
      </c>
      <c r="S78" s="35" t="n">
        <f aca="false">IF(K78&gt;='Plan-Annahmen'!$B$59,1,0)</f>
        <v>1</v>
      </c>
    </row>
    <row r="79" customFormat="false" ht="15" hidden="false" customHeight="true" outlineLevel="0" collapsed="false">
      <c r="A79" s="35" t="n">
        <v>14</v>
      </c>
      <c r="B79" s="73" t="n">
        <f aca="false">EDATE('Plan-Annahmen'!$B$8,A79-1)</f>
        <v>46661</v>
      </c>
      <c r="C79" s="66" t="n">
        <v>4.5</v>
      </c>
      <c r="D79" s="74" t="n">
        <f aca="false">IF(A79-'Plan-Annahmen'!$B$43&lt;1,0,INDEX($K$66:$K$89,A79-'Plan-Annahmen'!$B$43)*'Plan-Annahmen'!$B$37/12*'Plan-Annahmen'!$B$40*(1+'Plan-Annahmen'!$B$50*'Plan-Annahmen'!$B$51))</f>
        <v>0.530160355480189</v>
      </c>
      <c r="E79" s="69" t="n">
        <f aca="false">C79+D79</f>
        <v>5.03016035548019</v>
      </c>
      <c r="F79" s="69" t="n">
        <f aca="false">MIN(E79,MAX(0,'Plan-Annahmen'!$B$16-H78))</f>
        <v>0</v>
      </c>
      <c r="G79" s="69" t="n">
        <f aca="false">E79-F79</f>
        <v>5.03016035548019</v>
      </c>
      <c r="H79" s="69" t="n">
        <f aca="false">H78+F79</f>
        <v>25</v>
      </c>
      <c r="I79" s="75" t="n">
        <f aca="false">I78*(1-'Plan-Annahmen'!$B$49)+F79</f>
        <v>23.5051875792261</v>
      </c>
      <c r="J79" s="75" t="n">
        <f aca="false">J78*(1-'Plan-Annahmen'!$B$46)+G79</f>
        <v>15.7708500645083</v>
      </c>
      <c r="K79" s="76" t="n">
        <f aca="false">I79+J79</f>
        <v>39.2760376437345</v>
      </c>
      <c r="L79" s="77" t="n">
        <v>19.5</v>
      </c>
      <c r="M79" s="78" t="n">
        <f aca="false">K79*'Plan-Annahmen'!$B$71</f>
        <v>11.7828112931203</v>
      </c>
      <c r="N79" s="78" t="n">
        <f aca="false">E79*'Plan-Annahmen'!$B$72</f>
        <v>5.03016035548019</v>
      </c>
      <c r="O79" s="78" t="n">
        <f aca="false">'Plan-Annahmen'!$B$70</f>
        <v>25</v>
      </c>
      <c r="P79" s="76" t="n">
        <f aca="false">L79+M79+N79+O79</f>
        <v>61.3129716486005</v>
      </c>
      <c r="Q79" s="35" t="n">
        <f aca="false">IF(P79&gt;'Plan-Annahmen'!$B$69,1,0)</f>
        <v>0</v>
      </c>
      <c r="R79" s="35" t="n">
        <f aca="false">IF(P79&gt;'Plan-Annahmen'!$B$68,1,0)</f>
        <v>0</v>
      </c>
      <c r="S79" s="35" t="n">
        <f aca="false">IF(K79&gt;='Plan-Annahmen'!$B$59,1,0)</f>
        <v>1</v>
      </c>
    </row>
    <row r="80" customFormat="false" ht="15" hidden="false" customHeight="true" outlineLevel="0" collapsed="false">
      <c r="A80" s="35" t="n">
        <v>15</v>
      </c>
      <c r="B80" s="73" t="n">
        <f aca="false">EDATE('Plan-Annahmen'!$B$8,A80-1)</f>
        <v>46692</v>
      </c>
      <c r="C80" s="66" t="n">
        <v>4.5</v>
      </c>
      <c r="D80" s="74" t="n">
        <f aca="false">IF(A80-'Plan-Annahmen'!$B$43&lt;1,0,INDEX($K$66:$K$89,A80-'Plan-Annahmen'!$B$43)*'Plan-Annahmen'!$B$37/12*'Plan-Annahmen'!$B$40*(1+'Plan-Annahmen'!$B$50*'Plan-Annahmen'!$B$51))</f>
        <v>0.60927106983888</v>
      </c>
      <c r="E80" s="69" t="n">
        <f aca="false">C80+D80</f>
        <v>5.10927106983888</v>
      </c>
      <c r="F80" s="69" t="n">
        <f aca="false">MIN(E80,MAX(0,'Plan-Annahmen'!$B$16-H79))</f>
        <v>0</v>
      </c>
      <c r="G80" s="69" t="n">
        <f aca="false">E80-F80</f>
        <v>5.10927106983888</v>
      </c>
      <c r="H80" s="69" t="n">
        <f aca="false">H79+F80</f>
        <v>25</v>
      </c>
      <c r="I80" s="75" t="n">
        <f aca="false">I79*(1-'Plan-Annahmen'!$B$49)+F80</f>
        <v>23.2701357034339</v>
      </c>
      <c r="J80" s="75" t="n">
        <f aca="false">J79*(1-'Plan-Annahmen'!$B$46)+G80</f>
        <v>20.406995632412</v>
      </c>
      <c r="K80" s="76" t="n">
        <f aca="false">I80+J80</f>
        <v>43.6771313358458</v>
      </c>
      <c r="L80" s="77" t="n">
        <v>19.5</v>
      </c>
      <c r="M80" s="78" t="n">
        <f aca="false">K80*'Plan-Annahmen'!$B$71</f>
        <v>13.1031394007537</v>
      </c>
      <c r="N80" s="78" t="n">
        <f aca="false">E80*'Plan-Annahmen'!$B$72</f>
        <v>5.10927106983888</v>
      </c>
      <c r="O80" s="78" t="n">
        <f aca="false">'Plan-Annahmen'!$B$70</f>
        <v>25</v>
      </c>
      <c r="P80" s="76" t="n">
        <f aca="false">L80+M80+N80+O80</f>
        <v>62.7124104705926</v>
      </c>
      <c r="Q80" s="35" t="n">
        <f aca="false">IF(P80&gt;'Plan-Annahmen'!$B$69,1,0)</f>
        <v>0</v>
      </c>
      <c r="R80" s="35" t="n">
        <f aca="false">IF(P80&gt;'Plan-Annahmen'!$B$68,1,0)</f>
        <v>0</v>
      </c>
      <c r="S80" s="35" t="n">
        <f aca="false">IF(K80&gt;='Plan-Annahmen'!$B$59,1,0)</f>
        <v>1</v>
      </c>
    </row>
    <row r="81" customFormat="false" ht="15" hidden="false" customHeight="true" outlineLevel="0" collapsed="false">
      <c r="A81" s="35" t="n">
        <v>16</v>
      </c>
      <c r="B81" s="73" t="n">
        <f aca="false">EDATE('Plan-Annahmen'!$B$8,A81-1)</f>
        <v>46722</v>
      </c>
      <c r="C81" s="66" t="n">
        <v>4.75</v>
      </c>
      <c r="D81" s="74" t="n">
        <f aca="false">IF(A81-'Plan-Annahmen'!$B$43&lt;1,0,INDEX($K$66:$K$89,A81-'Plan-Annahmen'!$B$43)*'Plan-Annahmen'!$B$37/12*'Plan-Annahmen'!$B$40*(1+'Plan-Annahmen'!$B$50*'Plan-Annahmen'!$B$51))</f>
        <v>0.687330658765353</v>
      </c>
      <c r="E81" s="69" t="n">
        <f aca="false">C81+D81</f>
        <v>5.43733065876535</v>
      </c>
      <c r="F81" s="69" t="n">
        <f aca="false">MIN(E81,MAX(0,'Plan-Annahmen'!$B$16-H80))</f>
        <v>0</v>
      </c>
      <c r="G81" s="69" t="n">
        <f aca="false">E81-F81</f>
        <v>5.43733065876535</v>
      </c>
      <c r="H81" s="69" t="n">
        <f aca="false">H80+F81</f>
        <v>25</v>
      </c>
      <c r="I81" s="75" t="n">
        <f aca="false">I80*(1-'Plan-Annahmen'!$B$49)+F81</f>
        <v>23.0374343463995</v>
      </c>
      <c r="J81" s="75" t="n">
        <f aca="false">J80*(1-'Plan-Annahmen'!$B$46)+G81</f>
        <v>25.2321164222049</v>
      </c>
      <c r="K81" s="76" t="n">
        <f aca="false">I81+J81</f>
        <v>48.2695507686045</v>
      </c>
      <c r="L81" s="77" t="n">
        <v>19.5</v>
      </c>
      <c r="M81" s="78" t="n">
        <f aca="false">K81*'Plan-Annahmen'!$B$71</f>
        <v>14.4808652305813</v>
      </c>
      <c r="N81" s="78" t="n">
        <f aca="false">E81*'Plan-Annahmen'!$B$72</f>
        <v>5.43733065876535</v>
      </c>
      <c r="O81" s="78" t="n">
        <f aca="false">'Plan-Annahmen'!$B$70</f>
        <v>25</v>
      </c>
      <c r="P81" s="76" t="n">
        <f aca="false">L81+M81+N81+O81</f>
        <v>64.4181958893467</v>
      </c>
      <c r="Q81" s="35" t="n">
        <f aca="false">IF(P81&gt;'Plan-Annahmen'!$B$69,1,0)</f>
        <v>0</v>
      </c>
      <c r="R81" s="35" t="n">
        <f aca="false">IF(P81&gt;'Plan-Annahmen'!$B$68,1,0)</f>
        <v>0</v>
      </c>
      <c r="S81" s="35" t="n">
        <f aca="false">IF(K81&gt;='Plan-Annahmen'!$B$59,1,0)</f>
        <v>1</v>
      </c>
    </row>
    <row r="82" customFormat="false" ht="15" hidden="false" customHeight="true" outlineLevel="0" collapsed="false">
      <c r="A82" s="35" t="n">
        <v>17</v>
      </c>
      <c r="B82" s="73" t="n">
        <f aca="false">EDATE('Plan-Annahmen'!$B$8,A82-1)</f>
        <v>46753</v>
      </c>
      <c r="C82" s="66" t="n">
        <v>6.75</v>
      </c>
      <c r="D82" s="74" t="n">
        <f aca="false">IF(A82-'Plan-Annahmen'!$B$43&lt;1,0,INDEX($K$66:$K$89,A82-'Plan-Annahmen'!$B$43)*'Plan-Annahmen'!$B$37/12*'Plan-Annahmen'!$B$40*(1+'Plan-Annahmen'!$B$50*'Plan-Annahmen'!$B$51))</f>
        <v>0.764349798377302</v>
      </c>
      <c r="E82" s="69" t="n">
        <f aca="false">C82+D82</f>
        <v>7.5143497983773</v>
      </c>
      <c r="F82" s="69" t="n">
        <f aca="false">MIN(E82,MAX(0,'Plan-Annahmen'!$B$16-H81))</f>
        <v>0</v>
      </c>
      <c r="G82" s="69" t="n">
        <f aca="false">E82-F82</f>
        <v>7.5143497983773</v>
      </c>
      <c r="H82" s="69" t="n">
        <f aca="false">H81+F82</f>
        <v>25</v>
      </c>
      <c r="I82" s="75" t="n">
        <f aca="false">I81*(1-'Plan-Annahmen'!$B$49)+F82</f>
        <v>22.8070600029355</v>
      </c>
      <c r="J82" s="75" t="n">
        <f aca="false">J81*(1-'Plan-Annahmen'!$B$46)+G82</f>
        <v>31.9895027279161</v>
      </c>
      <c r="K82" s="76" t="n">
        <f aca="false">I82+J82</f>
        <v>54.7965627308516</v>
      </c>
      <c r="L82" s="77" t="n">
        <v>19.5</v>
      </c>
      <c r="M82" s="78" t="n">
        <f aca="false">K82*'Plan-Annahmen'!$B$71</f>
        <v>16.4389688192555</v>
      </c>
      <c r="N82" s="78" t="n">
        <f aca="false">E82*'Plan-Annahmen'!$B$72</f>
        <v>7.5143497983773</v>
      </c>
      <c r="O82" s="78" t="n">
        <f aca="false">'Plan-Annahmen'!$B$70</f>
        <v>25</v>
      </c>
      <c r="P82" s="76" t="n">
        <f aca="false">L82+M82+N82+O82</f>
        <v>68.4533186176328</v>
      </c>
      <c r="Q82" s="35" t="n">
        <f aca="false">IF(P82&gt;'Plan-Annahmen'!$B$69,1,0)</f>
        <v>1</v>
      </c>
      <c r="R82" s="35" t="n">
        <f aca="false">IF(P82&gt;'Plan-Annahmen'!$B$68,1,0)</f>
        <v>0</v>
      </c>
      <c r="S82" s="35" t="n">
        <f aca="false">IF(K82&gt;='Plan-Annahmen'!$B$59,1,0)</f>
        <v>1</v>
      </c>
    </row>
    <row r="83" customFormat="false" ht="15" hidden="false" customHeight="true" outlineLevel="0" collapsed="false">
      <c r="A83" s="35" t="n">
        <v>18</v>
      </c>
      <c r="B83" s="73" t="n">
        <f aca="false">EDATE('Plan-Annahmen'!$B$8,A83-1)</f>
        <v>46784</v>
      </c>
      <c r="C83" s="66" t="n">
        <v>6.75</v>
      </c>
      <c r="D83" s="74" t="n">
        <f aca="false">IF(A83-'Plan-Annahmen'!$B$43&lt;1,0,INDEX($K$66:$K$89,A83-'Plan-Annahmen'!$B$43)*'Plan-Annahmen'!$B$37/12*'Plan-Annahmen'!$B$40*(1+'Plan-Annahmen'!$B$50*'Plan-Annahmen'!$B$51))</f>
        <v>0.844717138450578</v>
      </c>
      <c r="E83" s="69" t="n">
        <f aca="false">C83+D83</f>
        <v>7.59471713845058</v>
      </c>
      <c r="F83" s="69" t="n">
        <f aca="false">MIN(E83,MAX(0,'Plan-Annahmen'!$B$16-H82))</f>
        <v>0</v>
      </c>
      <c r="G83" s="69" t="n">
        <f aca="false">E83-F83</f>
        <v>7.59471713845058</v>
      </c>
      <c r="H83" s="69" t="n">
        <f aca="false">H82+F83</f>
        <v>25</v>
      </c>
      <c r="I83" s="75" t="n">
        <f aca="false">I82*(1-'Plan-Annahmen'!$B$49)+F83</f>
        <v>22.5789894029062</v>
      </c>
      <c r="J83" s="75" t="n">
        <f aca="false">J82*(1-'Plan-Annahmen'!$B$46)+G83</f>
        <v>38.6245347845292</v>
      </c>
      <c r="K83" s="76" t="n">
        <f aca="false">I83+J83</f>
        <v>61.2035241874354</v>
      </c>
      <c r="L83" s="77" t="n">
        <v>19.5</v>
      </c>
      <c r="M83" s="78" t="n">
        <f aca="false">K83*'Plan-Annahmen'!$B$71</f>
        <v>18.3610572562306</v>
      </c>
      <c r="N83" s="78" t="n">
        <f aca="false">E83*'Plan-Annahmen'!$B$72</f>
        <v>7.59471713845058</v>
      </c>
      <c r="O83" s="78" t="n">
        <f aca="false">'Plan-Annahmen'!$B$70</f>
        <v>25</v>
      </c>
      <c r="P83" s="76" t="n">
        <f aca="false">L83+M83+N83+O83</f>
        <v>70.4557743946812</v>
      </c>
      <c r="Q83" s="35" t="n">
        <f aca="false">IF(P83&gt;'Plan-Annahmen'!$B$69,1,0)</f>
        <v>1</v>
      </c>
      <c r="R83" s="35" t="n">
        <f aca="false">IF(P83&gt;'Plan-Annahmen'!$B$68,1,0)</f>
        <v>0</v>
      </c>
      <c r="S83" s="35" t="n">
        <f aca="false">IF(K83&gt;='Plan-Annahmen'!$B$59,1,0)</f>
        <v>1</v>
      </c>
    </row>
    <row r="84" customFormat="false" ht="15" hidden="false" customHeight="true" outlineLevel="0" collapsed="false">
      <c r="A84" s="35" t="n">
        <v>19</v>
      </c>
      <c r="B84" s="73" t="n">
        <f aca="false">EDATE('Plan-Annahmen'!$B$8,A84-1)</f>
        <v>46813</v>
      </c>
      <c r="C84" s="66" t="n">
        <v>6.75</v>
      </c>
      <c r="D84" s="74" t="n">
        <f aca="false">IF(A84-'Plan-Annahmen'!$B$43&lt;1,0,INDEX($K$66:$K$89,A84-'Plan-Annahmen'!$B$43)*'Plan-Annahmen'!$B$37/12*'Plan-Annahmen'!$B$40*(1+'Plan-Annahmen'!$B$50*'Plan-Annahmen'!$B$51))</f>
        <v>0.958939847789903</v>
      </c>
      <c r="E84" s="69" t="n">
        <f aca="false">C84+D84</f>
        <v>7.7089398477899</v>
      </c>
      <c r="F84" s="69" t="n">
        <f aca="false">MIN(E84,MAX(0,'Plan-Annahmen'!$B$16-H83))</f>
        <v>0</v>
      </c>
      <c r="G84" s="69" t="n">
        <f aca="false">E84-F84</f>
        <v>7.7089398477899</v>
      </c>
      <c r="H84" s="69" t="n">
        <f aca="false">H83+F84</f>
        <v>25</v>
      </c>
      <c r="I84" s="75" t="n">
        <f aca="false">I83*(1-'Plan-Annahmen'!$B$49)+F84</f>
        <v>22.3531995088771</v>
      </c>
      <c r="J84" s="75" t="n">
        <f aca="false">J83*(1-'Plan-Annahmen'!$B$46)+G84</f>
        <v>45.1747385887832</v>
      </c>
      <c r="K84" s="76" t="n">
        <f aca="false">I84+J84</f>
        <v>67.5279380976603</v>
      </c>
      <c r="L84" s="77" t="n">
        <v>19.5</v>
      </c>
      <c r="M84" s="78" t="n">
        <f aca="false">K84*'Plan-Annahmen'!$B$71</f>
        <v>20.2583814292981</v>
      </c>
      <c r="N84" s="78" t="n">
        <f aca="false">E84*'Plan-Annahmen'!$B$72</f>
        <v>7.7089398477899</v>
      </c>
      <c r="O84" s="78" t="n">
        <f aca="false">'Plan-Annahmen'!$B$70</f>
        <v>25</v>
      </c>
      <c r="P84" s="76" t="n">
        <f aca="false">L84+M84+N84+O84</f>
        <v>72.467321277088</v>
      </c>
      <c r="Q84" s="35" t="n">
        <f aca="false">IF(P84&gt;'Plan-Annahmen'!$B$69,1,0)</f>
        <v>1</v>
      </c>
      <c r="R84" s="35" t="n">
        <f aca="false">IF(P84&gt;'Plan-Annahmen'!$B$68,1,0)</f>
        <v>0</v>
      </c>
      <c r="S84" s="35" t="n">
        <f aca="false">IF(K84&gt;='Plan-Annahmen'!$B$59,1,0)</f>
        <v>1</v>
      </c>
    </row>
    <row r="85" customFormat="false" ht="15" hidden="false" customHeight="true" outlineLevel="0" collapsed="false">
      <c r="A85" s="35" t="n">
        <v>20</v>
      </c>
      <c r="B85" s="73" t="n">
        <f aca="false">EDATE('Plan-Annahmen'!$B$8,A85-1)</f>
        <v>46844</v>
      </c>
      <c r="C85" s="66" t="n">
        <v>7</v>
      </c>
      <c r="D85" s="74" t="n">
        <f aca="false">IF(A85-'Plan-Annahmen'!$B$43&lt;1,0,INDEX($K$66:$K$89,A85-'Plan-Annahmen'!$B$43)*'Plan-Annahmen'!$B$37/12*'Plan-Annahmen'!$B$40*(1+'Plan-Annahmen'!$B$50*'Plan-Annahmen'!$B$51))</f>
        <v>1.07106167328012</v>
      </c>
      <c r="E85" s="69" t="n">
        <f aca="false">C85+D85</f>
        <v>8.07106167328012</v>
      </c>
      <c r="F85" s="69" t="n">
        <f aca="false">MIN(E85,MAX(0,'Plan-Annahmen'!$B$16-H84))</f>
        <v>0</v>
      </c>
      <c r="G85" s="69" t="n">
        <f aca="false">E85-F85</f>
        <v>8.07106167328012</v>
      </c>
      <c r="H85" s="69" t="n">
        <f aca="false">H84+F85</f>
        <v>25</v>
      </c>
      <c r="I85" s="75" t="n">
        <f aca="false">I84*(1-'Plan-Annahmen'!$B$49)+F85</f>
        <v>22.1296675137883</v>
      </c>
      <c r="J85" s="75" t="n">
        <f aca="false">J84*(1-'Plan-Annahmen'!$B$46)+G85</f>
        <v>51.8905581043998</v>
      </c>
      <c r="K85" s="76" t="n">
        <f aca="false">I85+J85</f>
        <v>74.0202256181882</v>
      </c>
      <c r="L85" s="77" t="n">
        <v>19.5</v>
      </c>
      <c r="M85" s="78" t="n">
        <f aca="false">K85*'Plan-Annahmen'!$B$71</f>
        <v>22.2060676854565</v>
      </c>
      <c r="N85" s="78" t="n">
        <f aca="false">E85*'Plan-Annahmen'!$B$72</f>
        <v>8.07106167328012</v>
      </c>
      <c r="O85" s="78" t="n">
        <f aca="false">'Plan-Annahmen'!$B$70</f>
        <v>25</v>
      </c>
      <c r="P85" s="76" t="n">
        <f aca="false">L85+M85+N85+O85</f>
        <v>74.7771293587366</v>
      </c>
      <c r="Q85" s="35" t="n">
        <f aca="false">IF(P85&gt;'Plan-Annahmen'!$B$69,1,0)</f>
        <v>1</v>
      </c>
      <c r="R85" s="35" t="n">
        <f aca="false">IF(P85&gt;'Plan-Annahmen'!$B$68,1,0)</f>
        <v>0</v>
      </c>
      <c r="S85" s="35" t="n">
        <f aca="false">IF(K85&gt;='Plan-Annahmen'!$B$59,1,0)</f>
        <v>1</v>
      </c>
    </row>
    <row r="86" customFormat="false" ht="15" hidden="false" customHeight="true" outlineLevel="0" collapsed="false">
      <c r="A86" s="35" t="n">
        <v>21</v>
      </c>
      <c r="B86" s="73" t="n">
        <f aca="false">EDATE('Plan-Annahmen'!$B$8,A86-1)</f>
        <v>46874</v>
      </c>
      <c r="C86" s="66" t="n">
        <v>7</v>
      </c>
      <c r="D86" s="74" t="n">
        <f aca="false">IF(A86-'Plan-Annahmen'!$B$43&lt;1,0,INDEX($K$66:$K$89,A86-'Plan-Annahmen'!$B$43)*'Plan-Annahmen'!$B$37/12*'Plan-Annahmen'!$B$40*(1+'Plan-Annahmen'!$B$50*'Plan-Annahmen'!$B$51))</f>
        <v>1.18173891670906</v>
      </c>
      <c r="E86" s="69" t="n">
        <f aca="false">C86+D86</f>
        <v>8.18173891670906</v>
      </c>
      <c r="F86" s="69" t="n">
        <f aca="false">MIN(E86,MAX(0,'Plan-Annahmen'!$B$16-H85))</f>
        <v>0</v>
      </c>
      <c r="G86" s="69" t="n">
        <f aca="false">E86-F86</f>
        <v>8.18173891670906</v>
      </c>
      <c r="H86" s="69" t="n">
        <f aca="false">H85+F86</f>
        <v>25</v>
      </c>
      <c r="I86" s="75" t="n">
        <f aca="false">I85*(1-'Plan-Annahmen'!$B$49)+F86</f>
        <v>21.9083708386505</v>
      </c>
      <c r="J86" s="75" t="n">
        <f aca="false">J85*(1-'Plan-Annahmen'!$B$46)+G86</f>
        <v>58.5155802779769</v>
      </c>
      <c r="K86" s="76" t="n">
        <f aca="false">I86+J86</f>
        <v>80.4239511166274</v>
      </c>
      <c r="L86" s="77" t="n">
        <v>19.5</v>
      </c>
      <c r="M86" s="78" t="n">
        <f aca="false">K86*'Plan-Annahmen'!$B$71</f>
        <v>24.1271853349882</v>
      </c>
      <c r="N86" s="78" t="n">
        <f aca="false">E86*'Plan-Annahmen'!$B$72</f>
        <v>8.18173891670906</v>
      </c>
      <c r="O86" s="78" t="n">
        <f aca="false">'Plan-Annahmen'!$B$70</f>
        <v>25</v>
      </c>
      <c r="P86" s="76" t="n">
        <f aca="false">L86+M86+N86+O86</f>
        <v>76.8089242516973</v>
      </c>
      <c r="Q86" s="35" t="n">
        <f aca="false">IF(P86&gt;'Plan-Annahmen'!$B$69,1,0)</f>
        <v>1</v>
      </c>
      <c r="R86" s="35" t="n">
        <f aca="false">IF(P86&gt;'Plan-Annahmen'!$B$68,1,0)</f>
        <v>0</v>
      </c>
      <c r="S86" s="35" t="n">
        <f aca="false">IF(K86&gt;='Plan-Annahmen'!$B$59,1,0)</f>
        <v>1</v>
      </c>
    </row>
    <row r="87" customFormat="false" ht="15" hidden="false" customHeight="true" outlineLevel="0" collapsed="false">
      <c r="A87" s="35" t="n">
        <v>22</v>
      </c>
      <c r="B87" s="73" t="n">
        <f aca="false">EDATE('Plan-Annahmen'!$B$8,A87-1)</f>
        <v>46905</v>
      </c>
      <c r="C87" s="66" t="n">
        <v>7</v>
      </c>
      <c r="D87" s="74" t="n">
        <f aca="false">IF(A87-'Plan-Annahmen'!$B$43&lt;1,0,INDEX($K$66:$K$89,A87-'Plan-Annahmen'!$B$43)*'Plan-Annahmen'!$B$37/12*'Plan-Annahmen'!$B$40*(1+'Plan-Annahmen'!$B$50*'Plan-Annahmen'!$B$51))</f>
        <v>1.29535394831829</v>
      </c>
      <c r="E87" s="69" t="n">
        <f aca="false">C87+D87</f>
        <v>8.29535394831829</v>
      </c>
      <c r="F87" s="69" t="n">
        <f aca="false">MIN(E87,MAX(0,'Plan-Annahmen'!$B$16-H86))</f>
        <v>0</v>
      </c>
      <c r="G87" s="69" t="n">
        <f aca="false">E87-F87</f>
        <v>8.29535394831829</v>
      </c>
      <c r="H87" s="69" t="n">
        <f aca="false">H86+F87</f>
        <v>25</v>
      </c>
      <c r="I87" s="75" t="n">
        <f aca="false">I86*(1-'Plan-Annahmen'!$B$49)+F87</f>
        <v>21.689287130264</v>
      </c>
      <c r="J87" s="75" t="n">
        <f aca="false">J86*(1-'Plan-Annahmen'!$B$46)+G87</f>
        <v>65.0554668179559</v>
      </c>
      <c r="K87" s="76" t="n">
        <f aca="false">I87+J87</f>
        <v>86.7447539482199</v>
      </c>
      <c r="L87" s="77" t="n">
        <v>19.5</v>
      </c>
      <c r="M87" s="78" t="n">
        <f aca="false">K87*'Plan-Annahmen'!$B$71</f>
        <v>26.023426184466</v>
      </c>
      <c r="N87" s="78" t="n">
        <f aca="false">E87*'Plan-Annahmen'!$B$72</f>
        <v>8.29535394831829</v>
      </c>
      <c r="O87" s="78" t="n">
        <f aca="false">'Plan-Annahmen'!$B$70</f>
        <v>25</v>
      </c>
      <c r="P87" s="76" t="n">
        <f aca="false">L87+M87+N87+O87</f>
        <v>78.8187801327842</v>
      </c>
      <c r="Q87" s="35" t="n">
        <f aca="false">IF(P87&gt;'Plan-Annahmen'!$B$69,1,0)</f>
        <v>1</v>
      </c>
      <c r="R87" s="35" t="n">
        <f aca="false">IF(P87&gt;'Plan-Annahmen'!$B$68,1,0)</f>
        <v>0</v>
      </c>
      <c r="S87" s="35" t="n">
        <f aca="false">IF(K87&gt;='Plan-Annahmen'!$B$59,1,0)</f>
        <v>1</v>
      </c>
    </row>
    <row r="88" customFormat="false" ht="15" hidden="false" customHeight="true" outlineLevel="0" collapsed="false">
      <c r="A88" s="35" t="n">
        <v>23</v>
      </c>
      <c r="B88" s="73" t="n">
        <f aca="false">EDATE('Plan-Annahmen'!$B$8,A88-1)</f>
        <v>46935</v>
      </c>
      <c r="C88" s="66" t="n">
        <v>7</v>
      </c>
      <c r="D88" s="74" t="n">
        <f aca="false">IF(A88-'Plan-Annahmen'!$B$43&lt;1,0,INDEX($K$66:$K$89,A88-'Plan-Annahmen'!$B$43)*'Plan-Annahmen'!$B$37/12*'Plan-Annahmen'!$B$40*(1+'Plan-Annahmen'!$B$50*'Plan-Annahmen'!$B$51))</f>
        <v>1.40741914454098</v>
      </c>
      <c r="E88" s="69" t="n">
        <f aca="false">C88+D88</f>
        <v>8.40741914454098</v>
      </c>
      <c r="F88" s="69" t="n">
        <f aca="false">MIN(E88,MAX(0,'Plan-Annahmen'!$B$16-H87))</f>
        <v>0</v>
      </c>
      <c r="G88" s="69" t="n">
        <f aca="false">E88-F88</f>
        <v>8.40741914454098</v>
      </c>
      <c r="H88" s="69" t="n">
        <f aca="false">H87+F88</f>
        <v>25</v>
      </c>
      <c r="I88" s="75" t="n">
        <f aca="false">I87*(1-'Plan-Annahmen'!$B$49)+F88</f>
        <v>21.4723942589613</v>
      </c>
      <c r="J88" s="75" t="n">
        <f aca="false">J87*(1-'Plan-Annahmen'!$B$46)+G88</f>
        <v>71.5112219579582</v>
      </c>
      <c r="K88" s="76" t="n">
        <f aca="false">I88+J88</f>
        <v>92.9836162169195</v>
      </c>
      <c r="L88" s="77" t="n">
        <v>19.5</v>
      </c>
      <c r="M88" s="78" t="n">
        <f aca="false">K88*'Plan-Annahmen'!$B$71</f>
        <v>27.8950848650758</v>
      </c>
      <c r="N88" s="78" t="n">
        <f aca="false">E88*'Plan-Annahmen'!$B$72</f>
        <v>8.40741914454098</v>
      </c>
      <c r="O88" s="78" t="n">
        <f aca="false">'Plan-Annahmen'!$B$70</f>
        <v>25</v>
      </c>
      <c r="P88" s="76" t="n">
        <f aca="false">L88+M88+N88+O88</f>
        <v>80.8025040096168</v>
      </c>
      <c r="Q88" s="35" t="n">
        <f aca="false">IF(P88&gt;'Plan-Annahmen'!$B$69,1,0)</f>
        <v>1</v>
      </c>
      <c r="R88" s="35" t="n">
        <f aca="false">IF(P88&gt;'Plan-Annahmen'!$B$68,1,0)</f>
        <v>0</v>
      </c>
      <c r="S88" s="35" t="n">
        <f aca="false">IF(K88&gt;='Plan-Annahmen'!$B$59,1,0)</f>
        <v>1</v>
      </c>
    </row>
    <row r="89" customFormat="false" ht="15" hidden="false" customHeight="true" outlineLevel="0" collapsed="false">
      <c r="A89" s="35" t="n">
        <v>24</v>
      </c>
      <c r="B89" s="73" t="n">
        <f aca="false">EDATE('Plan-Annahmen'!$B$8,A89-1)</f>
        <v>46966</v>
      </c>
      <c r="C89" s="66" t="n">
        <v>7</v>
      </c>
      <c r="D89" s="74" t="n">
        <f aca="false">IF(A89-'Plan-Annahmen'!$B$43&lt;1,0,INDEX($K$66:$K$89,A89-'Plan-Annahmen'!$B$43)*'Plan-Annahmen'!$B$37/12*'Plan-Annahmen'!$B$40*(1+'Plan-Annahmen'!$B$50*'Plan-Annahmen'!$B$51))</f>
        <v>1.51803319409385</v>
      </c>
      <c r="E89" s="69" t="n">
        <f aca="false">C89+D89</f>
        <v>8.51803319409385</v>
      </c>
      <c r="F89" s="69" t="n">
        <f aca="false">MIN(E89,MAX(0,'Plan-Annahmen'!$B$16-H88))</f>
        <v>0</v>
      </c>
      <c r="G89" s="69" t="n">
        <f aca="false">E89-F89</f>
        <v>8.51803319409385</v>
      </c>
      <c r="H89" s="69" t="n">
        <f aca="false">H88+F89</f>
        <v>25</v>
      </c>
      <c r="I89" s="75" t="n">
        <f aca="false">I88*(1-'Plan-Annahmen'!$B$49)+F89</f>
        <v>21.2576703163717</v>
      </c>
      <c r="J89" s="75" t="n">
        <f aca="false">J88*(1-'Plan-Annahmen'!$B$46)+G89</f>
        <v>77.8839184933133</v>
      </c>
      <c r="K89" s="76" t="n">
        <f aca="false">I89+J89</f>
        <v>99.141588809685</v>
      </c>
      <c r="L89" s="77" t="n">
        <v>19.5</v>
      </c>
      <c r="M89" s="78" t="n">
        <f aca="false">K89*'Plan-Annahmen'!$B$71</f>
        <v>29.7424766429055</v>
      </c>
      <c r="N89" s="78" t="n">
        <f aca="false">E89*'Plan-Annahmen'!$B$72</f>
        <v>8.51803319409385</v>
      </c>
      <c r="O89" s="78" t="n">
        <f aca="false">'Plan-Annahmen'!$B$70</f>
        <v>25</v>
      </c>
      <c r="P89" s="76" t="n">
        <f aca="false">L89+M89+N89+O89</f>
        <v>82.7605098369994</v>
      </c>
      <c r="Q89" s="35" t="n">
        <f aca="false">IF(P89&gt;'Plan-Annahmen'!$B$69,1,0)</f>
        <v>1</v>
      </c>
      <c r="R89" s="35" t="n">
        <f aca="false">IF(P89&gt;'Plan-Annahmen'!$B$68,1,0)</f>
        <v>0</v>
      </c>
      <c r="S89" s="35" t="n">
        <f aca="false">IF(K89&gt;='Plan-Annahmen'!$B$59,1,0)</f>
        <v>1</v>
      </c>
    </row>
    <row r="90" customFormat="false" ht="15" hidden="false" customHeight="true" outlineLevel="0" collapsed="false">
      <c r="A90" s="14" t="s">
        <v>511</v>
      </c>
      <c r="B90" s="15"/>
      <c r="C90" s="79" t="n">
        <f aca="false">SUM(C66:C89)</f>
        <v>103.5</v>
      </c>
      <c r="D90" s="79" t="n">
        <f aca="false">SUM(D66:D89)</f>
        <v>12.6749868994896</v>
      </c>
      <c r="E90" s="79" t="n">
        <f aca="false">SUM(E66:E89)</f>
        <v>116.17498689949</v>
      </c>
      <c r="F90" s="15"/>
      <c r="G90" s="15"/>
      <c r="H90" s="15"/>
      <c r="I90" s="15"/>
      <c r="J90" s="15"/>
      <c r="K90" s="79" t="n">
        <f aca="false">K89</f>
        <v>99.141588809685</v>
      </c>
      <c r="L90" s="15"/>
      <c r="M90" s="15"/>
      <c r="N90" s="15"/>
      <c r="O90" s="15"/>
      <c r="P90" s="15"/>
      <c r="Q90" s="59" t="n">
        <f aca="false">SUM(Q66:Q89)</f>
        <v>8</v>
      </c>
      <c r="R90" s="59" t="n">
        <f aca="false">SUM(R66:R89)</f>
        <v>0</v>
      </c>
      <c r="S90" s="59" t="n">
        <f aca="false">IFERROR(INDEX($A$66:$A$89,MATCH(1,$S$66:$S$89,0)),999)</f>
        <v>10</v>
      </c>
    </row>
    <row r="93" customFormat="false" ht="26.25" hidden="false" customHeight="true" outlineLevel="0" collapsed="false">
      <c r="A93" s="44" t="s">
        <v>516</v>
      </c>
      <c r="B93" s="44"/>
      <c r="C93" s="44"/>
      <c r="D93" s="44"/>
      <c r="E93" s="44"/>
      <c r="F93" s="44"/>
      <c r="G93" s="44"/>
      <c r="H93" s="44"/>
      <c r="I93" s="44"/>
      <c r="J93" s="44"/>
      <c r="K93" s="44"/>
      <c r="L93" s="44"/>
      <c r="M93" s="44"/>
      <c r="N93" s="44"/>
      <c r="O93" s="44"/>
      <c r="P93" s="44"/>
      <c r="Q93" s="44"/>
      <c r="R93" s="44"/>
      <c r="S93" s="44"/>
    </row>
  </sheetData>
  <mergeCells count="2">
    <mergeCell ref="A2:S4"/>
    <mergeCell ref="A93:S9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M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customHeight="false" zeroHeight="false" outlineLevelRow="0" outlineLevelCol="0"/>
  <cols>
    <col collapsed="false" customWidth="true" hidden="false" outlineLevel="0" max="2" min="1" style="1" width="5"/>
    <col collapsed="false" customWidth="true" hidden="false" outlineLevel="0" max="3" min="3" style="1" width="44"/>
    <col collapsed="false" customWidth="true" hidden="false" outlineLevel="0" max="4" min="4" style="1" width="15"/>
    <col collapsed="false" customWidth="true" hidden="false" outlineLevel="0" max="5" min="5" style="1" width="11"/>
    <col collapsed="false" customWidth="true" hidden="false" outlineLevel="0" max="6" min="6" style="1" width="13"/>
    <col collapsed="false" customWidth="true" hidden="false" outlineLevel="0" max="7" min="7" style="1" width="14"/>
    <col collapsed="false" customWidth="true" hidden="false" outlineLevel="0" max="8" min="8" style="1" width="8"/>
    <col collapsed="false" customWidth="true" hidden="false" outlineLevel="0" max="9" min="9" style="1" width="13"/>
    <col collapsed="false" customWidth="true" hidden="false" outlineLevel="0" max="13" min="10" style="1" width="16"/>
    <col collapsed="false" customWidth="true" hidden="false" outlineLevel="0" max="37" min="14" style="1" width="10"/>
  </cols>
  <sheetData>
    <row r="1" customFormat="false" ht="17.25" hidden="false" customHeight="true" outlineLevel="0" collapsed="false">
      <c r="A1" s="43" t="s">
        <v>517</v>
      </c>
    </row>
    <row r="2" customFormat="false" ht="15" hidden="false" customHeight="true" outlineLevel="0" collapsed="false">
      <c r="A2" s="44" t="s">
        <v>518</v>
      </c>
      <c r="B2" s="44"/>
      <c r="C2" s="44"/>
      <c r="D2" s="44"/>
      <c r="E2" s="44"/>
      <c r="F2" s="44"/>
      <c r="G2" s="44"/>
      <c r="H2" s="44"/>
      <c r="I2" s="44"/>
      <c r="J2" s="44"/>
      <c r="K2" s="44"/>
      <c r="L2" s="44"/>
      <c r="M2" s="44"/>
    </row>
    <row r="3" customFormat="false" ht="15" hidden="false" customHeight="true" outlineLevel="0" collapsed="false">
      <c r="A3" s="44"/>
      <c r="B3" s="44"/>
      <c r="C3" s="44"/>
      <c r="D3" s="44"/>
      <c r="E3" s="44"/>
      <c r="F3" s="44"/>
      <c r="G3" s="44"/>
      <c r="H3" s="44"/>
      <c r="I3" s="44"/>
      <c r="J3" s="44"/>
      <c r="K3" s="44"/>
      <c r="L3" s="44"/>
      <c r="M3" s="44"/>
    </row>
    <row r="4" customFormat="false" ht="15" hidden="false" customHeight="true" outlineLevel="0" collapsed="false">
      <c r="A4" s="44"/>
      <c r="B4" s="44"/>
      <c r="C4" s="44"/>
      <c r="D4" s="44"/>
      <c r="E4" s="44"/>
      <c r="F4" s="44"/>
      <c r="G4" s="44"/>
      <c r="H4" s="44"/>
      <c r="I4" s="44"/>
      <c r="J4" s="44"/>
      <c r="K4" s="44"/>
      <c r="L4" s="44"/>
      <c r="M4" s="44"/>
    </row>
    <row r="6" customFormat="false" ht="39" hidden="false" customHeight="true" outlineLevel="0" collapsed="false">
      <c r="A6" s="4" t="s">
        <v>519</v>
      </c>
      <c r="B6" s="4" t="s">
        <v>520</v>
      </c>
      <c r="C6" s="4" t="s">
        <v>521</v>
      </c>
      <c r="D6" s="4" t="s">
        <v>522</v>
      </c>
      <c r="E6" s="4" t="s">
        <v>523</v>
      </c>
      <c r="F6" s="4" t="s">
        <v>321</v>
      </c>
      <c r="G6" s="4" t="s">
        <v>524</v>
      </c>
      <c r="H6" s="4" t="s">
        <v>525</v>
      </c>
      <c r="I6" s="4" t="s">
        <v>526</v>
      </c>
      <c r="J6" s="4" t="s">
        <v>527</v>
      </c>
      <c r="K6" s="4"/>
      <c r="L6" s="4"/>
      <c r="M6" s="4"/>
      <c r="N6" s="33" t="n">
        <v>1</v>
      </c>
      <c r="O6" s="33" t="n">
        <v>2</v>
      </c>
      <c r="P6" s="33" t="n">
        <v>3</v>
      </c>
      <c r="Q6" s="33" t="n">
        <v>4</v>
      </c>
      <c r="R6" s="33" t="n">
        <v>5</v>
      </c>
      <c r="S6" s="33" t="n">
        <v>6</v>
      </c>
      <c r="T6" s="33" t="n">
        <v>7</v>
      </c>
      <c r="U6" s="33" t="n">
        <v>8</v>
      </c>
      <c r="V6" s="33" t="n">
        <v>9</v>
      </c>
      <c r="W6" s="33" t="n">
        <v>10</v>
      </c>
      <c r="X6" s="33" t="n">
        <v>11</v>
      </c>
      <c r="Y6" s="33" t="n">
        <v>12</v>
      </c>
      <c r="Z6" s="33" t="n">
        <v>13</v>
      </c>
      <c r="AA6" s="33" t="n">
        <v>14</v>
      </c>
      <c r="AB6" s="33" t="n">
        <v>15</v>
      </c>
      <c r="AC6" s="33" t="n">
        <v>16</v>
      </c>
      <c r="AD6" s="33" t="n">
        <v>17</v>
      </c>
      <c r="AE6" s="33" t="n">
        <v>18</v>
      </c>
      <c r="AF6" s="33" t="n">
        <v>19</v>
      </c>
      <c r="AG6" s="33" t="n">
        <v>20</v>
      </c>
      <c r="AH6" s="33" t="n">
        <v>21</v>
      </c>
      <c r="AI6" s="33" t="n">
        <v>22</v>
      </c>
      <c r="AJ6" s="33" t="n">
        <v>23</v>
      </c>
      <c r="AK6" s="33" t="n">
        <v>24</v>
      </c>
      <c r="AL6" s="1" t="s">
        <v>528</v>
      </c>
      <c r="AM6" s="1" t="s">
        <v>529</v>
      </c>
    </row>
    <row r="7" customFormat="false" ht="51.75" hidden="false" customHeight="true" outlineLevel="0" collapsed="false">
      <c r="A7" s="35" t="n">
        <v>1</v>
      </c>
      <c r="B7" s="41" t="s">
        <v>530</v>
      </c>
      <c r="C7" s="5" t="s">
        <v>531</v>
      </c>
      <c r="D7" s="35" t="s">
        <v>532</v>
      </c>
      <c r="E7" s="66" t="n">
        <v>15</v>
      </c>
      <c r="F7" s="35" t="s">
        <v>533</v>
      </c>
      <c r="G7" s="35" t="s">
        <v>534</v>
      </c>
      <c r="H7" s="74" t="n">
        <f aca="false">'Plan-Annahmen'!$B$58</f>
        <v>2</v>
      </c>
      <c r="I7" s="67" t="n">
        <f aca="false">IF(F7="€/Monat",E7,IF(F7="€/Jahr",E7/12,IF(F7="USD/Monat",E7*'Plan-Annahmen'!$B$20,IF(F7="USD einmalig",E7*'Plan-Annahmen'!$B$20,E7))))</f>
        <v>15</v>
      </c>
      <c r="J7" s="44" t="s">
        <v>535</v>
      </c>
      <c r="K7" s="44"/>
      <c r="L7" s="44"/>
      <c r="M7" s="44"/>
      <c r="N7" s="67" t="n">
        <f aca="false">IF(N$6=$H7,$I7,0)</f>
        <v>0</v>
      </c>
      <c r="O7" s="67" t="n">
        <f aca="false">IF(O$6=$H7,$I7,0)</f>
        <v>15</v>
      </c>
      <c r="P7" s="67" t="n">
        <f aca="false">IF(P$6=$H7,$I7,0)</f>
        <v>0</v>
      </c>
      <c r="Q7" s="67" t="n">
        <f aca="false">IF(Q$6=$H7,$I7,0)</f>
        <v>0</v>
      </c>
      <c r="R7" s="67" t="n">
        <f aca="false">IF(R$6=$H7,$I7,0)</f>
        <v>0</v>
      </c>
      <c r="S7" s="67" t="n">
        <f aca="false">IF(S$6=$H7,$I7,0)</f>
        <v>0</v>
      </c>
      <c r="T7" s="67" t="n">
        <f aca="false">IF(T$6=$H7,$I7,0)</f>
        <v>0</v>
      </c>
      <c r="U7" s="67" t="n">
        <f aca="false">IF(U$6=$H7,$I7,0)</f>
        <v>0</v>
      </c>
      <c r="V7" s="67" t="n">
        <f aca="false">IF(V$6=$H7,$I7,0)</f>
        <v>0</v>
      </c>
      <c r="W7" s="67" t="n">
        <f aca="false">IF(W$6=$H7,$I7,0)</f>
        <v>0</v>
      </c>
      <c r="X7" s="67" t="n">
        <f aca="false">IF(X$6=$H7,$I7,0)</f>
        <v>0</v>
      </c>
      <c r="Y7" s="67" t="n">
        <f aca="false">IF(Y$6=$H7,$I7,0)</f>
        <v>0</v>
      </c>
      <c r="Z7" s="67" t="n">
        <f aca="false">IF(Z$6=$H7,$I7,0)</f>
        <v>0</v>
      </c>
      <c r="AA7" s="67" t="n">
        <f aca="false">IF(AA$6=$H7,$I7,0)</f>
        <v>0</v>
      </c>
      <c r="AB7" s="67" t="n">
        <f aca="false">IF(AB$6=$H7,$I7,0)</f>
        <v>0</v>
      </c>
      <c r="AC7" s="67" t="n">
        <f aca="false">IF(AC$6=$H7,$I7,0)</f>
        <v>0</v>
      </c>
      <c r="AD7" s="67" t="n">
        <f aca="false">IF(AD$6=$H7,$I7,0)</f>
        <v>0</v>
      </c>
      <c r="AE7" s="67" t="n">
        <f aca="false">IF(AE$6=$H7,$I7,0)</f>
        <v>0</v>
      </c>
      <c r="AF7" s="67" t="n">
        <f aca="false">IF(AF$6=$H7,$I7,0)</f>
        <v>0</v>
      </c>
      <c r="AG7" s="67" t="n">
        <f aca="false">IF(AG$6=$H7,$I7,0)</f>
        <v>0</v>
      </c>
      <c r="AH7" s="67" t="n">
        <f aca="false">IF(AH$6=$H7,$I7,0)</f>
        <v>0</v>
      </c>
      <c r="AI7" s="67" t="n">
        <f aca="false">IF(AI$6=$H7,$I7,0)</f>
        <v>0</v>
      </c>
      <c r="AJ7" s="67" t="n">
        <f aca="false">IF(AJ$6=$H7,$I7,0)</f>
        <v>0</v>
      </c>
      <c r="AK7" s="67" t="n">
        <f aca="false">IF(AK$6=$H7,$I7,0)</f>
        <v>0</v>
      </c>
      <c r="AL7" s="1" t="n">
        <v>0</v>
      </c>
      <c r="AM7" s="1" t="s">
        <v>536</v>
      </c>
    </row>
    <row r="8" customFormat="false" ht="26.25" hidden="false" customHeight="true" outlineLevel="0" collapsed="false">
      <c r="A8" s="80" t="n">
        <v>2</v>
      </c>
      <c r="B8" s="81" t="s">
        <v>530</v>
      </c>
      <c r="C8" s="82" t="s">
        <v>537</v>
      </c>
      <c r="D8" s="80" t="s">
        <v>538</v>
      </c>
      <c r="E8" s="64" t="n">
        <v>480</v>
      </c>
      <c r="F8" s="80" t="s">
        <v>533</v>
      </c>
      <c r="G8" s="81" t="s">
        <v>539</v>
      </c>
      <c r="H8" s="83"/>
      <c r="I8" s="84" t="n">
        <f aca="false">IF(F8="€/Monat",E8,IF(F8="€/Jahr",E8/12,IF(F8="USD/Monat",E8*'Plan-Annahmen'!$B$20,IF(F8="USD einmalig",E8*'Plan-Annahmen'!$B$20,E8))))</f>
        <v>480</v>
      </c>
      <c r="J8" s="44" t="s">
        <v>540</v>
      </c>
      <c r="K8" s="44"/>
      <c r="L8" s="44"/>
      <c r="M8" s="44"/>
      <c r="N8" s="51" t="s">
        <v>541</v>
      </c>
      <c r="O8" s="24"/>
      <c r="P8" s="24"/>
      <c r="Q8" s="24"/>
      <c r="R8" s="24"/>
      <c r="S8" s="24"/>
      <c r="T8" s="24"/>
      <c r="U8" s="24"/>
      <c r="V8" s="24"/>
      <c r="W8" s="24"/>
      <c r="X8" s="24"/>
      <c r="Y8" s="24"/>
      <c r="Z8" s="24"/>
      <c r="AA8" s="24"/>
      <c r="AB8" s="24"/>
      <c r="AC8" s="24"/>
      <c r="AD8" s="24"/>
      <c r="AE8" s="24"/>
      <c r="AF8" s="24"/>
      <c r="AG8" s="24"/>
      <c r="AH8" s="24"/>
      <c r="AI8" s="24"/>
      <c r="AJ8" s="24"/>
      <c r="AK8" s="24"/>
      <c r="AL8" s="1" t="n">
        <v>0</v>
      </c>
      <c r="AM8" s="1" t="s">
        <v>542</v>
      </c>
    </row>
    <row r="9" customFormat="false" ht="26.25" hidden="false" customHeight="true" outlineLevel="0" collapsed="false">
      <c r="A9" s="80" t="n">
        <v>3</v>
      </c>
      <c r="B9" s="81" t="s">
        <v>530</v>
      </c>
      <c r="C9" s="82" t="s">
        <v>543</v>
      </c>
      <c r="D9" s="80" t="s">
        <v>538</v>
      </c>
      <c r="E9" s="64" t="n">
        <v>500</v>
      </c>
      <c r="F9" s="80" t="s">
        <v>533</v>
      </c>
      <c r="G9" s="81" t="s">
        <v>539</v>
      </c>
      <c r="H9" s="83"/>
      <c r="I9" s="84" t="n">
        <f aca="false">IF(F9="€/Monat",E9,IF(F9="€/Jahr",E9/12,IF(F9="USD/Monat",E9*'Plan-Annahmen'!$B$20,IF(F9="USD einmalig",E9*'Plan-Annahmen'!$B$20,E9))))</f>
        <v>500</v>
      </c>
      <c r="J9" s="44" t="s">
        <v>544</v>
      </c>
      <c r="K9" s="44"/>
      <c r="L9" s="44"/>
      <c r="M9" s="44"/>
      <c r="N9" s="51" t="s">
        <v>541</v>
      </c>
      <c r="O9" s="24"/>
      <c r="P9" s="24"/>
      <c r="Q9" s="24"/>
      <c r="R9" s="24"/>
      <c r="S9" s="24"/>
      <c r="T9" s="24"/>
      <c r="U9" s="24"/>
      <c r="V9" s="24"/>
      <c r="W9" s="24"/>
      <c r="X9" s="24"/>
      <c r="Y9" s="24"/>
      <c r="Z9" s="24"/>
      <c r="AA9" s="24"/>
      <c r="AB9" s="24"/>
      <c r="AC9" s="24"/>
      <c r="AD9" s="24"/>
      <c r="AE9" s="24"/>
      <c r="AF9" s="24"/>
      <c r="AG9" s="24"/>
      <c r="AH9" s="24"/>
      <c r="AI9" s="24"/>
      <c r="AJ9" s="24"/>
      <c r="AK9" s="24"/>
      <c r="AL9" s="1" t="n">
        <v>0</v>
      </c>
      <c r="AM9" s="1" t="s">
        <v>542</v>
      </c>
    </row>
    <row r="10" customFormat="false" ht="39" hidden="false" customHeight="true" outlineLevel="0" collapsed="false">
      <c r="A10" s="80" t="n">
        <v>4</v>
      </c>
      <c r="B10" s="81" t="s">
        <v>530</v>
      </c>
      <c r="C10" s="82" t="s">
        <v>545</v>
      </c>
      <c r="D10" s="80" t="s">
        <v>546</v>
      </c>
      <c r="E10" s="64" t="n">
        <v>1000</v>
      </c>
      <c r="F10" s="80" t="s">
        <v>533</v>
      </c>
      <c r="G10" s="81" t="s">
        <v>539</v>
      </c>
      <c r="H10" s="83"/>
      <c r="I10" s="84" t="n">
        <f aca="false">IF(F10="€/Monat",E10,IF(F10="€/Jahr",E10/12,IF(F10="USD/Monat",E10*'Plan-Annahmen'!$B$20,IF(F10="USD einmalig",E10*'Plan-Annahmen'!$B$20,E10))))</f>
        <v>1000</v>
      </c>
      <c r="J10" s="44" t="s">
        <v>547</v>
      </c>
      <c r="K10" s="44"/>
      <c r="L10" s="44"/>
      <c r="M10" s="44"/>
      <c r="N10" s="51" t="s">
        <v>541</v>
      </c>
      <c r="O10" s="24"/>
      <c r="P10" s="24"/>
      <c r="Q10" s="24"/>
      <c r="R10" s="24"/>
      <c r="S10" s="24"/>
      <c r="T10" s="24"/>
      <c r="U10" s="24"/>
      <c r="V10" s="24"/>
      <c r="W10" s="24"/>
      <c r="X10" s="24"/>
      <c r="Y10" s="24"/>
      <c r="Z10" s="24"/>
      <c r="AA10" s="24"/>
      <c r="AB10" s="24"/>
      <c r="AC10" s="24"/>
      <c r="AD10" s="24"/>
      <c r="AE10" s="24"/>
      <c r="AF10" s="24"/>
      <c r="AG10" s="24"/>
      <c r="AH10" s="24"/>
      <c r="AI10" s="24"/>
      <c r="AJ10" s="24"/>
      <c r="AK10" s="24"/>
      <c r="AL10" s="1" t="n">
        <v>0</v>
      </c>
      <c r="AM10" s="1" t="s">
        <v>548</v>
      </c>
    </row>
    <row r="11" customFormat="false" ht="26.25" hidden="false" customHeight="true" outlineLevel="0" collapsed="false">
      <c r="A11" s="85" t="n">
        <v>5</v>
      </c>
      <c r="B11" s="86" t="s">
        <v>530</v>
      </c>
      <c r="C11" s="11" t="s">
        <v>549</v>
      </c>
      <c r="D11" s="85" t="s">
        <v>550</v>
      </c>
      <c r="E11" s="87" t="n">
        <v>0</v>
      </c>
      <c r="F11" s="85" t="s">
        <v>533</v>
      </c>
      <c r="G11" s="86" t="s">
        <v>539</v>
      </c>
      <c r="H11" s="88"/>
      <c r="I11" s="40"/>
      <c r="J11" s="44" t="s">
        <v>551</v>
      </c>
      <c r="K11" s="44"/>
      <c r="L11" s="44"/>
      <c r="M11" s="44"/>
      <c r="N11" s="24"/>
      <c r="O11" s="24"/>
      <c r="P11" s="24"/>
      <c r="Q11" s="24"/>
      <c r="R11" s="24"/>
      <c r="S11" s="24"/>
      <c r="T11" s="24"/>
      <c r="U11" s="24"/>
      <c r="V11" s="24"/>
      <c r="W11" s="24"/>
      <c r="X11" s="24"/>
      <c r="Y11" s="24"/>
      <c r="Z11" s="24"/>
      <c r="AA11" s="24"/>
      <c r="AB11" s="24"/>
      <c r="AC11" s="24"/>
      <c r="AD11" s="24"/>
      <c r="AE11" s="24"/>
      <c r="AF11" s="24"/>
      <c r="AG11" s="24"/>
      <c r="AH11" s="24"/>
      <c r="AI11" s="24"/>
      <c r="AJ11" s="24"/>
      <c r="AK11" s="24"/>
      <c r="AL11" s="1" t="n">
        <v>0</v>
      </c>
      <c r="AM11" s="1" t="s">
        <v>552</v>
      </c>
    </row>
    <row r="12" customFormat="false" ht="39" hidden="false" customHeight="true" outlineLevel="0" collapsed="false">
      <c r="A12" s="80" t="n">
        <v>6</v>
      </c>
      <c r="B12" s="81" t="s">
        <v>530</v>
      </c>
      <c r="C12" s="82" t="s">
        <v>553</v>
      </c>
      <c r="D12" s="80" t="s">
        <v>538</v>
      </c>
      <c r="E12" s="64" t="n">
        <v>10</v>
      </c>
      <c r="F12" s="80" t="s">
        <v>333</v>
      </c>
      <c r="G12" s="81" t="s">
        <v>539</v>
      </c>
      <c r="H12" s="83"/>
      <c r="I12" s="84" t="n">
        <f aca="false">IF(F12="€/Monat",E12,IF(F12="€/Jahr",E12/12,IF(F12="USD/Monat",E12*'Plan-Annahmen'!$B$20,IF(F12="USD einmalig",E12*'Plan-Annahmen'!$B$20,E12))))</f>
        <v>10</v>
      </c>
      <c r="J12" s="44" t="s">
        <v>554</v>
      </c>
      <c r="K12" s="44"/>
      <c r="L12" s="44"/>
      <c r="M12" s="44"/>
      <c r="N12" s="51" t="s">
        <v>541</v>
      </c>
      <c r="O12" s="24"/>
      <c r="P12" s="24"/>
      <c r="Q12" s="24"/>
      <c r="R12" s="24"/>
      <c r="S12" s="24"/>
      <c r="T12" s="24"/>
      <c r="U12" s="24"/>
      <c r="V12" s="24"/>
      <c r="W12" s="24"/>
      <c r="X12" s="24"/>
      <c r="Y12" s="24"/>
      <c r="Z12" s="24"/>
      <c r="AA12" s="24"/>
      <c r="AB12" s="24"/>
      <c r="AC12" s="24"/>
      <c r="AD12" s="24"/>
      <c r="AE12" s="24"/>
      <c r="AF12" s="24"/>
      <c r="AG12" s="24"/>
      <c r="AH12" s="24"/>
      <c r="AI12" s="24"/>
      <c r="AJ12" s="24"/>
      <c r="AK12" s="24"/>
      <c r="AL12" s="1" t="n">
        <v>0</v>
      </c>
      <c r="AM12" s="1" t="s">
        <v>555</v>
      </c>
    </row>
    <row r="13" customFormat="false" ht="64.5" hidden="false" customHeight="true" outlineLevel="0" collapsed="false">
      <c r="A13" s="85" t="n">
        <v>7</v>
      </c>
      <c r="B13" s="86" t="s">
        <v>530</v>
      </c>
      <c r="C13" s="11" t="s">
        <v>556</v>
      </c>
      <c r="D13" s="85" t="s">
        <v>550</v>
      </c>
      <c r="E13" s="87" t="n">
        <v>0</v>
      </c>
      <c r="F13" s="85" t="s">
        <v>443</v>
      </c>
      <c r="G13" s="85" t="s">
        <v>534</v>
      </c>
      <c r="H13" s="88"/>
      <c r="I13" s="40"/>
      <c r="J13" s="44" t="s">
        <v>557</v>
      </c>
      <c r="K13" s="44"/>
      <c r="L13" s="44"/>
      <c r="M13" s="44"/>
      <c r="N13" s="24"/>
      <c r="O13" s="24"/>
      <c r="P13" s="24"/>
      <c r="Q13" s="24"/>
      <c r="R13" s="24"/>
      <c r="S13" s="24"/>
      <c r="T13" s="24"/>
      <c r="U13" s="24"/>
      <c r="V13" s="24"/>
      <c r="W13" s="24"/>
      <c r="X13" s="24"/>
      <c r="Y13" s="24"/>
      <c r="Z13" s="24"/>
      <c r="AA13" s="24"/>
      <c r="AB13" s="24"/>
      <c r="AC13" s="24"/>
      <c r="AD13" s="24"/>
      <c r="AE13" s="24"/>
      <c r="AF13" s="24"/>
      <c r="AG13" s="24"/>
      <c r="AH13" s="24"/>
      <c r="AI13" s="24"/>
      <c r="AJ13" s="24"/>
      <c r="AK13" s="24"/>
      <c r="AL13" s="1" t="n">
        <v>0</v>
      </c>
      <c r="AM13" s="1" t="s">
        <v>552</v>
      </c>
    </row>
    <row r="14" customFormat="false" ht="39" hidden="false" customHeight="true" outlineLevel="0" collapsed="false">
      <c r="A14" s="80" t="n">
        <v>8</v>
      </c>
      <c r="B14" s="81" t="s">
        <v>530</v>
      </c>
      <c r="C14" s="82" t="s">
        <v>558</v>
      </c>
      <c r="D14" s="80" t="s">
        <v>538</v>
      </c>
      <c r="E14" s="64" t="n">
        <v>200</v>
      </c>
      <c r="F14" s="80" t="s">
        <v>443</v>
      </c>
      <c r="G14" s="81" t="s">
        <v>539</v>
      </c>
      <c r="H14" s="83"/>
      <c r="I14" s="84" t="n">
        <f aca="false">IF(F14="€/Monat",E14,IF(F14="€/Jahr",E14/12,IF(F14="USD/Monat",E14*'Plan-Annahmen'!$B$20,IF(F14="USD einmalig",E14*'Plan-Annahmen'!$B$20,E14))))</f>
        <v>16.6666666666667</v>
      </c>
      <c r="J14" s="44" t="s">
        <v>559</v>
      </c>
      <c r="K14" s="44"/>
      <c r="L14" s="44"/>
      <c r="M14" s="44"/>
      <c r="N14" s="51" t="s">
        <v>541</v>
      </c>
      <c r="O14" s="24"/>
      <c r="P14" s="24"/>
      <c r="Q14" s="24"/>
      <c r="R14" s="24"/>
      <c r="S14" s="24"/>
      <c r="T14" s="24"/>
      <c r="U14" s="24"/>
      <c r="V14" s="24"/>
      <c r="W14" s="24"/>
      <c r="X14" s="24"/>
      <c r="Y14" s="24"/>
      <c r="Z14" s="24"/>
      <c r="AA14" s="24"/>
      <c r="AB14" s="24"/>
      <c r="AC14" s="24"/>
      <c r="AD14" s="24"/>
      <c r="AE14" s="24"/>
      <c r="AF14" s="24"/>
      <c r="AG14" s="24"/>
      <c r="AH14" s="24"/>
      <c r="AI14" s="24"/>
      <c r="AJ14" s="24"/>
      <c r="AK14" s="24"/>
      <c r="AL14" s="1" t="n">
        <v>0</v>
      </c>
      <c r="AM14" s="1" t="s">
        <v>560</v>
      </c>
    </row>
    <row r="15" customFormat="false" ht="51.75" hidden="false" customHeight="true" outlineLevel="0" collapsed="false">
      <c r="A15" s="35" t="n">
        <v>9</v>
      </c>
      <c r="B15" s="41" t="s">
        <v>561</v>
      </c>
      <c r="C15" s="5" t="s">
        <v>562</v>
      </c>
      <c r="D15" s="35" t="s">
        <v>532</v>
      </c>
      <c r="E15" s="66" t="n">
        <v>1500</v>
      </c>
      <c r="F15" s="35" t="s">
        <v>533</v>
      </c>
      <c r="G15" s="35" t="s">
        <v>563</v>
      </c>
      <c r="H15" s="89" t="n">
        <v>3</v>
      </c>
      <c r="I15" s="67" t="n">
        <f aca="false">IF(F15="€/Monat",E15,IF(F15="€/Jahr",E15/12,IF(F15="USD/Monat",E15*'Plan-Annahmen'!$B$20,IF(F15="USD einmalig",E15*'Plan-Annahmen'!$B$20,E15))))</f>
        <v>1500</v>
      </c>
      <c r="J15" s="44" t="s">
        <v>564</v>
      </c>
      <c r="K15" s="44"/>
      <c r="L15" s="44"/>
      <c r="M15" s="44"/>
      <c r="N15" s="67" t="n">
        <f aca="false">IF(N$6=$H15,$I15,0)</f>
        <v>0</v>
      </c>
      <c r="O15" s="67" t="n">
        <f aca="false">IF(O$6=$H15,$I15,0)</f>
        <v>0</v>
      </c>
      <c r="P15" s="67" t="n">
        <f aca="false">IF(P$6=$H15,$I15,0)</f>
        <v>1500</v>
      </c>
      <c r="Q15" s="67" t="n">
        <f aca="false">IF(Q$6=$H15,$I15,0)</f>
        <v>0</v>
      </c>
      <c r="R15" s="67" t="n">
        <f aca="false">IF(R$6=$H15,$I15,0)</f>
        <v>0</v>
      </c>
      <c r="S15" s="67" t="n">
        <f aca="false">IF(S$6=$H15,$I15,0)</f>
        <v>0</v>
      </c>
      <c r="T15" s="67" t="n">
        <f aca="false">IF(T$6=$H15,$I15,0)</f>
        <v>0</v>
      </c>
      <c r="U15" s="67" t="n">
        <f aca="false">IF(U$6=$H15,$I15,0)</f>
        <v>0</v>
      </c>
      <c r="V15" s="67" t="n">
        <f aca="false">IF(V$6=$H15,$I15,0)</f>
        <v>0</v>
      </c>
      <c r="W15" s="67" t="n">
        <f aca="false">IF(W$6=$H15,$I15,0)</f>
        <v>0</v>
      </c>
      <c r="X15" s="67" t="n">
        <f aca="false">IF(X$6=$H15,$I15,0)</f>
        <v>0</v>
      </c>
      <c r="Y15" s="67" t="n">
        <f aca="false">IF(Y$6=$H15,$I15,0)</f>
        <v>0</v>
      </c>
      <c r="Z15" s="67" t="n">
        <f aca="false">IF(Z$6=$H15,$I15,0)</f>
        <v>0</v>
      </c>
      <c r="AA15" s="67" t="n">
        <f aca="false">IF(AA$6=$H15,$I15,0)</f>
        <v>0</v>
      </c>
      <c r="AB15" s="67" t="n">
        <f aca="false">IF(AB$6=$H15,$I15,0)</f>
        <v>0</v>
      </c>
      <c r="AC15" s="67" t="n">
        <f aca="false">IF(AC$6=$H15,$I15,0)</f>
        <v>0</v>
      </c>
      <c r="AD15" s="67" t="n">
        <f aca="false">IF(AD$6=$H15,$I15,0)</f>
        <v>0</v>
      </c>
      <c r="AE15" s="67" t="n">
        <f aca="false">IF(AE$6=$H15,$I15,0)</f>
        <v>0</v>
      </c>
      <c r="AF15" s="67" t="n">
        <f aca="false">IF(AF$6=$H15,$I15,0)</f>
        <v>0</v>
      </c>
      <c r="AG15" s="67" t="n">
        <f aca="false">IF(AG$6=$H15,$I15,0)</f>
        <v>0</v>
      </c>
      <c r="AH15" s="67" t="n">
        <f aca="false">IF(AH$6=$H15,$I15,0)</f>
        <v>0</v>
      </c>
      <c r="AI15" s="67" t="n">
        <f aca="false">IF(AI$6=$H15,$I15,0)</f>
        <v>0</v>
      </c>
      <c r="AJ15" s="67" t="n">
        <f aca="false">IF(AJ$6=$H15,$I15,0)</f>
        <v>0</v>
      </c>
      <c r="AK15" s="67" t="n">
        <f aca="false">IF(AK$6=$H15,$I15,0)</f>
        <v>0</v>
      </c>
      <c r="AL15" s="1" t="n">
        <v>0</v>
      </c>
      <c r="AM15" s="1" t="s">
        <v>565</v>
      </c>
    </row>
    <row r="16" customFormat="false" ht="39" hidden="false" customHeight="true" outlineLevel="0" collapsed="false">
      <c r="A16" s="35" t="n">
        <v>10</v>
      </c>
      <c r="B16" s="41" t="s">
        <v>561</v>
      </c>
      <c r="C16" s="5" t="s">
        <v>566</v>
      </c>
      <c r="D16" s="35" t="s">
        <v>532</v>
      </c>
      <c r="E16" s="66" t="n">
        <v>290</v>
      </c>
      <c r="F16" s="35" t="s">
        <v>533</v>
      </c>
      <c r="G16" s="35" t="s">
        <v>563</v>
      </c>
      <c r="H16" s="89" t="n">
        <v>4</v>
      </c>
      <c r="I16" s="67" t="n">
        <f aca="false">IF(F16="€/Monat",E16,IF(F16="€/Jahr",E16/12,IF(F16="USD/Monat",E16*'Plan-Annahmen'!$B$20,IF(F16="USD einmalig",E16*'Plan-Annahmen'!$B$20,E16))))</f>
        <v>290</v>
      </c>
      <c r="J16" s="44" t="s">
        <v>567</v>
      </c>
      <c r="K16" s="44"/>
      <c r="L16" s="44"/>
      <c r="M16" s="44"/>
      <c r="N16" s="67" t="n">
        <f aca="false">IF(N$6=$H16,$I16,0)</f>
        <v>0</v>
      </c>
      <c r="O16" s="67" t="n">
        <f aca="false">IF(O$6=$H16,$I16,0)</f>
        <v>0</v>
      </c>
      <c r="P16" s="67" t="n">
        <f aca="false">IF(P$6=$H16,$I16,0)</f>
        <v>0</v>
      </c>
      <c r="Q16" s="67" t="n">
        <f aca="false">IF(Q$6=$H16,$I16,0)</f>
        <v>290</v>
      </c>
      <c r="R16" s="67" t="n">
        <f aca="false">IF(R$6=$H16,$I16,0)</f>
        <v>0</v>
      </c>
      <c r="S16" s="67" t="n">
        <f aca="false">IF(S$6=$H16,$I16,0)</f>
        <v>0</v>
      </c>
      <c r="T16" s="67" t="n">
        <f aca="false">IF(T$6=$H16,$I16,0)</f>
        <v>0</v>
      </c>
      <c r="U16" s="67" t="n">
        <f aca="false">IF(U$6=$H16,$I16,0)</f>
        <v>0</v>
      </c>
      <c r="V16" s="67" t="n">
        <f aca="false">IF(V$6=$H16,$I16,0)</f>
        <v>0</v>
      </c>
      <c r="W16" s="67" t="n">
        <f aca="false">IF(W$6=$H16,$I16,0)</f>
        <v>0</v>
      </c>
      <c r="X16" s="67" t="n">
        <f aca="false">IF(X$6=$H16,$I16,0)</f>
        <v>0</v>
      </c>
      <c r="Y16" s="67" t="n">
        <f aca="false">IF(Y$6=$H16,$I16,0)</f>
        <v>0</v>
      </c>
      <c r="Z16" s="67" t="n">
        <f aca="false">IF(Z$6=$H16,$I16,0)</f>
        <v>0</v>
      </c>
      <c r="AA16" s="67" t="n">
        <f aca="false">IF(AA$6=$H16,$I16,0)</f>
        <v>0</v>
      </c>
      <c r="AB16" s="67" t="n">
        <f aca="false">IF(AB$6=$H16,$I16,0)</f>
        <v>0</v>
      </c>
      <c r="AC16" s="67" t="n">
        <f aca="false">IF(AC$6=$H16,$I16,0)</f>
        <v>0</v>
      </c>
      <c r="AD16" s="67" t="n">
        <f aca="false">IF(AD$6=$H16,$I16,0)</f>
        <v>0</v>
      </c>
      <c r="AE16" s="67" t="n">
        <f aca="false">IF(AE$6=$H16,$I16,0)</f>
        <v>0</v>
      </c>
      <c r="AF16" s="67" t="n">
        <f aca="false">IF(AF$6=$H16,$I16,0)</f>
        <v>0</v>
      </c>
      <c r="AG16" s="67" t="n">
        <f aca="false">IF(AG$6=$H16,$I16,0)</f>
        <v>0</v>
      </c>
      <c r="AH16" s="67" t="n">
        <f aca="false">IF(AH$6=$H16,$I16,0)</f>
        <v>0</v>
      </c>
      <c r="AI16" s="67" t="n">
        <f aca="false">IF(AI$6=$H16,$I16,0)</f>
        <v>0</v>
      </c>
      <c r="AJ16" s="67" t="n">
        <f aca="false">IF(AJ$6=$H16,$I16,0)</f>
        <v>0</v>
      </c>
      <c r="AK16" s="67" t="n">
        <f aca="false">IF(AK$6=$H16,$I16,0)</f>
        <v>0</v>
      </c>
      <c r="AL16" s="1" t="n">
        <v>0</v>
      </c>
      <c r="AM16" s="1" t="s">
        <v>568</v>
      </c>
    </row>
    <row r="17" customFormat="false" ht="15" hidden="false" customHeight="true" outlineLevel="0" collapsed="false">
      <c r="A17" s="35" t="n">
        <v>11</v>
      </c>
      <c r="B17" s="41" t="s">
        <v>561</v>
      </c>
      <c r="C17" s="5" t="s">
        <v>569</v>
      </c>
      <c r="D17" s="35" t="s">
        <v>532</v>
      </c>
      <c r="E17" s="66" t="n">
        <v>150</v>
      </c>
      <c r="F17" s="35" t="s">
        <v>533</v>
      </c>
      <c r="G17" s="35" t="s">
        <v>563</v>
      </c>
      <c r="H17" s="89" t="n">
        <v>1</v>
      </c>
      <c r="I17" s="67" t="n">
        <f aca="false">IF(F17="€/Monat",E17,IF(F17="€/Jahr",E17/12,IF(F17="USD/Monat",E17*'Plan-Annahmen'!$B$20,IF(F17="USD einmalig",E17*'Plan-Annahmen'!$B$20,E17))))</f>
        <v>150</v>
      </c>
      <c r="J17" s="44" t="s">
        <v>570</v>
      </c>
      <c r="K17" s="44"/>
      <c r="L17" s="44"/>
      <c r="M17" s="44"/>
      <c r="N17" s="67" t="n">
        <f aca="false">IF(N$6=$H17,$I17,0)</f>
        <v>150</v>
      </c>
      <c r="O17" s="67" t="n">
        <f aca="false">IF(O$6=$H17,$I17,0)</f>
        <v>0</v>
      </c>
      <c r="P17" s="67" t="n">
        <f aca="false">IF(P$6=$H17,$I17,0)</f>
        <v>0</v>
      </c>
      <c r="Q17" s="67" t="n">
        <f aca="false">IF(Q$6=$H17,$I17,0)</f>
        <v>0</v>
      </c>
      <c r="R17" s="67" t="n">
        <f aca="false">IF(R$6=$H17,$I17,0)</f>
        <v>0</v>
      </c>
      <c r="S17" s="67" t="n">
        <f aca="false">IF(S$6=$H17,$I17,0)</f>
        <v>0</v>
      </c>
      <c r="T17" s="67" t="n">
        <f aca="false">IF(T$6=$H17,$I17,0)</f>
        <v>0</v>
      </c>
      <c r="U17" s="67" t="n">
        <f aca="false">IF(U$6=$H17,$I17,0)</f>
        <v>0</v>
      </c>
      <c r="V17" s="67" t="n">
        <f aca="false">IF(V$6=$H17,$I17,0)</f>
        <v>0</v>
      </c>
      <c r="W17" s="67" t="n">
        <f aca="false">IF(W$6=$H17,$I17,0)</f>
        <v>0</v>
      </c>
      <c r="X17" s="67" t="n">
        <f aca="false">IF(X$6=$H17,$I17,0)</f>
        <v>0</v>
      </c>
      <c r="Y17" s="67" t="n">
        <f aca="false">IF(Y$6=$H17,$I17,0)</f>
        <v>0</v>
      </c>
      <c r="Z17" s="67" t="n">
        <f aca="false">IF(Z$6=$H17,$I17,0)</f>
        <v>0</v>
      </c>
      <c r="AA17" s="67" t="n">
        <f aca="false">IF(AA$6=$H17,$I17,0)</f>
        <v>0</v>
      </c>
      <c r="AB17" s="67" t="n">
        <f aca="false">IF(AB$6=$H17,$I17,0)</f>
        <v>0</v>
      </c>
      <c r="AC17" s="67" t="n">
        <f aca="false">IF(AC$6=$H17,$I17,0)</f>
        <v>0</v>
      </c>
      <c r="AD17" s="67" t="n">
        <f aca="false">IF(AD$6=$H17,$I17,0)</f>
        <v>0</v>
      </c>
      <c r="AE17" s="67" t="n">
        <f aca="false">IF(AE$6=$H17,$I17,0)</f>
        <v>0</v>
      </c>
      <c r="AF17" s="67" t="n">
        <f aca="false">IF(AF$6=$H17,$I17,0)</f>
        <v>0</v>
      </c>
      <c r="AG17" s="67" t="n">
        <f aca="false">IF(AG$6=$H17,$I17,0)</f>
        <v>0</v>
      </c>
      <c r="AH17" s="67" t="n">
        <f aca="false">IF(AH$6=$H17,$I17,0)</f>
        <v>0</v>
      </c>
      <c r="AI17" s="67" t="n">
        <f aca="false">IF(AI$6=$H17,$I17,0)</f>
        <v>0</v>
      </c>
      <c r="AJ17" s="67" t="n">
        <f aca="false">IF(AJ$6=$H17,$I17,0)</f>
        <v>0</v>
      </c>
      <c r="AK17" s="67" t="n">
        <f aca="false">IF(AK$6=$H17,$I17,0)</f>
        <v>0</v>
      </c>
      <c r="AL17" s="1" t="n">
        <f aca="false">7/107</f>
        <v>0.0654205607476635</v>
      </c>
      <c r="AM17" s="1" t="s">
        <v>571</v>
      </c>
    </row>
    <row r="18" customFormat="false" ht="15" hidden="false" customHeight="true" outlineLevel="0" collapsed="false">
      <c r="A18" s="35" t="n">
        <v>12</v>
      </c>
      <c r="B18" s="41" t="s">
        <v>561</v>
      </c>
      <c r="C18" s="5" t="s">
        <v>572</v>
      </c>
      <c r="D18" s="35" t="s">
        <v>573</v>
      </c>
      <c r="E18" s="66" t="n">
        <v>150</v>
      </c>
      <c r="F18" s="35" t="s">
        <v>443</v>
      </c>
      <c r="G18" s="35" t="s">
        <v>563</v>
      </c>
      <c r="H18" s="89" t="n">
        <v>13</v>
      </c>
      <c r="I18" s="67" t="n">
        <f aca="false">IF(F18="€/Monat",E18,IF(F18="€/Jahr",E18/12,IF(F18="USD/Monat",E18*'Plan-Annahmen'!$B$20,IF(F18="USD einmalig",E18*'Plan-Annahmen'!$B$20,E18))))</f>
        <v>12.5</v>
      </c>
      <c r="J18" s="44" t="s">
        <v>574</v>
      </c>
      <c r="K18" s="44"/>
      <c r="L18" s="44"/>
      <c r="M18" s="44"/>
      <c r="N18" s="67" t="n">
        <f aca="false">IF(N$6&gt;=$H18,$I18,0)</f>
        <v>0</v>
      </c>
      <c r="O18" s="67" t="n">
        <f aca="false">IF(O$6&gt;=$H18,$I18,0)</f>
        <v>0</v>
      </c>
      <c r="P18" s="67" t="n">
        <f aca="false">IF(P$6&gt;=$H18,$I18,0)</f>
        <v>0</v>
      </c>
      <c r="Q18" s="67" t="n">
        <f aca="false">IF(Q$6&gt;=$H18,$I18,0)</f>
        <v>0</v>
      </c>
      <c r="R18" s="67" t="n">
        <f aca="false">IF(R$6&gt;=$H18,$I18,0)</f>
        <v>0</v>
      </c>
      <c r="S18" s="67" t="n">
        <f aca="false">IF(S$6&gt;=$H18,$I18,0)</f>
        <v>0</v>
      </c>
      <c r="T18" s="67" t="n">
        <f aca="false">IF(T$6&gt;=$H18,$I18,0)</f>
        <v>0</v>
      </c>
      <c r="U18" s="67" t="n">
        <f aca="false">IF(U$6&gt;=$H18,$I18,0)</f>
        <v>0</v>
      </c>
      <c r="V18" s="67" t="n">
        <f aca="false">IF(V$6&gt;=$H18,$I18,0)</f>
        <v>0</v>
      </c>
      <c r="W18" s="67" t="n">
        <f aca="false">IF(W$6&gt;=$H18,$I18,0)</f>
        <v>0</v>
      </c>
      <c r="X18" s="67" t="n">
        <f aca="false">IF(X$6&gt;=$H18,$I18,0)</f>
        <v>0</v>
      </c>
      <c r="Y18" s="67" t="n">
        <f aca="false">IF(Y$6&gt;=$H18,$I18,0)</f>
        <v>0</v>
      </c>
      <c r="Z18" s="67" t="n">
        <f aca="false">IF(Z$6&gt;=$H18,$I18,0)</f>
        <v>12.5</v>
      </c>
      <c r="AA18" s="67" t="n">
        <f aca="false">IF(AA$6&gt;=$H18,$I18,0)</f>
        <v>12.5</v>
      </c>
      <c r="AB18" s="67" t="n">
        <f aca="false">IF(AB$6&gt;=$H18,$I18,0)</f>
        <v>12.5</v>
      </c>
      <c r="AC18" s="67" t="n">
        <f aca="false">IF(AC$6&gt;=$H18,$I18,0)</f>
        <v>12.5</v>
      </c>
      <c r="AD18" s="67" t="n">
        <f aca="false">IF(AD$6&gt;=$H18,$I18,0)</f>
        <v>12.5</v>
      </c>
      <c r="AE18" s="67" t="n">
        <f aca="false">IF(AE$6&gt;=$H18,$I18,0)</f>
        <v>12.5</v>
      </c>
      <c r="AF18" s="67" t="n">
        <f aca="false">IF(AF$6&gt;=$H18,$I18,0)</f>
        <v>12.5</v>
      </c>
      <c r="AG18" s="67" t="n">
        <f aca="false">IF(AG$6&gt;=$H18,$I18,0)</f>
        <v>12.5</v>
      </c>
      <c r="AH18" s="67" t="n">
        <f aca="false">IF(AH$6&gt;=$H18,$I18,0)</f>
        <v>12.5</v>
      </c>
      <c r="AI18" s="67" t="n">
        <f aca="false">IF(AI$6&gt;=$H18,$I18,0)</f>
        <v>12.5</v>
      </c>
      <c r="AJ18" s="67" t="n">
        <f aca="false">IF(AJ$6&gt;=$H18,$I18,0)</f>
        <v>12.5</v>
      </c>
      <c r="AK18" s="67" t="n">
        <f aca="false">IF(AK$6&gt;=$H18,$I18,0)</f>
        <v>12.5</v>
      </c>
      <c r="AL18" s="1" t="n">
        <f aca="false">7/107</f>
        <v>0.0654205607476635</v>
      </c>
      <c r="AM18" s="1" t="s">
        <v>575</v>
      </c>
    </row>
    <row r="19" customFormat="false" ht="26.25" hidden="false" customHeight="true" outlineLevel="0" collapsed="false">
      <c r="A19" s="85" t="n">
        <v>13</v>
      </c>
      <c r="B19" s="86" t="s">
        <v>561</v>
      </c>
      <c r="C19" s="11" t="s">
        <v>576</v>
      </c>
      <c r="D19" s="85" t="s">
        <v>550</v>
      </c>
      <c r="E19" s="87" t="n">
        <v>0</v>
      </c>
      <c r="F19" s="85" t="s">
        <v>333</v>
      </c>
      <c r="G19" s="85" t="s">
        <v>563</v>
      </c>
      <c r="H19" s="88"/>
      <c r="I19" s="40"/>
      <c r="J19" s="44" t="s">
        <v>577</v>
      </c>
      <c r="K19" s="44"/>
      <c r="L19" s="44"/>
      <c r="M19" s="44"/>
      <c r="N19" s="24"/>
      <c r="O19" s="24"/>
      <c r="P19" s="24"/>
      <c r="Q19" s="24"/>
      <c r="R19" s="24"/>
      <c r="S19" s="24"/>
      <c r="T19" s="24"/>
      <c r="U19" s="24"/>
      <c r="V19" s="24"/>
      <c r="W19" s="24"/>
      <c r="X19" s="24"/>
      <c r="Y19" s="24"/>
      <c r="Z19" s="24"/>
      <c r="AA19" s="24"/>
      <c r="AB19" s="24"/>
      <c r="AC19" s="24"/>
      <c r="AD19" s="24"/>
      <c r="AE19" s="24"/>
      <c r="AF19" s="24"/>
      <c r="AG19" s="24"/>
      <c r="AH19" s="24"/>
      <c r="AI19" s="24"/>
      <c r="AJ19" s="24"/>
      <c r="AK19" s="24"/>
      <c r="AL19" s="1" t="n">
        <v>0</v>
      </c>
      <c r="AM19" s="1" t="s">
        <v>552</v>
      </c>
    </row>
    <row r="20" customFormat="false" ht="26.25" hidden="false" customHeight="true" outlineLevel="0" collapsed="false">
      <c r="A20" s="35" t="n">
        <v>14</v>
      </c>
      <c r="B20" s="41" t="s">
        <v>561</v>
      </c>
      <c r="C20" s="5" t="s">
        <v>578</v>
      </c>
      <c r="D20" s="35" t="s">
        <v>579</v>
      </c>
      <c r="E20" s="66" t="n">
        <v>1000</v>
      </c>
      <c r="F20" s="35" t="s">
        <v>533</v>
      </c>
      <c r="G20" s="35" t="s">
        <v>563</v>
      </c>
      <c r="H20" s="89" t="n">
        <v>5</v>
      </c>
      <c r="I20" s="67" t="n">
        <f aca="false">IF(F20="€/Monat",E20,IF(F20="€/Jahr",E20/12,IF(F20="USD/Monat",E20*'Plan-Annahmen'!$B$20,IF(F20="USD einmalig",E20*'Plan-Annahmen'!$B$20,E20))))</f>
        <v>1000</v>
      </c>
      <c r="J20" s="44" t="s">
        <v>580</v>
      </c>
      <c r="K20" s="44"/>
      <c r="L20" s="44"/>
      <c r="M20" s="44"/>
      <c r="N20" s="67" t="n">
        <f aca="false">IF(N$6=$H20,$I20,0)</f>
        <v>0</v>
      </c>
      <c r="O20" s="67" t="n">
        <f aca="false">IF(O$6=$H20,$I20,0)</f>
        <v>0</v>
      </c>
      <c r="P20" s="67" t="n">
        <f aca="false">IF(P$6=$H20,$I20,0)</f>
        <v>0</v>
      </c>
      <c r="Q20" s="67" t="n">
        <f aca="false">IF(Q$6=$H20,$I20,0)</f>
        <v>0</v>
      </c>
      <c r="R20" s="67" t="n">
        <f aca="false">IF(R$6=$H20,$I20,0)</f>
        <v>1000</v>
      </c>
      <c r="S20" s="67" t="n">
        <f aca="false">IF(S$6=$H20,$I20,0)</f>
        <v>0</v>
      </c>
      <c r="T20" s="67" t="n">
        <f aca="false">IF(T$6=$H20,$I20,0)</f>
        <v>0</v>
      </c>
      <c r="U20" s="67" t="n">
        <f aca="false">IF(U$6=$H20,$I20,0)</f>
        <v>0</v>
      </c>
      <c r="V20" s="67" t="n">
        <f aca="false">IF(V$6=$H20,$I20,0)</f>
        <v>0</v>
      </c>
      <c r="W20" s="67" t="n">
        <f aca="false">IF(W$6=$H20,$I20,0)</f>
        <v>0</v>
      </c>
      <c r="X20" s="67" t="n">
        <f aca="false">IF(X$6=$H20,$I20,0)</f>
        <v>0</v>
      </c>
      <c r="Y20" s="67" t="n">
        <f aca="false">IF(Y$6=$H20,$I20,0)</f>
        <v>0</v>
      </c>
      <c r="Z20" s="67" t="n">
        <f aca="false">IF(Z$6=$H20,$I20,0)</f>
        <v>0</v>
      </c>
      <c r="AA20" s="67" t="n">
        <f aca="false">IF(AA$6=$H20,$I20,0)</f>
        <v>0</v>
      </c>
      <c r="AB20" s="67" t="n">
        <f aca="false">IF(AB$6=$H20,$I20,0)</f>
        <v>0</v>
      </c>
      <c r="AC20" s="67" t="n">
        <f aca="false">IF(AC$6=$H20,$I20,0)</f>
        <v>0</v>
      </c>
      <c r="AD20" s="67" t="n">
        <f aca="false">IF(AD$6=$H20,$I20,0)</f>
        <v>0</v>
      </c>
      <c r="AE20" s="67" t="n">
        <f aca="false">IF(AE$6=$H20,$I20,0)</f>
        <v>0</v>
      </c>
      <c r="AF20" s="67" t="n">
        <f aca="false">IF(AF$6=$H20,$I20,0)</f>
        <v>0</v>
      </c>
      <c r="AG20" s="67" t="n">
        <f aca="false">IF(AG$6=$H20,$I20,0)</f>
        <v>0</v>
      </c>
      <c r="AH20" s="67" t="n">
        <f aca="false">IF(AH$6=$H20,$I20,0)</f>
        <v>0</v>
      </c>
      <c r="AI20" s="67" t="n">
        <f aca="false">IF(AI$6=$H20,$I20,0)</f>
        <v>0</v>
      </c>
      <c r="AJ20" s="67" t="n">
        <f aca="false">IF(AJ$6=$H20,$I20,0)</f>
        <v>0</v>
      </c>
      <c r="AK20" s="67" t="n">
        <f aca="false">IF(AK$6=$H20,$I20,0)</f>
        <v>0</v>
      </c>
      <c r="AL20" s="1" t="n">
        <v>0</v>
      </c>
      <c r="AM20" s="1" t="s">
        <v>548</v>
      </c>
    </row>
    <row r="21" customFormat="false" ht="39" hidden="false" customHeight="true" outlineLevel="0" collapsed="false">
      <c r="A21" s="90" t="n">
        <v>15</v>
      </c>
      <c r="B21" s="91" t="s">
        <v>581</v>
      </c>
      <c r="C21" s="23" t="s">
        <v>582</v>
      </c>
      <c r="D21" s="90" t="s">
        <v>573</v>
      </c>
      <c r="E21" s="92" t="n">
        <v>300</v>
      </c>
      <c r="F21" s="90" t="s">
        <v>443</v>
      </c>
      <c r="G21" s="90" t="s">
        <v>563</v>
      </c>
      <c r="H21" s="93" t="n">
        <v>3</v>
      </c>
      <c r="I21" s="94" t="n">
        <f aca="false">IF(F21="€/Monat",E21,IF(F21="€/Jahr",E21/12,IF(F21="USD/Monat",E21*'Plan-Annahmen'!$B$20,IF(F21="USD einmalig",E21*'Plan-Annahmen'!$B$20,E21))))</f>
        <v>25</v>
      </c>
      <c r="J21" s="44" t="s">
        <v>583</v>
      </c>
      <c r="K21" s="44"/>
      <c r="L21" s="44"/>
      <c r="M21" s="44"/>
      <c r="N21" s="67" t="n">
        <f aca="false">IF(N$6&gt;=$H21,$I21,0)</f>
        <v>0</v>
      </c>
      <c r="O21" s="67" t="n">
        <f aca="false">IF(O$6&gt;=$H21,$I21,0)</f>
        <v>0</v>
      </c>
      <c r="P21" s="67" t="n">
        <f aca="false">IF(P$6&gt;=$H21,$I21,0)</f>
        <v>25</v>
      </c>
      <c r="Q21" s="67" t="n">
        <f aca="false">IF(Q$6&gt;=$H21,$I21,0)</f>
        <v>25</v>
      </c>
      <c r="R21" s="67" t="n">
        <f aca="false">IF(R$6&gt;=$H21,$I21,0)</f>
        <v>25</v>
      </c>
      <c r="S21" s="67" t="n">
        <f aca="false">IF(S$6&gt;=$H21,$I21,0)</f>
        <v>25</v>
      </c>
      <c r="T21" s="67" t="n">
        <f aca="false">IF(T$6&gt;=$H21,$I21,0)</f>
        <v>25</v>
      </c>
      <c r="U21" s="67" t="n">
        <f aca="false">IF(U$6&gt;=$H21,$I21,0)</f>
        <v>25</v>
      </c>
      <c r="V21" s="67" t="n">
        <f aca="false">IF(V$6&gt;=$H21,$I21,0)</f>
        <v>25</v>
      </c>
      <c r="W21" s="67" t="n">
        <f aca="false">IF(W$6&gt;=$H21,$I21,0)</f>
        <v>25</v>
      </c>
      <c r="X21" s="67" t="n">
        <f aca="false">IF(X$6&gt;=$H21,$I21,0)</f>
        <v>25</v>
      </c>
      <c r="Y21" s="67" t="n">
        <f aca="false">IF(Y$6&gt;=$H21,$I21,0)</f>
        <v>25</v>
      </c>
      <c r="Z21" s="67" t="n">
        <f aca="false">IF(Z$6&gt;=$H21,$I21,0)</f>
        <v>25</v>
      </c>
      <c r="AA21" s="67" t="n">
        <f aca="false">IF(AA$6&gt;=$H21,$I21,0)</f>
        <v>25</v>
      </c>
      <c r="AB21" s="67" t="n">
        <f aca="false">IF(AB$6&gt;=$H21,$I21,0)</f>
        <v>25</v>
      </c>
      <c r="AC21" s="67" t="n">
        <f aca="false">IF(AC$6&gt;=$H21,$I21,0)</f>
        <v>25</v>
      </c>
      <c r="AD21" s="67" t="n">
        <f aca="false">IF(AD$6&gt;=$H21,$I21,0)</f>
        <v>25</v>
      </c>
      <c r="AE21" s="67" t="n">
        <f aca="false">IF(AE$6&gt;=$H21,$I21,0)</f>
        <v>25</v>
      </c>
      <c r="AF21" s="67" t="n">
        <f aca="false">IF(AF$6&gt;=$H21,$I21,0)</f>
        <v>25</v>
      </c>
      <c r="AG21" s="67" t="n">
        <f aca="false">IF(AG$6&gt;=$H21,$I21,0)</f>
        <v>25</v>
      </c>
      <c r="AH21" s="67" t="n">
        <f aca="false">IF(AH$6&gt;=$H21,$I21,0)</f>
        <v>25</v>
      </c>
      <c r="AI21" s="67" t="n">
        <f aca="false">IF(AI$6&gt;=$H21,$I21,0)</f>
        <v>25</v>
      </c>
      <c r="AJ21" s="67" t="n">
        <f aca="false">IF(AJ$6&gt;=$H21,$I21,0)</f>
        <v>25</v>
      </c>
      <c r="AK21" s="67" t="n">
        <f aca="false">IF(AK$6&gt;=$H21,$I21,0)</f>
        <v>25</v>
      </c>
      <c r="AL21" s="1" t="n">
        <v>0</v>
      </c>
      <c r="AM21" s="1" t="s">
        <v>584</v>
      </c>
    </row>
    <row r="22" customFormat="false" ht="15" hidden="false" customHeight="true" outlineLevel="0" collapsed="false">
      <c r="A22" s="35" t="n">
        <v>16</v>
      </c>
      <c r="B22" s="41" t="s">
        <v>581</v>
      </c>
      <c r="C22" s="5" t="s">
        <v>585</v>
      </c>
      <c r="D22" s="35" t="s">
        <v>573</v>
      </c>
      <c r="E22" s="66" t="n">
        <v>100</v>
      </c>
      <c r="F22" s="35" t="s">
        <v>443</v>
      </c>
      <c r="G22" s="35" t="s">
        <v>563</v>
      </c>
      <c r="H22" s="89" t="n">
        <v>3</v>
      </c>
      <c r="I22" s="67" t="n">
        <f aca="false">IF(F22="€/Monat",E22,IF(F22="€/Jahr",E22/12,IF(F22="USD/Monat",E22*'Plan-Annahmen'!$B$20,IF(F22="USD einmalig",E22*'Plan-Annahmen'!$B$20,E22))))</f>
        <v>8.33333333333333</v>
      </c>
      <c r="J22" s="44" t="s">
        <v>586</v>
      </c>
      <c r="K22" s="44"/>
      <c r="L22" s="44"/>
      <c r="M22" s="44"/>
      <c r="N22" s="67" t="n">
        <f aca="false">IF(N$6&gt;=$H22,$I22,0)</f>
        <v>0</v>
      </c>
      <c r="O22" s="67" t="n">
        <f aca="false">IF(O$6&gt;=$H22,$I22,0)</f>
        <v>0</v>
      </c>
      <c r="P22" s="67" t="n">
        <f aca="false">IF(P$6&gt;=$H22,$I22,0)</f>
        <v>8.33333333333333</v>
      </c>
      <c r="Q22" s="67" t="n">
        <f aca="false">IF(Q$6&gt;=$H22,$I22,0)</f>
        <v>8.33333333333333</v>
      </c>
      <c r="R22" s="67" t="n">
        <f aca="false">IF(R$6&gt;=$H22,$I22,0)</f>
        <v>8.33333333333333</v>
      </c>
      <c r="S22" s="67" t="n">
        <f aca="false">IF(S$6&gt;=$H22,$I22,0)</f>
        <v>8.33333333333333</v>
      </c>
      <c r="T22" s="67" t="n">
        <f aca="false">IF(T$6&gt;=$H22,$I22,0)</f>
        <v>8.33333333333333</v>
      </c>
      <c r="U22" s="67" t="n">
        <f aca="false">IF(U$6&gt;=$H22,$I22,0)</f>
        <v>8.33333333333333</v>
      </c>
      <c r="V22" s="67" t="n">
        <f aca="false">IF(V$6&gt;=$H22,$I22,0)</f>
        <v>8.33333333333333</v>
      </c>
      <c r="W22" s="67" t="n">
        <f aca="false">IF(W$6&gt;=$H22,$I22,0)</f>
        <v>8.33333333333333</v>
      </c>
      <c r="X22" s="67" t="n">
        <f aca="false">IF(X$6&gt;=$H22,$I22,0)</f>
        <v>8.33333333333333</v>
      </c>
      <c r="Y22" s="67" t="n">
        <f aca="false">IF(Y$6&gt;=$H22,$I22,0)</f>
        <v>8.33333333333333</v>
      </c>
      <c r="Z22" s="67" t="n">
        <f aca="false">IF(Z$6&gt;=$H22,$I22,0)</f>
        <v>8.33333333333333</v>
      </c>
      <c r="AA22" s="67" t="n">
        <f aca="false">IF(AA$6&gt;=$H22,$I22,0)</f>
        <v>8.33333333333333</v>
      </c>
      <c r="AB22" s="67" t="n">
        <f aca="false">IF(AB$6&gt;=$H22,$I22,0)</f>
        <v>8.33333333333333</v>
      </c>
      <c r="AC22" s="67" t="n">
        <f aca="false">IF(AC$6&gt;=$H22,$I22,0)</f>
        <v>8.33333333333333</v>
      </c>
      <c r="AD22" s="67" t="n">
        <f aca="false">IF(AD$6&gt;=$H22,$I22,0)</f>
        <v>8.33333333333333</v>
      </c>
      <c r="AE22" s="67" t="n">
        <f aca="false">IF(AE$6&gt;=$H22,$I22,0)</f>
        <v>8.33333333333333</v>
      </c>
      <c r="AF22" s="67" t="n">
        <f aca="false">IF(AF$6&gt;=$H22,$I22,0)</f>
        <v>8.33333333333333</v>
      </c>
      <c r="AG22" s="67" t="n">
        <f aca="false">IF(AG$6&gt;=$H22,$I22,0)</f>
        <v>8.33333333333333</v>
      </c>
      <c r="AH22" s="67" t="n">
        <f aca="false">IF(AH$6&gt;=$H22,$I22,0)</f>
        <v>8.33333333333333</v>
      </c>
      <c r="AI22" s="67" t="n">
        <f aca="false">IF(AI$6&gt;=$H22,$I22,0)</f>
        <v>8.33333333333333</v>
      </c>
      <c r="AJ22" s="67" t="n">
        <f aca="false">IF(AJ$6&gt;=$H22,$I22,0)</f>
        <v>8.33333333333333</v>
      </c>
      <c r="AK22" s="67" t="n">
        <f aca="false">IF(AK$6&gt;=$H22,$I22,0)</f>
        <v>8.33333333333333</v>
      </c>
      <c r="AL22" s="1" t="n">
        <v>0</v>
      </c>
      <c r="AM22" s="1" t="s">
        <v>587</v>
      </c>
    </row>
    <row r="23" customFormat="false" ht="26.25" hidden="false" customHeight="true" outlineLevel="0" collapsed="false">
      <c r="A23" s="85" t="n">
        <v>17</v>
      </c>
      <c r="B23" s="86" t="s">
        <v>581</v>
      </c>
      <c r="C23" s="11" t="s">
        <v>588</v>
      </c>
      <c r="D23" s="85" t="s">
        <v>550</v>
      </c>
      <c r="E23" s="87" t="n">
        <v>0</v>
      </c>
      <c r="F23" s="85" t="s">
        <v>443</v>
      </c>
      <c r="G23" s="85" t="s">
        <v>563</v>
      </c>
      <c r="H23" s="88"/>
      <c r="I23" s="40"/>
      <c r="J23" s="44" t="s">
        <v>589</v>
      </c>
      <c r="K23" s="44"/>
      <c r="L23" s="44"/>
      <c r="M23" s="44"/>
      <c r="N23" s="24"/>
      <c r="O23" s="24"/>
      <c r="P23" s="24"/>
      <c r="Q23" s="24"/>
      <c r="R23" s="24"/>
      <c r="S23" s="24"/>
      <c r="T23" s="24"/>
      <c r="U23" s="24"/>
      <c r="V23" s="24"/>
      <c r="W23" s="24"/>
      <c r="X23" s="24"/>
      <c r="Y23" s="24"/>
      <c r="Z23" s="24"/>
      <c r="AA23" s="24"/>
      <c r="AB23" s="24"/>
      <c r="AC23" s="24"/>
      <c r="AD23" s="24"/>
      <c r="AE23" s="24"/>
      <c r="AF23" s="24"/>
      <c r="AG23" s="24"/>
      <c r="AH23" s="24"/>
      <c r="AI23" s="24"/>
      <c r="AJ23" s="24"/>
      <c r="AK23" s="24"/>
      <c r="AL23" s="1" t="n">
        <v>0</v>
      </c>
      <c r="AM23" s="1" t="s">
        <v>552</v>
      </c>
    </row>
    <row r="24" customFormat="false" ht="77.25" hidden="false" customHeight="true" outlineLevel="0" collapsed="false">
      <c r="A24" s="90" t="n">
        <v>18</v>
      </c>
      <c r="B24" s="91" t="s">
        <v>590</v>
      </c>
      <c r="C24" s="23" t="s">
        <v>591</v>
      </c>
      <c r="D24" s="90" t="s">
        <v>573</v>
      </c>
      <c r="E24" s="92" t="n">
        <v>800</v>
      </c>
      <c r="F24" s="90" t="s">
        <v>443</v>
      </c>
      <c r="G24" s="90" t="s">
        <v>534</v>
      </c>
      <c r="H24" s="95" t="n">
        <f aca="false">'Plan-Annahmen'!$B$58</f>
        <v>2</v>
      </c>
      <c r="I24" s="94" t="n">
        <f aca="false">IF(F24="€/Monat",E24,IF(F24="€/Jahr",E24/12,IF(F24="USD/Monat",E24*'Plan-Annahmen'!$B$20,IF(F24="USD einmalig",E24*'Plan-Annahmen'!$B$20,E24))))</f>
        <v>66.6666666666667</v>
      </c>
      <c r="J24" s="44" t="s">
        <v>592</v>
      </c>
      <c r="K24" s="44"/>
      <c r="L24" s="44"/>
      <c r="M24" s="44"/>
      <c r="N24" s="67" t="n">
        <f aca="false">IF(N$6&gt;=$H24,$I24,0)</f>
        <v>0</v>
      </c>
      <c r="O24" s="67" t="n">
        <f aca="false">IF(O$6&gt;=$H24,$I24,0)</f>
        <v>66.6666666666667</v>
      </c>
      <c r="P24" s="67" t="n">
        <f aca="false">IF(P$6&gt;=$H24,$I24,0)</f>
        <v>66.6666666666667</v>
      </c>
      <c r="Q24" s="67" t="n">
        <f aca="false">IF(Q$6&gt;=$H24,$I24,0)</f>
        <v>66.6666666666667</v>
      </c>
      <c r="R24" s="67" t="n">
        <f aca="false">IF(R$6&gt;=$H24,$I24,0)</f>
        <v>66.6666666666667</v>
      </c>
      <c r="S24" s="67" t="n">
        <f aca="false">IF(S$6&gt;=$H24,$I24,0)</f>
        <v>66.6666666666667</v>
      </c>
      <c r="T24" s="67" t="n">
        <f aca="false">IF(T$6&gt;=$H24,$I24,0)</f>
        <v>66.6666666666667</v>
      </c>
      <c r="U24" s="67" t="n">
        <f aca="false">IF(U$6&gt;=$H24,$I24,0)</f>
        <v>66.6666666666667</v>
      </c>
      <c r="V24" s="67" t="n">
        <f aca="false">IF(V$6&gt;=$H24,$I24,0)</f>
        <v>66.6666666666667</v>
      </c>
      <c r="W24" s="67" t="n">
        <f aca="false">IF(W$6&gt;=$H24,$I24,0)</f>
        <v>66.6666666666667</v>
      </c>
      <c r="X24" s="67" t="n">
        <f aca="false">IF(X$6&gt;=$H24,$I24,0)</f>
        <v>66.6666666666667</v>
      </c>
      <c r="Y24" s="67" t="n">
        <f aca="false">IF(Y$6&gt;=$H24,$I24,0)</f>
        <v>66.6666666666667</v>
      </c>
      <c r="Z24" s="67" t="n">
        <f aca="false">IF(Z$6&gt;=$H24,$I24,0)</f>
        <v>66.6666666666667</v>
      </c>
      <c r="AA24" s="67" t="n">
        <f aca="false">IF(AA$6&gt;=$H24,$I24,0)</f>
        <v>66.6666666666667</v>
      </c>
      <c r="AB24" s="67" t="n">
        <f aca="false">IF(AB$6&gt;=$H24,$I24,0)</f>
        <v>66.6666666666667</v>
      </c>
      <c r="AC24" s="67" t="n">
        <f aca="false">IF(AC$6&gt;=$H24,$I24,0)</f>
        <v>66.6666666666667</v>
      </c>
      <c r="AD24" s="67" t="n">
        <f aca="false">IF(AD$6&gt;=$H24,$I24,0)</f>
        <v>66.6666666666667</v>
      </c>
      <c r="AE24" s="67" t="n">
        <f aca="false">IF(AE$6&gt;=$H24,$I24,0)</f>
        <v>66.6666666666667</v>
      </c>
      <c r="AF24" s="67" t="n">
        <f aca="false">IF(AF$6&gt;=$H24,$I24,0)</f>
        <v>66.6666666666667</v>
      </c>
      <c r="AG24" s="67" t="n">
        <f aca="false">IF(AG$6&gt;=$H24,$I24,0)</f>
        <v>66.6666666666667</v>
      </c>
      <c r="AH24" s="67" t="n">
        <f aca="false">IF(AH$6&gt;=$H24,$I24,0)</f>
        <v>66.6666666666667</v>
      </c>
      <c r="AI24" s="67" t="n">
        <f aca="false">IF(AI$6&gt;=$H24,$I24,0)</f>
        <v>66.6666666666667</v>
      </c>
      <c r="AJ24" s="67" t="n">
        <f aca="false">IF(AJ$6&gt;=$H24,$I24,0)</f>
        <v>66.6666666666667</v>
      </c>
      <c r="AK24" s="67" t="n">
        <f aca="false">IF(AK$6&gt;=$H24,$I24,0)</f>
        <v>66.6666666666667</v>
      </c>
      <c r="AL24" s="1" t="n">
        <v>0</v>
      </c>
      <c r="AM24" s="1" t="s">
        <v>593</v>
      </c>
    </row>
    <row r="25" customFormat="false" ht="39" hidden="false" customHeight="true" outlineLevel="0" collapsed="false">
      <c r="A25" s="90" t="n">
        <v>19</v>
      </c>
      <c r="B25" s="91" t="s">
        <v>590</v>
      </c>
      <c r="C25" s="23" t="s">
        <v>594</v>
      </c>
      <c r="D25" s="90" t="s">
        <v>538</v>
      </c>
      <c r="E25" s="92" t="n">
        <v>3000</v>
      </c>
      <c r="F25" s="90" t="s">
        <v>443</v>
      </c>
      <c r="G25" s="91" t="s">
        <v>539</v>
      </c>
      <c r="H25" s="93"/>
      <c r="I25" s="94" t="n">
        <f aca="false">IF(F25="€/Monat",E25,IF(F25="€/Jahr",E25/12,IF(F25="USD/Monat",E25*'Plan-Annahmen'!$B$20,IF(F25="USD einmalig",E25*'Plan-Annahmen'!$B$20,E25))))</f>
        <v>250</v>
      </c>
      <c r="J25" s="44" t="s">
        <v>595</v>
      </c>
      <c r="K25" s="44"/>
      <c r="L25" s="44"/>
      <c r="M25" s="44"/>
      <c r="N25" s="51" t="s">
        <v>541</v>
      </c>
      <c r="O25" s="24"/>
      <c r="P25" s="24"/>
      <c r="Q25" s="24"/>
      <c r="R25" s="24"/>
      <c r="S25" s="24"/>
      <c r="T25" s="24"/>
      <c r="U25" s="24"/>
      <c r="V25" s="24"/>
      <c r="W25" s="24"/>
      <c r="X25" s="24"/>
      <c r="Y25" s="24"/>
      <c r="Z25" s="24"/>
      <c r="AA25" s="24"/>
      <c r="AB25" s="24"/>
      <c r="AC25" s="24"/>
      <c r="AD25" s="24"/>
      <c r="AE25" s="24"/>
      <c r="AF25" s="24"/>
      <c r="AG25" s="24"/>
      <c r="AH25" s="24"/>
      <c r="AI25" s="24"/>
      <c r="AJ25" s="24"/>
      <c r="AK25" s="24"/>
      <c r="AL25" s="1" t="n">
        <v>0</v>
      </c>
      <c r="AM25" s="1" t="s">
        <v>596</v>
      </c>
    </row>
    <row r="26" customFormat="false" ht="26.25" hidden="false" customHeight="true" outlineLevel="0" collapsed="false">
      <c r="A26" s="35" t="n">
        <v>20</v>
      </c>
      <c r="B26" s="41" t="s">
        <v>590</v>
      </c>
      <c r="C26" s="5" t="s">
        <v>597</v>
      </c>
      <c r="D26" s="35" t="s">
        <v>573</v>
      </c>
      <c r="E26" s="66" t="n">
        <v>14.16</v>
      </c>
      <c r="F26" s="35" t="s">
        <v>333</v>
      </c>
      <c r="G26" s="35" t="s">
        <v>563</v>
      </c>
      <c r="H26" s="74" t="n">
        <f aca="false">'Plan-Annahmen'!$B$58</f>
        <v>2</v>
      </c>
      <c r="I26" s="67" t="n">
        <f aca="false">IF(F26="€/Monat",E26,IF(F26="€/Jahr",E26/12,IF(F26="USD/Monat",E26*'Plan-Annahmen'!$B$20,IF(F26="USD einmalig",E26*'Plan-Annahmen'!$B$20,E26))))</f>
        <v>14.16</v>
      </c>
      <c r="J26" s="44" t="s">
        <v>598</v>
      </c>
      <c r="K26" s="44"/>
      <c r="L26" s="44"/>
      <c r="M26" s="44"/>
      <c r="N26" s="67" t="n">
        <f aca="false">IF(N$6&gt;=$H26,$I26,0)</f>
        <v>0</v>
      </c>
      <c r="O26" s="67" t="n">
        <f aca="false">IF(O$6&gt;=$H26,$I26,0)</f>
        <v>14.16</v>
      </c>
      <c r="P26" s="67" t="n">
        <f aca="false">IF(P$6&gt;=$H26,$I26,0)</f>
        <v>14.16</v>
      </c>
      <c r="Q26" s="67" t="n">
        <f aca="false">IF(Q$6&gt;=$H26,$I26,0)</f>
        <v>14.16</v>
      </c>
      <c r="R26" s="67" t="n">
        <f aca="false">IF(R$6&gt;=$H26,$I26,0)</f>
        <v>14.16</v>
      </c>
      <c r="S26" s="67" t="n">
        <f aca="false">IF(S$6&gt;=$H26,$I26,0)</f>
        <v>14.16</v>
      </c>
      <c r="T26" s="67" t="n">
        <f aca="false">IF(T$6&gt;=$H26,$I26,0)</f>
        <v>14.16</v>
      </c>
      <c r="U26" s="67" t="n">
        <f aca="false">IF(U$6&gt;=$H26,$I26,0)</f>
        <v>14.16</v>
      </c>
      <c r="V26" s="67" t="n">
        <f aca="false">IF(V$6&gt;=$H26,$I26,0)</f>
        <v>14.16</v>
      </c>
      <c r="W26" s="67" t="n">
        <f aca="false">IF(W$6&gt;=$H26,$I26,0)</f>
        <v>14.16</v>
      </c>
      <c r="X26" s="67" t="n">
        <f aca="false">IF(X$6&gt;=$H26,$I26,0)</f>
        <v>14.16</v>
      </c>
      <c r="Y26" s="67" t="n">
        <f aca="false">IF(Y$6&gt;=$H26,$I26,0)</f>
        <v>14.16</v>
      </c>
      <c r="Z26" s="67" t="n">
        <f aca="false">IF(Z$6&gt;=$H26,$I26,0)</f>
        <v>14.16</v>
      </c>
      <c r="AA26" s="67" t="n">
        <f aca="false">IF(AA$6&gt;=$H26,$I26,0)</f>
        <v>14.16</v>
      </c>
      <c r="AB26" s="67" t="n">
        <f aca="false">IF(AB$6&gt;=$H26,$I26,0)</f>
        <v>14.16</v>
      </c>
      <c r="AC26" s="67" t="n">
        <f aca="false">IF(AC$6&gt;=$H26,$I26,0)</f>
        <v>14.16</v>
      </c>
      <c r="AD26" s="67" t="n">
        <f aca="false">IF(AD$6&gt;=$H26,$I26,0)</f>
        <v>14.16</v>
      </c>
      <c r="AE26" s="67" t="n">
        <f aca="false">IF(AE$6&gt;=$H26,$I26,0)</f>
        <v>14.16</v>
      </c>
      <c r="AF26" s="67" t="n">
        <f aca="false">IF(AF$6&gt;=$H26,$I26,0)</f>
        <v>14.16</v>
      </c>
      <c r="AG26" s="67" t="n">
        <f aca="false">IF(AG$6&gt;=$H26,$I26,0)</f>
        <v>14.16</v>
      </c>
      <c r="AH26" s="67" t="n">
        <f aca="false">IF(AH$6&gt;=$H26,$I26,0)</f>
        <v>14.16</v>
      </c>
      <c r="AI26" s="67" t="n">
        <f aca="false">IF(AI$6&gt;=$H26,$I26,0)</f>
        <v>14.16</v>
      </c>
      <c r="AJ26" s="67" t="n">
        <f aca="false">IF(AJ$6&gt;=$H26,$I26,0)</f>
        <v>14.16</v>
      </c>
      <c r="AK26" s="67" t="n">
        <f aca="false">IF(AK$6&gt;=$H26,$I26,0)</f>
        <v>14.16</v>
      </c>
      <c r="AL26" s="1" t="n">
        <f aca="false">19/119</f>
        <v>0.159663865546218</v>
      </c>
      <c r="AM26" s="1" t="s">
        <v>599</v>
      </c>
    </row>
    <row r="27" customFormat="false" ht="51.75" hidden="false" customHeight="true" outlineLevel="0" collapsed="false">
      <c r="A27" s="35" t="n">
        <v>21</v>
      </c>
      <c r="B27" s="41" t="s">
        <v>590</v>
      </c>
      <c r="C27" s="5" t="s">
        <v>600</v>
      </c>
      <c r="D27" s="35" t="s">
        <v>601</v>
      </c>
      <c r="E27" s="96" t="n">
        <f aca="false">'Plan-Annahmen'!$B$82</f>
        <v>0.30836877</v>
      </c>
      <c r="F27" s="35" t="s">
        <v>602</v>
      </c>
      <c r="G27" s="35" t="s">
        <v>563</v>
      </c>
      <c r="H27" s="89"/>
      <c r="I27" s="24"/>
      <c r="J27" s="44" t="s">
        <v>603</v>
      </c>
      <c r="K27" s="44"/>
      <c r="L27" s="44"/>
      <c r="M27" s="44"/>
      <c r="N27" s="24"/>
      <c r="O27" s="24"/>
      <c r="P27" s="24"/>
      <c r="Q27" s="24"/>
      <c r="R27" s="24"/>
      <c r="S27" s="24"/>
      <c r="T27" s="24"/>
      <c r="U27" s="24"/>
      <c r="V27" s="24"/>
      <c r="W27" s="24"/>
      <c r="X27" s="24"/>
      <c r="Y27" s="24"/>
      <c r="Z27" s="24"/>
      <c r="AA27" s="24"/>
      <c r="AB27" s="24"/>
      <c r="AC27" s="24"/>
      <c r="AD27" s="24"/>
      <c r="AE27" s="24"/>
      <c r="AF27" s="24"/>
      <c r="AG27" s="24"/>
      <c r="AH27" s="24"/>
      <c r="AI27" s="24"/>
      <c r="AJ27" s="24"/>
      <c r="AK27" s="24"/>
      <c r="AL27" s="1" t="n">
        <v>0</v>
      </c>
      <c r="AM27" s="1" t="s">
        <v>604</v>
      </c>
    </row>
    <row r="28" customFormat="false" ht="51.75" hidden="false" customHeight="true" outlineLevel="0" collapsed="false">
      <c r="A28" s="85" t="n">
        <v>22</v>
      </c>
      <c r="B28" s="86" t="s">
        <v>590</v>
      </c>
      <c r="C28" s="11" t="s">
        <v>605</v>
      </c>
      <c r="D28" s="85" t="s">
        <v>550</v>
      </c>
      <c r="E28" s="87" t="n">
        <v>0</v>
      </c>
      <c r="F28" s="85" t="s">
        <v>443</v>
      </c>
      <c r="G28" s="85" t="s">
        <v>534</v>
      </c>
      <c r="H28" s="88"/>
      <c r="I28" s="40"/>
      <c r="J28" s="44" t="s">
        <v>606</v>
      </c>
      <c r="K28" s="44"/>
      <c r="L28" s="44"/>
      <c r="M28" s="44"/>
      <c r="N28" s="24"/>
      <c r="O28" s="24"/>
      <c r="P28" s="24"/>
      <c r="Q28" s="24"/>
      <c r="R28" s="24"/>
      <c r="S28" s="24"/>
      <c r="T28" s="24"/>
      <c r="U28" s="24"/>
      <c r="V28" s="24"/>
      <c r="W28" s="24"/>
      <c r="X28" s="24"/>
      <c r="Y28" s="24"/>
      <c r="Z28" s="24"/>
      <c r="AA28" s="24"/>
      <c r="AB28" s="24"/>
      <c r="AC28" s="24"/>
      <c r="AD28" s="24"/>
      <c r="AE28" s="24"/>
      <c r="AF28" s="24"/>
      <c r="AG28" s="24"/>
      <c r="AH28" s="24"/>
      <c r="AI28" s="24"/>
      <c r="AJ28" s="24"/>
      <c r="AK28" s="24"/>
      <c r="AL28" s="1" t="n">
        <v>0</v>
      </c>
      <c r="AM28" s="1" t="s">
        <v>552</v>
      </c>
    </row>
    <row r="29" customFormat="false" ht="77.25" hidden="false" customHeight="true" outlineLevel="0" collapsed="false">
      <c r="A29" s="90" t="n">
        <v>23</v>
      </c>
      <c r="B29" s="91" t="s">
        <v>590</v>
      </c>
      <c r="C29" s="23" t="s">
        <v>607</v>
      </c>
      <c r="D29" s="90" t="s">
        <v>608</v>
      </c>
      <c r="E29" s="92" t="n">
        <v>0</v>
      </c>
      <c r="F29" s="90" t="s">
        <v>134</v>
      </c>
      <c r="G29" s="91" t="s">
        <v>539</v>
      </c>
      <c r="H29" s="93"/>
      <c r="I29" s="97"/>
      <c r="J29" s="44" t="s">
        <v>609</v>
      </c>
      <c r="K29" s="44"/>
      <c r="L29" s="44"/>
      <c r="M29" s="44"/>
      <c r="N29" s="24"/>
      <c r="O29" s="24"/>
      <c r="P29" s="24"/>
      <c r="Q29" s="24"/>
      <c r="R29" s="24"/>
      <c r="S29" s="24"/>
      <c r="T29" s="24"/>
      <c r="U29" s="24"/>
      <c r="V29" s="24"/>
      <c r="W29" s="24"/>
      <c r="X29" s="24"/>
      <c r="Y29" s="24"/>
      <c r="Z29" s="24"/>
      <c r="AA29" s="24"/>
      <c r="AB29" s="24"/>
      <c r="AC29" s="24"/>
      <c r="AD29" s="24"/>
      <c r="AE29" s="24"/>
      <c r="AF29" s="24"/>
      <c r="AG29" s="24"/>
      <c r="AH29" s="24"/>
      <c r="AI29" s="24"/>
      <c r="AJ29" s="24"/>
      <c r="AK29" s="24"/>
      <c r="AL29" s="1" t="n">
        <v>0</v>
      </c>
      <c r="AM29" s="1" t="s">
        <v>610</v>
      </c>
    </row>
    <row r="30" customFormat="false" ht="26.25" hidden="false" customHeight="true" outlineLevel="0" collapsed="false">
      <c r="A30" s="85" t="n">
        <v>24</v>
      </c>
      <c r="B30" s="86" t="s">
        <v>590</v>
      </c>
      <c r="C30" s="11" t="s">
        <v>611</v>
      </c>
      <c r="D30" s="85" t="s">
        <v>550</v>
      </c>
      <c r="E30" s="87" t="n">
        <v>0</v>
      </c>
      <c r="F30" s="85" t="s">
        <v>443</v>
      </c>
      <c r="G30" s="85" t="s">
        <v>534</v>
      </c>
      <c r="H30" s="88"/>
      <c r="I30" s="40"/>
      <c r="J30" s="44" t="s">
        <v>612</v>
      </c>
      <c r="K30" s="44"/>
      <c r="L30" s="44"/>
      <c r="M30" s="44"/>
      <c r="N30" s="24"/>
      <c r="O30" s="24"/>
      <c r="P30" s="24"/>
      <c r="Q30" s="24"/>
      <c r="R30" s="24"/>
      <c r="S30" s="24"/>
      <c r="T30" s="24"/>
      <c r="U30" s="24"/>
      <c r="V30" s="24"/>
      <c r="W30" s="24"/>
      <c r="X30" s="24"/>
      <c r="Y30" s="24"/>
      <c r="Z30" s="24"/>
      <c r="AA30" s="24"/>
      <c r="AB30" s="24"/>
      <c r="AC30" s="24"/>
      <c r="AD30" s="24"/>
      <c r="AE30" s="24"/>
      <c r="AF30" s="24"/>
      <c r="AG30" s="24"/>
      <c r="AH30" s="24"/>
      <c r="AI30" s="24"/>
      <c r="AJ30" s="24"/>
      <c r="AK30" s="24"/>
      <c r="AL30" s="1" t="n">
        <v>0</v>
      </c>
      <c r="AM30" s="1" t="s">
        <v>552</v>
      </c>
    </row>
    <row r="31" customFormat="false" ht="51.75" hidden="false" customHeight="true" outlineLevel="0" collapsed="false">
      <c r="A31" s="35" t="n">
        <v>25</v>
      </c>
      <c r="B31" s="41" t="s">
        <v>590</v>
      </c>
      <c r="C31" s="5" t="s">
        <v>613</v>
      </c>
      <c r="D31" s="35" t="s">
        <v>601</v>
      </c>
      <c r="E31" s="74" t="n">
        <f aca="false">'Plan-Annahmen'!$B$61</f>
        <v>1</v>
      </c>
      <c r="F31" s="35" t="s">
        <v>397</v>
      </c>
      <c r="G31" s="35" t="s">
        <v>563</v>
      </c>
      <c r="H31" s="89"/>
      <c r="I31" s="24"/>
      <c r="J31" s="44" t="s">
        <v>614</v>
      </c>
      <c r="K31" s="44"/>
      <c r="L31" s="44"/>
      <c r="M31" s="44"/>
      <c r="N31" s="24"/>
      <c r="O31" s="24"/>
      <c r="P31" s="24"/>
      <c r="Q31" s="24"/>
      <c r="R31" s="24"/>
      <c r="S31" s="24"/>
      <c r="T31" s="24"/>
      <c r="U31" s="24"/>
      <c r="V31" s="24"/>
      <c r="W31" s="24"/>
      <c r="X31" s="24"/>
      <c r="Y31" s="24"/>
      <c r="Z31" s="24"/>
      <c r="AA31" s="24"/>
      <c r="AB31" s="24"/>
      <c r="AC31" s="24"/>
      <c r="AD31" s="24"/>
      <c r="AE31" s="24"/>
      <c r="AF31" s="24"/>
      <c r="AG31" s="24"/>
      <c r="AH31" s="24"/>
      <c r="AI31" s="24"/>
      <c r="AJ31" s="24"/>
      <c r="AK31" s="24"/>
      <c r="AL31" s="1" t="n">
        <v>0</v>
      </c>
      <c r="AM31" s="1" t="s">
        <v>615</v>
      </c>
    </row>
    <row r="32" customFormat="false" ht="39" hidden="false" customHeight="true" outlineLevel="0" collapsed="false">
      <c r="A32" s="35" t="n">
        <v>26</v>
      </c>
      <c r="B32" s="41" t="s">
        <v>590</v>
      </c>
      <c r="C32" s="5" t="s">
        <v>616</v>
      </c>
      <c r="D32" s="35" t="s">
        <v>601</v>
      </c>
      <c r="E32" s="66" t="n">
        <v>0</v>
      </c>
      <c r="F32" s="35" t="s">
        <v>347</v>
      </c>
      <c r="G32" s="35" t="s">
        <v>563</v>
      </c>
      <c r="H32" s="89"/>
      <c r="I32" s="24"/>
      <c r="J32" s="44" t="s">
        <v>617</v>
      </c>
      <c r="K32" s="44"/>
      <c r="L32" s="44"/>
      <c r="M32" s="44"/>
      <c r="N32" s="24"/>
      <c r="O32" s="24"/>
      <c r="P32" s="24"/>
      <c r="Q32" s="24"/>
      <c r="R32" s="24"/>
      <c r="S32" s="24"/>
      <c r="T32" s="24"/>
      <c r="U32" s="24"/>
      <c r="V32" s="24"/>
      <c r="W32" s="24"/>
      <c r="X32" s="24"/>
      <c r="Y32" s="24"/>
      <c r="Z32" s="24"/>
      <c r="AA32" s="24"/>
      <c r="AB32" s="24"/>
      <c r="AC32" s="24"/>
      <c r="AD32" s="24"/>
      <c r="AE32" s="24"/>
      <c r="AF32" s="24"/>
      <c r="AG32" s="24"/>
      <c r="AH32" s="24"/>
      <c r="AI32" s="24"/>
      <c r="AJ32" s="24"/>
      <c r="AK32" s="24"/>
      <c r="AL32" s="1" t="n">
        <v>0</v>
      </c>
      <c r="AM32" s="1" t="s">
        <v>618</v>
      </c>
    </row>
    <row r="33" customFormat="false" ht="64.5" hidden="false" customHeight="true" outlineLevel="0" collapsed="false">
      <c r="A33" s="35" t="n">
        <v>27</v>
      </c>
      <c r="B33" s="41" t="s">
        <v>619</v>
      </c>
      <c r="C33" s="5" t="s">
        <v>620</v>
      </c>
      <c r="D33" s="35" t="s">
        <v>573</v>
      </c>
      <c r="E33" s="66" t="n">
        <v>50</v>
      </c>
      <c r="F33" s="35" t="s">
        <v>621</v>
      </c>
      <c r="G33" s="35" t="s">
        <v>563</v>
      </c>
      <c r="H33" s="89" t="n">
        <v>1</v>
      </c>
      <c r="I33" s="67" t="n">
        <f aca="false">IF(F33="€/Monat",E33,IF(F33="€/Jahr",E33/12,IF(F33="USD/Monat",E33*'Plan-Annahmen'!$B$20,IF(F33="USD einmalig",E33*'Plan-Annahmen'!$B$20,E33))))</f>
        <v>43</v>
      </c>
      <c r="J33" s="44" t="s">
        <v>622</v>
      </c>
      <c r="K33" s="44"/>
      <c r="L33" s="44"/>
      <c r="M33" s="44"/>
      <c r="N33" s="67" t="n">
        <f aca="false">IF(N$6&gt;=$H33,$I33,0)</f>
        <v>43</v>
      </c>
      <c r="O33" s="67" t="n">
        <f aca="false">IF(O$6&gt;=$H33,$I33,0)</f>
        <v>43</v>
      </c>
      <c r="P33" s="67" t="n">
        <f aca="false">IF(P$6&gt;=$H33,$I33,0)</f>
        <v>43</v>
      </c>
      <c r="Q33" s="67" t="n">
        <f aca="false">IF(Q$6&gt;=$H33,$I33,0)</f>
        <v>43</v>
      </c>
      <c r="R33" s="67" t="n">
        <f aca="false">IF(R$6&gt;=$H33,$I33,0)</f>
        <v>43</v>
      </c>
      <c r="S33" s="67" t="n">
        <f aca="false">IF(S$6&gt;=$H33,$I33,0)</f>
        <v>43</v>
      </c>
      <c r="T33" s="67" t="n">
        <f aca="false">IF(T$6&gt;=$H33,$I33,0)</f>
        <v>43</v>
      </c>
      <c r="U33" s="67" t="n">
        <f aca="false">IF(U$6&gt;=$H33,$I33,0)</f>
        <v>43</v>
      </c>
      <c r="V33" s="67" t="n">
        <f aca="false">IF(V$6&gt;=$H33,$I33,0)</f>
        <v>43</v>
      </c>
      <c r="W33" s="67" t="n">
        <f aca="false">IF(W$6&gt;=$H33,$I33,0)</f>
        <v>43</v>
      </c>
      <c r="X33" s="67" t="n">
        <f aca="false">IF(X$6&gt;=$H33,$I33,0)</f>
        <v>43</v>
      </c>
      <c r="Y33" s="67" t="n">
        <f aca="false">IF(Y$6&gt;=$H33,$I33,0)</f>
        <v>43</v>
      </c>
      <c r="Z33" s="67" t="n">
        <f aca="false">IF(Z$6&gt;=$H33,$I33,0)</f>
        <v>43</v>
      </c>
      <c r="AA33" s="67" t="n">
        <f aca="false">IF(AA$6&gt;=$H33,$I33,0)</f>
        <v>43</v>
      </c>
      <c r="AB33" s="67" t="n">
        <f aca="false">IF(AB$6&gt;=$H33,$I33,0)</f>
        <v>43</v>
      </c>
      <c r="AC33" s="67" t="n">
        <f aca="false">IF(AC$6&gt;=$H33,$I33,0)</f>
        <v>43</v>
      </c>
      <c r="AD33" s="67" t="n">
        <f aca="false">IF(AD$6&gt;=$H33,$I33,0)</f>
        <v>43</v>
      </c>
      <c r="AE33" s="67" t="n">
        <f aca="false">IF(AE$6&gt;=$H33,$I33,0)</f>
        <v>43</v>
      </c>
      <c r="AF33" s="67" t="n">
        <f aca="false">IF(AF$6&gt;=$H33,$I33,0)</f>
        <v>43</v>
      </c>
      <c r="AG33" s="67" t="n">
        <f aca="false">IF(AG$6&gt;=$H33,$I33,0)</f>
        <v>43</v>
      </c>
      <c r="AH33" s="67" t="n">
        <f aca="false">IF(AH$6&gt;=$H33,$I33,0)</f>
        <v>43</v>
      </c>
      <c r="AI33" s="67" t="n">
        <f aca="false">IF(AI$6&gt;=$H33,$I33,0)</f>
        <v>43</v>
      </c>
      <c r="AJ33" s="67" t="n">
        <f aca="false">IF(AJ$6&gt;=$H33,$I33,0)</f>
        <v>43</v>
      </c>
      <c r="AK33" s="67" t="n">
        <f aca="false">IF(AK$6&gt;=$H33,$I33,0)</f>
        <v>43</v>
      </c>
      <c r="AL33" s="1" t="n">
        <v>0</v>
      </c>
      <c r="AM33" s="1" t="s">
        <v>623</v>
      </c>
    </row>
    <row r="34" customFormat="false" ht="26.25" hidden="false" customHeight="true" outlineLevel="0" collapsed="false">
      <c r="A34" s="35" t="n">
        <v>28</v>
      </c>
      <c r="B34" s="41" t="s">
        <v>619</v>
      </c>
      <c r="C34" s="5" t="s">
        <v>624</v>
      </c>
      <c r="D34" s="35" t="s">
        <v>573</v>
      </c>
      <c r="E34" s="66" t="n">
        <v>23.8</v>
      </c>
      <c r="F34" s="35" t="s">
        <v>621</v>
      </c>
      <c r="G34" s="35" t="s">
        <v>563</v>
      </c>
      <c r="H34" s="89" t="n">
        <v>1</v>
      </c>
      <c r="I34" s="67" t="n">
        <f aca="false">IF(F34="€/Monat",E34,IF(F34="€/Jahr",E34/12,IF(F34="USD/Monat",E34*'Plan-Annahmen'!$B$20,IF(F34="USD einmalig",E34*'Plan-Annahmen'!$B$20,E34))))</f>
        <v>20.468</v>
      </c>
      <c r="J34" s="44" t="s">
        <v>625</v>
      </c>
      <c r="K34" s="44"/>
      <c r="L34" s="44"/>
      <c r="M34" s="44"/>
      <c r="N34" s="67" t="n">
        <f aca="false">IF(N$6&gt;=$H34,$I34,0)</f>
        <v>20.468</v>
      </c>
      <c r="O34" s="67" t="n">
        <f aca="false">IF(O$6&gt;=$H34,$I34,0)</f>
        <v>20.468</v>
      </c>
      <c r="P34" s="67" t="n">
        <f aca="false">IF(P$6&gt;=$H34,$I34,0)</f>
        <v>20.468</v>
      </c>
      <c r="Q34" s="67" t="n">
        <f aca="false">IF(Q$6&gt;=$H34,$I34,0)</f>
        <v>20.468</v>
      </c>
      <c r="R34" s="67" t="n">
        <f aca="false">IF(R$6&gt;=$H34,$I34,0)</f>
        <v>20.468</v>
      </c>
      <c r="S34" s="67" t="n">
        <f aca="false">IF(S$6&gt;=$H34,$I34,0)</f>
        <v>20.468</v>
      </c>
      <c r="T34" s="67" t="n">
        <f aca="false">IF(T$6&gt;=$H34,$I34,0)</f>
        <v>20.468</v>
      </c>
      <c r="U34" s="67" t="n">
        <f aca="false">IF(U$6&gt;=$H34,$I34,0)</f>
        <v>20.468</v>
      </c>
      <c r="V34" s="67" t="n">
        <f aca="false">IF(V$6&gt;=$H34,$I34,0)</f>
        <v>20.468</v>
      </c>
      <c r="W34" s="67" t="n">
        <f aca="false">IF(W$6&gt;=$H34,$I34,0)</f>
        <v>20.468</v>
      </c>
      <c r="X34" s="67" t="n">
        <f aca="false">IF(X$6&gt;=$H34,$I34,0)</f>
        <v>20.468</v>
      </c>
      <c r="Y34" s="67" t="n">
        <f aca="false">IF(Y$6&gt;=$H34,$I34,0)</f>
        <v>20.468</v>
      </c>
      <c r="Z34" s="67" t="n">
        <f aca="false">IF(Z$6&gt;=$H34,$I34,0)</f>
        <v>20.468</v>
      </c>
      <c r="AA34" s="67" t="n">
        <f aca="false">IF(AA$6&gt;=$H34,$I34,0)</f>
        <v>20.468</v>
      </c>
      <c r="AB34" s="67" t="n">
        <f aca="false">IF(AB$6&gt;=$H34,$I34,0)</f>
        <v>20.468</v>
      </c>
      <c r="AC34" s="67" t="n">
        <f aca="false">IF(AC$6&gt;=$H34,$I34,0)</f>
        <v>20.468</v>
      </c>
      <c r="AD34" s="67" t="n">
        <f aca="false">IF(AD$6&gt;=$H34,$I34,0)</f>
        <v>20.468</v>
      </c>
      <c r="AE34" s="67" t="n">
        <f aca="false">IF(AE$6&gt;=$H34,$I34,0)</f>
        <v>20.468</v>
      </c>
      <c r="AF34" s="67" t="n">
        <f aca="false">IF(AF$6&gt;=$H34,$I34,0)</f>
        <v>20.468</v>
      </c>
      <c r="AG34" s="67" t="n">
        <f aca="false">IF(AG$6&gt;=$H34,$I34,0)</f>
        <v>20.468</v>
      </c>
      <c r="AH34" s="67" t="n">
        <f aca="false">IF(AH$6&gt;=$H34,$I34,0)</f>
        <v>20.468</v>
      </c>
      <c r="AI34" s="67" t="n">
        <f aca="false">IF(AI$6&gt;=$H34,$I34,0)</f>
        <v>20.468</v>
      </c>
      <c r="AJ34" s="67" t="n">
        <f aca="false">IF(AJ$6&gt;=$H34,$I34,0)</f>
        <v>20.468</v>
      </c>
      <c r="AK34" s="67" t="n">
        <f aca="false">IF(AK$6&gt;=$H34,$I34,0)</f>
        <v>20.468</v>
      </c>
      <c r="AL34" s="1" t="n">
        <f aca="false">19/119</f>
        <v>0.159663865546218</v>
      </c>
      <c r="AM34" s="1" t="s">
        <v>626</v>
      </c>
    </row>
    <row r="35" customFormat="false" ht="39" hidden="false" customHeight="true" outlineLevel="0" collapsed="false">
      <c r="A35" s="90" t="n">
        <v>29</v>
      </c>
      <c r="B35" s="91" t="s">
        <v>619</v>
      </c>
      <c r="C35" s="23" t="s">
        <v>627</v>
      </c>
      <c r="D35" s="90" t="s">
        <v>573</v>
      </c>
      <c r="E35" s="92" t="n">
        <v>53.55</v>
      </c>
      <c r="F35" s="90" t="s">
        <v>621</v>
      </c>
      <c r="G35" s="90" t="s">
        <v>563</v>
      </c>
      <c r="H35" s="93" t="n">
        <v>1</v>
      </c>
      <c r="I35" s="94" t="n">
        <f aca="false">IF(F35="€/Monat",E35,IF(F35="€/Jahr",E35/12,IF(F35="USD/Monat",E35*'Plan-Annahmen'!$B$20,IF(F35="USD einmalig",E35*'Plan-Annahmen'!$B$20,E35))))</f>
        <v>46.053</v>
      </c>
      <c r="J35" s="44" t="s">
        <v>628</v>
      </c>
      <c r="K35" s="44"/>
      <c r="L35" s="44"/>
      <c r="M35" s="44"/>
      <c r="N35" s="67" t="n">
        <f aca="false">IF(N$6&gt;=$H35,$I35,0)</f>
        <v>46.053</v>
      </c>
      <c r="O35" s="67" t="n">
        <f aca="false">IF(O$6&gt;=$H35,$I35,0)</f>
        <v>46.053</v>
      </c>
      <c r="P35" s="67" t="n">
        <f aca="false">IF(P$6&gt;=$H35,$I35,0)</f>
        <v>46.053</v>
      </c>
      <c r="Q35" s="67" t="n">
        <f aca="false">IF(Q$6&gt;=$H35,$I35,0)</f>
        <v>46.053</v>
      </c>
      <c r="R35" s="67" t="n">
        <f aca="false">IF(R$6&gt;=$H35,$I35,0)</f>
        <v>46.053</v>
      </c>
      <c r="S35" s="67" t="n">
        <f aca="false">IF(S$6&gt;=$H35,$I35,0)</f>
        <v>46.053</v>
      </c>
      <c r="T35" s="67" t="n">
        <f aca="false">IF(T$6&gt;=$H35,$I35,0)</f>
        <v>46.053</v>
      </c>
      <c r="U35" s="67" t="n">
        <f aca="false">IF(U$6&gt;=$H35,$I35,0)</f>
        <v>46.053</v>
      </c>
      <c r="V35" s="67" t="n">
        <f aca="false">IF(V$6&gt;=$H35,$I35,0)</f>
        <v>46.053</v>
      </c>
      <c r="W35" s="67" t="n">
        <f aca="false">IF(W$6&gt;=$H35,$I35,0)</f>
        <v>46.053</v>
      </c>
      <c r="X35" s="67" t="n">
        <f aca="false">IF(X$6&gt;=$H35,$I35,0)</f>
        <v>46.053</v>
      </c>
      <c r="Y35" s="67" t="n">
        <f aca="false">IF(Y$6&gt;=$H35,$I35,0)</f>
        <v>46.053</v>
      </c>
      <c r="Z35" s="67" t="n">
        <f aca="false">IF(Z$6&gt;=$H35,$I35,0)</f>
        <v>46.053</v>
      </c>
      <c r="AA35" s="67" t="n">
        <f aca="false">IF(AA$6&gt;=$H35,$I35,0)</f>
        <v>46.053</v>
      </c>
      <c r="AB35" s="67" t="n">
        <f aca="false">IF(AB$6&gt;=$H35,$I35,0)</f>
        <v>46.053</v>
      </c>
      <c r="AC35" s="67" t="n">
        <f aca="false">IF(AC$6&gt;=$H35,$I35,0)</f>
        <v>46.053</v>
      </c>
      <c r="AD35" s="67" t="n">
        <f aca="false">IF(AD$6&gt;=$H35,$I35,0)</f>
        <v>46.053</v>
      </c>
      <c r="AE35" s="67" t="n">
        <f aca="false">IF(AE$6&gt;=$H35,$I35,0)</f>
        <v>46.053</v>
      </c>
      <c r="AF35" s="67" t="n">
        <f aca="false">IF(AF$6&gt;=$H35,$I35,0)</f>
        <v>46.053</v>
      </c>
      <c r="AG35" s="67" t="n">
        <f aca="false">IF(AG$6&gt;=$H35,$I35,0)</f>
        <v>46.053</v>
      </c>
      <c r="AH35" s="67" t="n">
        <f aca="false">IF(AH$6&gt;=$H35,$I35,0)</f>
        <v>46.053</v>
      </c>
      <c r="AI35" s="67" t="n">
        <f aca="false">IF(AI$6&gt;=$H35,$I35,0)</f>
        <v>46.053</v>
      </c>
      <c r="AJ35" s="67" t="n">
        <f aca="false">IF(AJ$6&gt;=$H35,$I35,0)</f>
        <v>46.053</v>
      </c>
      <c r="AK35" s="67" t="n">
        <f aca="false">IF(AK$6&gt;=$H35,$I35,0)</f>
        <v>46.053</v>
      </c>
      <c r="AL35" s="1" t="n">
        <f aca="false">19/119</f>
        <v>0.159663865546218</v>
      </c>
      <c r="AM35" s="1" t="s">
        <v>629</v>
      </c>
    </row>
    <row r="36" customFormat="false" ht="26.25" hidden="false" customHeight="true" outlineLevel="0" collapsed="false">
      <c r="A36" s="35" t="n">
        <v>30</v>
      </c>
      <c r="B36" s="41" t="s">
        <v>619</v>
      </c>
      <c r="C36" s="5" t="s">
        <v>33</v>
      </c>
      <c r="D36" s="35" t="s">
        <v>573</v>
      </c>
      <c r="E36" s="66" t="n">
        <v>22</v>
      </c>
      <c r="F36" s="35" t="s">
        <v>333</v>
      </c>
      <c r="G36" s="35" t="s">
        <v>563</v>
      </c>
      <c r="H36" s="89" t="n">
        <v>1</v>
      </c>
      <c r="I36" s="67" t="n">
        <f aca="false">IF(F36="€/Monat",E36,IF(F36="€/Jahr",E36/12,IF(F36="USD/Monat",E36*'Plan-Annahmen'!$B$20,IF(F36="USD einmalig",E36*'Plan-Annahmen'!$B$20,E36))))</f>
        <v>22</v>
      </c>
      <c r="J36" s="44" t="s">
        <v>630</v>
      </c>
      <c r="K36" s="44"/>
      <c r="L36" s="44"/>
      <c r="M36" s="44"/>
      <c r="N36" s="67" t="n">
        <f aca="false">IF(N$6&gt;=$H36,$I36,0)</f>
        <v>22</v>
      </c>
      <c r="O36" s="67" t="n">
        <f aca="false">IF(O$6&gt;=$H36,$I36,0)</f>
        <v>22</v>
      </c>
      <c r="P36" s="67" t="n">
        <f aca="false">IF(P$6&gt;=$H36,$I36,0)</f>
        <v>22</v>
      </c>
      <c r="Q36" s="67" t="n">
        <f aca="false">IF(Q$6&gt;=$H36,$I36,0)</f>
        <v>22</v>
      </c>
      <c r="R36" s="67" t="n">
        <f aca="false">IF(R$6&gt;=$H36,$I36,0)</f>
        <v>22</v>
      </c>
      <c r="S36" s="67" t="n">
        <f aca="false">IF(S$6&gt;=$H36,$I36,0)</f>
        <v>22</v>
      </c>
      <c r="T36" s="67" t="n">
        <f aca="false">IF(T$6&gt;=$H36,$I36,0)</f>
        <v>22</v>
      </c>
      <c r="U36" s="67" t="n">
        <f aca="false">IF(U$6&gt;=$H36,$I36,0)</f>
        <v>22</v>
      </c>
      <c r="V36" s="67" t="n">
        <f aca="false">IF(V$6&gt;=$H36,$I36,0)</f>
        <v>22</v>
      </c>
      <c r="W36" s="67" t="n">
        <f aca="false">IF(W$6&gt;=$H36,$I36,0)</f>
        <v>22</v>
      </c>
      <c r="X36" s="67" t="n">
        <f aca="false">IF(X$6&gt;=$H36,$I36,0)</f>
        <v>22</v>
      </c>
      <c r="Y36" s="67" t="n">
        <f aca="false">IF(Y$6&gt;=$H36,$I36,0)</f>
        <v>22</v>
      </c>
      <c r="Z36" s="67" t="n">
        <f aca="false">IF(Z$6&gt;=$H36,$I36,0)</f>
        <v>22</v>
      </c>
      <c r="AA36" s="67" t="n">
        <f aca="false">IF(AA$6&gt;=$H36,$I36,0)</f>
        <v>22</v>
      </c>
      <c r="AB36" s="67" t="n">
        <f aca="false">IF(AB$6&gt;=$H36,$I36,0)</f>
        <v>22</v>
      </c>
      <c r="AC36" s="67" t="n">
        <f aca="false">IF(AC$6&gt;=$H36,$I36,0)</f>
        <v>22</v>
      </c>
      <c r="AD36" s="67" t="n">
        <f aca="false">IF(AD$6&gt;=$H36,$I36,0)</f>
        <v>22</v>
      </c>
      <c r="AE36" s="67" t="n">
        <f aca="false">IF(AE$6&gt;=$H36,$I36,0)</f>
        <v>22</v>
      </c>
      <c r="AF36" s="67" t="n">
        <f aca="false">IF(AF$6&gt;=$H36,$I36,0)</f>
        <v>22</v>
      </c>
      <c r="AG36" s="67" t="n">
        <f aca="false">IF(AG$6&gt;=$H36,$I36,0)</f>
        <v>22</v>
      </c>
      <c r="AH36" s="67" t="n">
        <f aca="false">IF(AH$6&gt;=$H36,$I36,0)</f>
        <v>22</v>
      </c>
      <c r="AI36" s="67" t="n">
        <f aca="false">IF(AI$6&gt;=$H36,$I36,0)</f>
        <v>22</v>
      </c>
      <c r="AJ36" s="67" t="n">
        <f aca="false">IF(AJ$6&gt;=$H36,$I36,0)</f>
        <v>22</v>
      </c>
      <c r="AK36" s="67" t="n">
        <f aca="false">IF(AK$6&gt;=$H36,$I36,0)</f>
        <v>22</v>
      </c>
      <c r="AL36" s="1" t="n">
        <f aca="false">19/119</f>
        <v>0.159663865546218</v>
      </c>
      <c r="AM36" s="1" t="s">
        <v>631</v>
      </c>
    </row>
    <row r="37" customFormat="false" ht="51.75" hidden="false" customHeight="true" outlineLevel="0" collapsed="false">
      <c r="A37" s="35" t="n">
        <v>31</v>
      </c>
      <c r="B37" s="41" t="s">
        <v>619</v>
      </c>
      <c r="C37" s="5" t="s">
        <v>632</v>
      </c>
      <c r="D37" s="35" t="s">
        <v>573</v>
      </c>
      <c r="E37" s="69" t="n">
        <f aca="false">2.5+13/12</f>
        <v>3.58333333333333</v>
      </c>
      <c r="F37" s="35" t="s">
        <v>333</v>
      </c>
      <c r="G37" s="35" t="s">
        <v>563</v>
      </c>
      <c r="H37" s="89" t="n">
        <v>1</v>
      </c>
      <c r="I37" s="67" t="n">
        <f aca="false">IF(F37="€/Monat",E37,IF(F37="€/Jahr",E37/12,IF(F37="USD/Monat",E37*'Plan-Annahmen'!$B$20,IF(F37="USD einmalig",E37*'Plan-Annahmen'!$B$20,E37))))</f>
        <v>3.58333333333333</v>
      </c>
      <c r="J37" s="44" t="s">
        <v>633</v>
      </c>
      <c r="K37" s="44"/>
      <c r="L37" s="44"/>
      <c r="M37" s="44"/>
      <c r="N37" s="67" t="n">
        <f aca="false">IF(N$6&gt;=$H37,$I37,0)</f>
        <v>3.58333333333333</v>
      </c>
      <c r="O37" s="67" t="n">
        <f aca="false">IF(O$6&gt;=$H37,$I37,0)</f>
        <v>3.58333333333333</v>
      </c>
      <c r="P37" s="67" t="n">
        <f aca="false">IF(P$6&gt;=$H37,$I37,0)</f>
        <v>3.58333333333333</v>
      </c>
      <c r="Q37" s="67" t="n">
        <f aca="false">IF(Q$6&gt;=$H37,$I37,0)</f>
        <v>3.58333333333333</v>
      </c>
      <c r="R37" s="67" t="n">
        <f aca="false">IF(R$6&gt;=$H37,$I37,0)</f>
        <v>3.58333333333333</v>
      </c>
      <c r="S37" s="67" t="n">
        <f aca="false">IF(S$6&gt;=$H37,$I37,0)</f>
        <v>3.58333333333333</v>
      </c>
      <c r="T37" s="67" t="n">
        <f aca="false">IF(T$6&gt;=$H37,$I37,0)</f>
        <v>3.58333333333333</v>
      </c>
      <c r="U37" s="67" t="n">
        <f aca="false">IF(U$6&gt;=$H37,$I37,0)</f>
        <v>3.58333333333333</v>
      </c>
      <c r="V37" s="67" t="n">
        <f aca="false">IF(V$6&gt;=$H37,$I37,0)</f>
        <v>3.58333333333333</v>
      </c>
      <c r="W37" s="67" t="n">
        <f aca="false">IF(W$6&gt;=$H37,$I37,0)</f>
        <v>3.58333333333333</v>
      </c>
      <c r="X37" s="67" t="n">
        <f aca="false">IF(X$6&gt;=$H37,$I37,0)</f>
        <v>3.58333333333333</v>
      </c>
      <c r="Y37" s="67" t="n">
        <f aca="false">IF(Y$6&gt;=$H37,$I37,0)</f>
        <v>3.58333333333333</v>
      </c>
      <c r="Z37" s="67" t="n">
        <f aca="false">IF(Z$6&gt;=$H37,$I37,0)</f>
        <v>3.58333333333333</v>
      </c>
      <c r="AA37" s="67" t="n">
        <f aca="false">IF(AA$6&gt;=$H37,$I37,0)</f>
        <v>3.58333333333333</v>
      </c>
      <c r="AB37" s="67" t="n">
        <f aca="false">IF(AB$6&gt;=$H37,$I37,0)</f>
        <v>3.58333333333333</v>
      </c>
      <c r="AC37" s="67" t="n">
        <f aca="false">IF(AC$6&gt;=$H37,$I37,0)</f>
        <v>3.58333333333333</v>
      </c>
      <c r="AD37" s="67" t="n">
        <f aca="false">IF(AD$6&gt;=$H37,$I37,0)</f>
        <v>3.58333333333333</v>
      </c>
      <c r="AE37" s="67" t="n">
        <f aca="false">IF(AE$6&gt;=$H37,$I37,0)</f>
        <v>3.58333333333333</v>
      </c>
      <c r="AF37" s="67" t="n">
        <f aca="false">IF(AF$6&gt;=$H37,$I37,0)</f>
        <v>3.58333333333333</v>
      </c>
      <c r="AG37" s="67" t="n">
        <f aca="false">IF(AG$6&gt;=$H37,$I37,0)</f>
        <v>3.58333333333333</v>
      </c>
      <c r="AH37" s="67" t="n">
        <f aca="false">IF(AH$6&gt;=$H37,$I37,0)</f>
        <v>3.58333333333333</v>
      </c>
      <c r="AI37" s="67" t="n">
        <f aca="false">IF(AI$6&gt;=$H37,$I37,0)</f>
        <v>3.58333333333333</v>
      </c>
      <c r="AJ37" s="67" t="n">
        <f aca="false">IF(AJ$6&gt;=$H37,$I37,0)</f>
        <v>3.58333333333333</v>
      </c>
      <c r="AK37" s="67" t="n">
        <f aca="false">IF(AK$6&gt;=$H37,$I37,0)</f>
        <v>3.58333333333333</v>
      </c>
      <c r="AL37" s="1" t="n">
        <f aca="false">19/119</f>
        <v>0.159663865546218</v>
      </c>
      <c r="AM37" s="1" t="s">
        <v>634</v>
      </c>
    </row>
    <row r="38" customFormat="false" ht="15" hidden="false" customHeight="true" outlineLevel="0" collapsed="false">
      <c r="A38" s="35" t="n">
        <v>32</v>
      </c>
      <c r="B38" s="41" t="s">
        <v>619</v>
      </c>
      <c r="C38" s="5" t="s">
        <v>635</v>
      </c>
      <c r="D38" s="35" t="s">
        <v>573</v>
      </c>
      <c r="E38" s="66" t="n">
        <v>0</v>
      </c>
      <c r="F38" s="35" t="s">
        <v>333</v>
      </c>
      <c r="G38" s="35" t="s">
        <v>563</v>
      </c>
      <c r="H38" s="89" t="n">
        <v>1</v>
      </c>
      <c r="I38" s="67" t="n">
        <f aca="false">IF(F38="€/Monat",E38,IF(F38="€/Jahr",E38/12,IF(F38="USD/Monat",E38*'Plan-Annahmen'!$B$20,IF(F38="USD einmalig",E38*'Plan-Annahmen'!$B$20,E38))))</f>
        <v>0</v>
      </c>
      <c r="J38" s="44" t="s">
        <v>636</v>
      </c>
      <c r="K38" s="44"/>
      <c r="L38" s="44"/>
      <c r="M38" s="44"/>
      <c r="N38" s="67" t="n">
        <f aca="false">IF(N$6&gt;=$H38,$I38,0)</f>
        <v>0</v>
      </c>
      <c r="O38" s="67" t="n">
        <f aca="false">IF(O$6&gt;=$H38,$I38,0)</f>
        <v>0</v>
      </c>
      <c r="P38" s="67" t="n">
        <f aca="false">IF(P$6&gt;=$H38,$I38,0)</f>
        <v>0</v>
      </c>
      <c r="Q38" s="67" t="n">
        <f aca="false">IF(Q$6&gt;=$H38,$I38,0)</f>
        <v>0</v>
      </c>
      <c r="R38" s="67" t="n">
        <f aca="false">IF(R$6&gt;=$H38,$I38,0)</f>
        <v>0</v>
      </c>
      <c r="S38" s="67" t="n">
        <f aca="false">IF(S$6&gt;=$H38,$I38,0)</f>
        <v>0</v>
      </c>
      <c r="T38" s="67" t="n">
        <f aca="false">IF(T$6&gt;=$H38,$I38,0)</f>
        <v>0</v>
      </c>
      <c r="U38" s="67" t="n">
        <f aca="false">IF(U$6&gt;=$H38,$I38,0)</f>
        <v>0</v>
      </c>
      <c r="V38" s="67" t="n">
        <f aca="false">IF(V$6&gt;=$H38,$I38,0)</f>
        <v>0</v>
      </c>
      <c r="W38" s="67" t="n">
        <f aca="false">IF(W$6&gt;=$H38,$I38,0)</f>
        <v>0</v>
      </c>
      <c r="X38" s="67" t="n">
        <f aca="false">IF(X$6&gt;=$H38,$I38,0)</f>
        <v>0</v>
      </c>
      <c r="Y38" s="67" t="n">
        <f aca="false">IF(Y$6&gt;=$H38,$I38,0)</f>
        <v>0</v>
      </c>
      <c r="Z38" s="67" t="n">
        <f aca="false">IF(Z$6&gt;=$H38,$I38,0)</f>
        <v>0</v>
      </c>
      <c r="AA38" s="67" t="n">
        <f aca="false">IF(AA$6&gt;=$H38,$I38,0)</f>
        <v>0</v>
      </c>
      <c r="AB38" s="67" t="n">
        <f aca="false">IF(AB$6&gt;=$H38,$I38,0)</f>
        <v>0</v>
      </c>
      <c r="AC38" s="67" t="n">
        <f aca="false">IF(AC$6&gt;=$H38,$I38,0)</f>
        <v>0</v>
      </c>
      <c r="AD38" s="67" t="n">
        <f aca="false">IF(AD$6&gt;=$H38,$I38,0)</f>
        <v>0</v>
      </c>
      <c r="AE38" s="67" t="n">
        <f aca="false">IF(AE$6&gt;=$H38,$I38,0)</f>
        <v>0</v>
      </c>
      <c r="AF38" s="67" t="n">
        <f aca="false">IF(AF$6&gt;=$H38,$I38,0)</f>
        <v>0</v>
      </c>
      <c r="AG38" s="67" t="n">
        <f aca="false">IF(AG$6&gt;=$H38,$I38,0)</f>
        <v>0</v>
      </c>
      <c r="AH38" s="67" t="n">
        <f aca="false">IF(AH$6&gt;=$H38,$I38,0)</f>
        <v>0</v>
      </c>
      <c r="AI38" s="67" t="n">
        <f aca="false">IF(AI$6&gt;=$H38,$I38,0)</f>
        <v>0</v>
      </c>
      <c r="AJ38" s="67" t="n">
        <f aca="false">IF(AJ$6&gt;=$H38,$I38,0)</f>
        <v>0</v>
      </c>
      <c r="AK38" s="67" t="n">
        <f aca="false">IF(AK$6&gt;=$H38,$I38,0)</f>
        <v>0</v>
      </c>
      <c r="AL38" s="1" t="n">
        <v>0</v>
      </c>
      <c r="AM38" s="1" t="s">
        <v>637</v>
      </c>
    </row>
    <row r="39" customFormat="false" ht="26.25" hidden="false" customHeight="true" outlineLevel="0" collapsed="false">
      <c r="A39" s="85" t="n">
        <v>33</v>
      </c>
      <c r="B39" s="86" t="s">
        <v>619</v>
      </c>
      <c r="C39" s="11" t="s">
        <v>638</v>
      </c>
      <c r="D39" s="85" t="s">
        <v>550</v>
      </c>
      <c r="E39" s="87" t="n">
        <v>0</v>
      </c>
      <c r="F39" s="85" t="s">
        <v>621</v>
      </c>
      <c r="G39" s="85" t="s">
        <v>563</v>
      </c>
      <c r="H39" s="88"/>
      <c r="I39" s="40"/>
      <c r="J39" s="44" t="s">
        <v>639</v>
      </c>
      <c r="K39" s="44"/>
      <c r="L39" s="44"/>
      <c r="M39" s="4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1" t="n">
        <v>0</v>
      </c>
      <c r="AM39" s="1" t="s">
        <v>552</v>
      </c>
    </row>
    <row r="40" customFormat="false" ht="26.25" hidden="false" customHeight="true" outlineLevel="0" collapsed="false">
      <c r="A40" s="35" t="n">
        <v>34</v>
      </c>
      <c r="B40" s="41" t="s">
        <v>619</v>
      </c>
      <c r="C40" s="5" t="s">
        <v>640</v>
      </c>
      <c r="D40" s="35" t="s">
        <v>601</v>
      </c>
      <c r="E40" s="74" t="n">
        <f aca="false">'Plan-Annahmen'!$B$17</f>
        <v>2.5</v>
      </c>
      <c r="F40" s="35" t="s">
        <v>641</v>
      </c>
      <c r="G40" s="35" t="s">
        <v>563</v>
      </c>
      <c r="H40" s="89"/>
      <c r="I40" s="24"/>
      <c r="J40" s="44" t="s">
        <v>642</v>
      </c>
      <c r="K40" s="44"/>
      <c r="L40" s="44"/>
      <c r="M40" s="4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1" t="n">
        <v>0</v>
      </c>
      <c r="AM40" s="1" t="s">
        <v>643</v>
      </c>
    </row>
    <row r="41" customFormat="false" ht="15" hidden="false" customHeight="true" outlineLevel="0" collapsed="false">
      <c r="A41" s="35" t="n">
        <v>35</v>
      </c>
      <c r="B41" s="41" t="s">
        <v>619</v>
      </c>
      <c r="C41" s="5" t="s">
        <v>644</v>
      </c>
      <c r="D41" s="35" t="s">
        <v>601</v>
      </c>
      <c r="E41" s="96" t="n">
        <f aca="false">'Plan-Annahmen'!$B$18</f>
        <v>0.015</v>
      </c>
      <c r="F41" s="35" t="s">
        <v>645</v>
      </c>
      <c r="G41" s="35" t="s">
        <v>563</v>
      </c>
      <c r="H41" s="89"/>
      <c r="I41" s="24"/>
      <c r="J41" s="44" t="s">
        <v>646</v>
      </c>
      <c r="K41" s="44"/>
      <c r="L41" s="44"/>
      <c r="M41" s="4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1" t="n">
        <v>0</v>
      </c>
      <c r="AM41" s="1" t="s">
        <v>647</v>
      </c>
    </row>
    <row r="42" customFormat="false" ht="51.75" hidden="false" customHeight="true" outlineLevel="0" collapsed="false">
      <c r="A42" s="85" t="n">
        <v>36</v>
      </c>
      <c r="B42" s="86" t="s">
        <v>619</v>
      </c>
      <c r="C42" s="11" t="s">
        <v>648</v>
      </c>
      <c r="D42" s="85" t="s">
        <v>550</v>
      </c>
      <c r="E42" s="87" t="n">
        <v>0</v>
      </c>
      <c r="F42" s="85" t="s">
        <v>333</v>
      </c>
      <c r="G42" s="85" t="s">
        <v>563</v>
      </c>
      <c r="H42" s="88"/>
      <c r="I42" s="40"/>
      <c r="J42" s="44" t="s">
        <v>649</v>
      </c>
      <c r="K42" s="44"/>
      <c r="L42" s="44"/>
      <c r="M42" s="4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1" t="n">
        <v>0</v>
      </c>
      <c r="AM42" s="1" t="s">
        <v>552</v>
      </c>
    </row>
    <row r="43" customFormat="false" ht="26.25" hidden="false" customHeight="true" outlineLevel="0" collapsed="false">
      <c r="A43" s="35" t="n">
        <v>37</v>
      </c>
      <c r="B43" s="41" t="s">
        <v>619</v>
      </c>
      <c r="C43" s="5" t="s">
        <v>650</v>
      </c>
      <c r="D43" s="35" t="s">
        <v>573</v>
      </c>
      <c r="E43" s="66" t="n">
        <v>99</v>
      </c>
      <c r="F43" s="35" t="s">
        <v>443</v>
      </c>
      <c r="G43" s="35" t="s">
        <v>563</v>
      </c>
      <c r="H43" s="89" t="n">
        <v>10</v>
      </c>
      <c r="I43" s="67" t="n">
        <f aca="false">IF(F43="€/Monat",E43,IF(F43="€/Jahr",E43/12,IF(F43="USD/Monat",E43*'Plan-Annahmen'!$B$20,IF(F43="USD einmalig",E43*'Plan-Annahmen'!$B$20,E43))))</f>
        <v>8.25</v>
      </c>
      <c r="J43" s="44" t="s">
        <v>651</v>
      </c>
      <c r="K43" s="44"/>
      <c r="L43" s="44"/>
      <c r="M43" s="44"/>
      <c r="N43" s="67" t="n">
        <f aca="false">IF(N$6&gt;=$H43,$I43,0)</f>
        <v>0</v>
      </c>
      <c r="O43" s="67" t="n">
        <f aca="false">IF(O$6&gt;=$H43,$I43,0)</f>
        <v>0</v>
      </c>
      <c r="P43" s="67" t="n">
        <f aca="false">IF(P$6&gt;=$H43,$I43,0)</f>
        <v>0</v>
      </c>
      <c r="Q43" s="67" t="n">
        <f aca="false">IF(Q$6&gt;=$H43,$I43,0)</f>
        <v>0</v>
      </c>
      <c r="R43" s="67" t="n">
        <f aca="false">IF(R$6&gt;=$H43,$I43,0)</f>
        <v>0</v>
      </c>
      <c r="S43" s="67" t="n">
        <f aca="false">IF(S$6&gt;=$H43,$I43,0)</f>
        <v>0</v>
      </c>
      <c r="T43" s="67" t="n">
        <f aca="false">IF(T$6&gt;=$H43,$I43,0)</f>
        <v>0</v>
      </c>
      <c r="U43" s="67" t="n">
        <f aca="false">IF(U$6&gt;=$H43,$I43,0)</f>
        <v>0</v>
      </c>
      <c r="V43" s="67" t="n">
        <f aca="false">IF(V$6&gt;=$H43,$I43,0)</f>
        <v>0</v>
      </c>
      <c r="W43" s="67" t="n">
        <f aca="false">IF(W$6&gt;=$H43,$I43,0)</f>
        <v>8.25</v>
      </c>
      <c r="X43" s="67" t="n">
        <f aca="false">IF(X$6&gt;=$H43,$I43,0)</f>
        <v>8.25</v>
      </c>
      <c r="Y43" s="67" t="n">
        <f aca="false">IF(Y$6&gt;=$H43,$I43,0)</f>
        <v>8.25</v>
      </c>
      <c r="Z43" s="67" t="n">
        <f aca="false">IF(Z$6&gt;=$H43,$I43,0)</f>
        <v>8.25</v>
      </c>
      <c r="AA43" s="67" t="n">
        <f aca="false">IF(AA$6&gt;=$H43,$I43,0)</f>
        <v>8.25</v>
      </c>
      <c r="AB43" s="67" t="n">
        <f aca="false">IF(AB$6&gt;=$H43,$I43,0)</f>
        <v>8.25</v>
      </c>
      <c r="AC43" s="67" t="n">
        <f aca="false">IF(AC$6&gt;=$H43,$I43,0)</f>
        <v>8.25</v>
      </c>
      <c r="AD43" s="67" t="n">
        <f aca="false">IF(AD$6&gt;=$H43,$I43,0)</f>
        <v>8.25</v>
      </c>
      <c r="AE43" s="67" t="n">
        <f aca="false">IF(AE$6&gt;=$H43,$I43,0)</f>
        <v>8.25</v>
      </c>
      <c r="AF43" s="67" t="n">
        <f aca="false">IF(AF$6&gt;=$H43,$I43,0)</f>
        <v>8.25</v>
      </c>
      <c r="AG43" s="67" t="n">
        <f aca="false">IF(AG$6&gt;=$H43,$I43,0)</f>
        <v>8.25</v>
      </c>
      <c r="AH43" s="67" t="n">
        <f aca="false">IF(AH$6&gt;=$H43,$I43,0)</f>
        <v>8.25</v>
      </c>
      <c r="AI43" s="67" t="n">
        <f aca="false">IF(AI$6&gt;=$H43,$I43,0)</f>
        <v>8.25</v>
      </c>
      <c r="AJ43" s="67" t="n">
        <f aca="false">IF(AJ$6&gt;=$H43,$I43,0)</f>
        <v>8.25</v>
      </c>
      <c r="AK43" s="67" t="n">
        <f aca="false">IF(AK$6&gt;=$H43,$I43,0)</f>
        <v>8.25</v>
      </c>
      <c r="AL43" s="1" t="n">
        <v>0</v>
      </c>
      <c r="AM43" s="1" t="s">
        <v>652</v>
      </c>
    </row>
    <row r="44" customFormat="false" ht="26.25" hidden="false" customHeight="true" outlineLevel="0" collapsed="false">
      <c r="A44" s="35" t="n">
        <v>38</v>
      </c>
      <c r="B44" s="41" t="s">
        <v>619</v>
      </c>
      <c r="C44" s="5" t="s">
        <v>653</v>
      </c>
      <c r="D44" s="35" t="s">
        <v>532</v>
      </c>
      <c r="E44" s="66" t="n">
        <v>25</v>
      </c>
      <c r="F44" s="35" t="s">
        <v>654</v>
      </c>
      <c r="G44" s="35" t="s">
        <v>563</v>
      </c>
      <c r="H44" s="89" t="n">
        <v>10</v>
      </c>
      <c r="I44" s="67" t="n">
        <f aca="false">IF(F44="€/Monat",E44,IF(F44="€/Jahr",E44/12,IF(F44="USD/Monat",E44*'Plan-Annahmen'!$B$20,IF(F44="USD einmalig",E44*'Plan-Annahmen'!$B$20,E44))))</f>
        <v>21.5</v>
      </c>
      <c r="J44" s="44" t="s">
        <v>655</v>
      </c>
      <c r="K44" s="44"/>
      <c r="L44" s="44"/>
      <c r="M44" s="44"/>
      <c r="N44" s="67" t="n">
        <f aca="false">IF(N$6=$H44,$I44,0)</f>
        <v>0</v>
      </c>
      <c r="O44" s="67" t="n">
        <f aca="false">IF(O$6=$H44,$I44,0)</f>
        <v>0</v>
      </c>
      <c r="P44" s="67" t="n">
        <f aca="false">IF(P$6=$H44,$I44,0)</f>
        <v>0</v>
      </c>
      <c r="Q44" s="67" t="n">
        <f aca="false">IF(Q$6=$H44,$I44,0)</f>
        <v>0</v>
      </c>
      <c r="R44" s="67" t="n">
        <f aca="false">IF(R$6=$H44,$I44,0)</f>
        <v>0</v>
      </c>
      <c r="S44" s="67" t="n">
        <f aca="false">IF(S$6=$H44,$I44,0)</f>
        <v>0</v>
      </c>
      <c r="T44" s="67" t="n">
        <f aca="false">IF(T$6=$H44,$I44,0)</f>
        <v>0</v>
      </c>
      <c r="U44" s="67" t="n">
        <f aca="false">IF(U$6=$H44,$I44,0)</f>
        <v>0</v>
      </c>
      <c r="V44" s="67" t="n">
        <f aca="false">IF(V$6=$H44,$I44,0)</f>
        <v>0</v>
      </c>
      <c r="W44" s="67" t="n">
        <f aca="false">IF(W$6=$H44,$I44,0)</f>
        <v>21.5</v>
      </c>
      <c r="X44" s="67" t="n">
        <f aca="false">IF(X$6=$H44,$I44,0)</f>
        <v>0</v>
      </c>
      <c r="Y44" s="67" t="n">
        <f aca="false">IF(Y$6=$H44,$I44,0)</f>
        <v>0</v>
      </c>
      <c r="Z44" s="67" t="n">
        <f aca="false">IF(Z$6=$H44,$I44,0)</f>
        <v>0</v>
      </c>
      <c r="AA44" s="67" t="n">
        <f aca="false">IF(AA$6=$H44,$I44,0)</f>
        <v>0</v>
      </c>
      <c r="AB44" s="67" t="n">
        <f aca="false">IF(AB$6=$H44,$I44,0)</f>
        <v>0</v>
      </c>
      <c r="AC44" s="67" t="n">
        <f aca="false">IF(AC$6=$H44,$I44,0)</f>
        <v>0</v>
      </c>
      <c r="AD44" s="67" t="n">
        <f aca="false">IF(AD$6=$H44,$I44,0)</f>
        <v>0</v>
      </c>
      <c r="AE44" s="67" t="n">
        <f aca="false">IF(AE$6=$H44,$I44,0)</f>
        <v>0</v>
      </c>
      <c r="AF44" s="67" t="n">
        <f aca="false">IF(AF$6=$H44,$I44,0)</f>
        <v>0</v>
      </c>
      <c r="AG44" s="67" t="n">
        <f aca="false">IF(AG$6=$H44,$I44,0)</f>
        <v>0</v>
      </c>
      <c r="AH44" s="67" t="n">
        <f aca="false">IF(AH$6=$H44,$I44,0)</f>
        <v>0</v>
      </c>
      <c r="AI44" s="67" t="n">
        <f aca="false">IF(AI$6=$H44,$I44,0)</f>
        <v>0</v>
      </c>
      <c r="AJ44" s="67" t="n">
        <f aca="false">IF(AJ$6=$H44,$I44,0)</f>
        <v>0</v>
      </c>
      <c r="AK44" s="67" t="n">
        <f aca="false">IF(AK$6=$H44,$I44,0)</f>
        <v>0</v>
      </c>
      <c r="AL44" s="1" t="n">
        <v>0</v>
      </c>
      <c r="AM44" s="1" t="s">
        <v>656</v>
      </c>
    </row>
    <row r="45" customFormat="false" ht="39" hidden="false" customHeight="true" outlineLevel="0" collapsed="false">
      <c r="A45" s="35" t="n">
        <v>39</v>
      </c>
      <c r="B45" s="41" t="s">
        <v>619</v>
      </c>
      <c r="C45" s="5" t="s">
        <v>657</v>
      </c>
      <c r="D45" s="35" t="s">
        <v>573</v>
      </c>
      <c r="E45" s="66" t="n">
        <v>50</v>
      </c>
      <c r="F45" s="35" t="s">
        <v>621</v>
      </c>
      <c r="G45" s="35" t="s">
        <v>563</v>
      </c>
      <c r="H45" s="89" t="n">
        <v>7</v>
      </c>
      <c r="I45" s="67" t="n">
        <f aca="false">IF(F45="€/Monat",E45,IF(F45="€/Jahr",E45/12,IF(F45="USD/Monat",E45*'Plan-Annahmen'!$B$20,IF(F45="USD einmalig",E45*'Plan-Annahmen'!$B$20,E45))))</f>
        <v>43</v>
      </c>
      <c r="J45" s="44" t="s">
        <v>658</v>
      </c>
      <c r="K45" s="44"/>
      <c r="L45" s="44"/>
      <c r="M45" s="44"/>
      <c r="N45" s="67" t="n">
        <f aca="false">IF(N$6&gt;=$H45,$I45,0)</f>
        <v>0</v>
      </c>
      <c r="O45" s="67" t="n">
        <f aca="false">IF(O$6&gt;=$H45,$I45,0)</f>
        <v>0</v>
      </c>
      <c r="P45" s="67" t="n">
        <f aca="false">IF(P$6&gt;=$H45,$I45,0)</f>
        <v>0</v>
      </c>
      <c r="Q45" s="67" t="n">
        <f aca="false">IF(Q$6&gt;=$H45,$I45,0)</f>
        <v>0</v>
      </c>
      <c r="R45" s="67" t="n">
        <f aca="false">IF(R$6&gt;=$H45,$I45,0)</f>
        <v>0</v>
      </c>
      <c r="S45" s="67" t="n">
        <f aca="false">IF(S$6&gt;=$H45,$I45,0)</f>
        <v>0</v>
      </c>
      <c r="T45" s="67" t="n">
        <f aca="false">IF(T$6&gt;=$H45,$I45,0)</f>
        <v>43</v>
      </c>
      <c r="U45" s="67" t="n">
        <f aca="false">IF(U$6&gt;=$H45,$I45,0)</f>
        <v>43</v>
      </c>
      <c r="V45" s="67" t="n">
        <f aca="false">IF(V$6&gt;=$H45,$I45,0)</f>
        <v>43</v>
      </c>
      <c r="W45" s="67" t="n">
        <f aca="false">IF(W$6&gt;=$H45,$I45,0)</f>
        <v>43</v>
      </c>
      <c r="X45" s="67" t="n">
        <f aca="false">IF(X$6&gt;=$H45,$I45,0)</f>
        <v>43</v>
      </c>
      <c r="Y45" s="67" t="n">
        <f aca="false">IF(Y$6&gt;=$H45,$I45,0)</f>
        <v>43</v>
      </c>
      <c r="Z45" s="67" t="n">
        <f aca="false">IF(Z$6&gt;=$H45,$I45,0)</f>
        <v>43</v>
      </c>
      <c r="AA45" s="67" t="n">
        <f aca="false">IF(AA$6&gt;=$H45,$I45,0)</f>
        <v>43</v>
      </c>
      <c r="AB45" s="67" t="n">
        <f aca="false">IF(AB$6&gt;=$H45,$I45,0)</f>
        <v>43</v>
      </c>
      <c r="AC45" s="67" t="n">
        <f aca="false">IF(AC$6&gt;=$H45,$I45,0)</f>
        <v>43</v>
      </c>
      <c r="AD45" s="67" t="n">
        <f aca="false">IF(AD$6&gt;=$H45,$I45,0)</f>
        <v>43</v>
      </c>
      <c r="AE45" s="67" t="n">
        <f aca="false">IF(AE$6&gt;=$H45,$I45,0)</f>
        <v>43</v>
      </c>
      <c r="AF45" s="67" t="n">
        <f aca="false">IF(AF$6&gt;=$H45,$I45,0)</f>
        <v>43</v>
      </c>
      <c r="AG45" s="67" t="n">
        <f aca="false">IF(AG$6&gt;=$H45,$I45,0)</f>
        <v>43</v>
      </c>
      <c r="AH45" s="67" t="n">
        <f aca="false">IF(AH$6&gt;=$H45,$I45,0)</f>
        <v>43</v>
      </c>
      <c r="AI45" s="67" t="n">
        <f aca="false">IF(AI$6&gt;=$H45,$I45,0)</f>
        <v>43</v>
      </c>
      <c r="AJ45" s="67" t="n">
        <f aca="false">IF(AJ$6&gt;=$H45,$I45,0)</f>
        <v>43</v>
      </c>
      <c r="AK45" s="67" t="n">
        <f aca="false">IF(AK$6&gt;=$H45,$I45,0)</f>
        <v>43</v>
      </c>
      <c r="AL45" s="1" t="n">
        <f aca="false">19/119</f>
        <v>0.159663865546218</v>
      </c>
      <c r="AM45" s="1" t="s">
        <v>659</v>
      </c>
    </row>
    <row r="46" customFormat="false" ht="26.25" hidden="false" customHeight="true" outlineLevel="0" collapsed="false">
      <c r="A46" s="85" t="n">
        <v>40</v>
      </c>
      <c r="B46" s="86" t="s">
        <v>660</v>
      </c>
      <c r="C46" s="11" t="s">
        <v>661</v>
      </c>
      <c r="D46" s="85" t="s">
        <v>550</v>
      </c>
      <c r="E46" s="87" t="n">
        <v>0</v>
      </c>
      <c r="F46" s="85" t="s">
        <v>333</v>
      </c>
      <c r="G46" s="85" t="s">
        <v>563</v>
      </c>
      <c r="H46" s="88"/>
      <c r="I46" s="40"/>
      <c r="J46" s="44" t="s">
        <v>662</v>
      </c>
      <c r="K46" s="44"/>
      <c r="L46" s="44"/>
      <c r="M46" s="4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1" t="n">
        <v>0</v>
      </c>
      <c r="AM46" s="1" t="s">
        <v>552</v>
      </c>
    </row>
    <row r="47" customFormat="false" ht="51.75" hidden="false" customHeight="true" outlineLevel="0" collapsed="false">
      <c r="A47" s="35" t="n">
        <v>41</v>
      </c>
      <c r="B47" s="41" t="s">
        <v>660</v>
      </c>
      <c r="C47" s="5" t="s">
        <v>663</v>
      </c>
      <c r="D47" s="35" t="s">
        <v>664</v>
      </c>
      <c r="E47" s="66" t="n">
        <v>1430</v>
      </c>
      <c r="F47" s="35" t="s">
        <v>665</v>
      </c>
      <c r="G47" s="35" t="s">
        <v>563</v>
      </c>
      <c r="H47" s="89"/>
      <c r="I47" s="24"/>
      <c r="J47" s="44" t="s">
        <v>666</v>
      </c>
      <c r="K47" s="44"/>
      <c r="L47" s="44"/>
      <c r="M47" s="44"/>
      <c r="N47" s="98" t="n">
        <v>0</v>
      </c>
      <c r="O47" s="98" t="n">
        <v>260</v>
      </c>
      <c r="P47" s="98" t="n">
        <v>0</v>
      </c>
      <c r="Q47" s="98" t="n">
        <v>20</v>
      </c>
      <c r="R47" s="98" t="n">
        <v>20</v>
      </c>
      <c r="S47" s="98" t="n">
        <v>20</v>
      </c>
      <c r="T47" s="98" t="n">
        <v>20</v>
      </c>
      <c r="U47" s="98" t="n">
        <v>120</v>
      </c>
      <c r="V47" s="98" t="n">
        <v>20</v>
      </c>
      <c r="W47" s="98" t="n">
        <v>110</v>
      </c>
      <c r="X47" s="98" t="n">
        <v>10</v>
      </c>
      <c r="Y47" s="98" t="n">
        <v>110</v>
      </c>
      <c r="Z47" s="98" t="n">
        <v>10</v>
      </c>
      <c r="AA47" s="98" t="n">
        <v>110</v>
      </c>
      <c r="AB47" s="98" t="n">
        <v>10</v>
      </c>
      <c r="AC47" s="98" t="n">
        <v>110</v>
      </c>
      <c r="AD47" s="98" t="n">
        <v>10</v>
      </c>
      <c r="AE47" s="98" t="n">
        <v>110</v>
      </c>
      <c r="AF47" s="98" t="n">
        <v>10</v>
      </c>
      <c r="AG47" s="98" t="n">
        <v>110</v>
      </c>
      <c r="AH47" s="98" t="n">
        <v>10</v>
      </c>
      <c r="AI47" s="98" t="n">
        <v>110</v>
      </c>
      <c r="AJ47" s="98" t="n">
        <v>10</v>
      </c>
      <c r="AK47" s="98" t="n">
        <v>110</v>
      </c>
      <c r="AL47" s="1" t="n">
        <v>0</v>
      </c>
      <c r="AM47" s="1" t="s">
        <v>667</v>
      </c>
    </row>
    <row r="48" customFormat="false" ht="26.25" hidden="false" customHeight="true" outlineLevel="0" collapsed="false">
      <c r="A48" s="85" t="n">
        <v>42</v>
      </c>
      <c r="B48" s="86" t="s">
        <v>660</v>
      </c>
      <c r="C48" s="11" t="s">
        <v>668</v>
      </c>
      <c r="D48" s="85" t="s">
        <v>550</v>
      </c>
      <c r="E48" s="87" t="n">
        <v>0</v>
      </c>
      <c r="F48" s="85" t="s">
        <v>333</v>
      </c>
      <c r="G48" s="85" t="s">
        <v>563</v>
      </c>
      <c r="H48" s="88"/>
      <c r="I48" s="40"/>
      <c r="J48" s="44" t="s">
        <v>669</v>
      </c>
      <c r="K48" s="44"/>
      <c r="L48" s="44"/>
      <c r="M48" s="4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1" t="n">
        <v>0</v>
      </c>
      <c r="AM48" s="1" t="s">
        <v>552</v>
      </c>
    </row>
    <row r="49" customFormat="false" ht="26.25" hidden="false" customHeight="true" outlineLevel="0" collapsed="false">
      <c r="A49" s="85" t="n">
        <v>43</v>
      </c>
      <c r="B49" s="86" t="s">
        <v>660</v>
      </c>
      <c r="C49" s="11" t="s">
        <v>670</v>
      </c>
      <c r="D49" s="85" t="s">
        <v>550</v>
      </c>
      <c r="E49" s="99" t="n">
        <f aca="false">2.5+13/12</f>
        <v>3.58333333333333</v>
      </c>
      <c r="F49" s="85" t="s">
        <v>443</v>
      </c>
      <c r="G49" s="85" t="s">
        <v>563</v>
      </c>
      <c r="H49" s="88"/>
      <c r="I49" s="40"/>
      <c r="J49" s="44" t="s">
        <v>671</v>
      </c>
      <c r="K49" s="44"/>
      <c r="L49" s="44"/>
      <c r="M49" s="4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1" t="n">
        <v>0</v>
      </c>
      <c r="AM49" s="1" t="s">
        <v>552</v>
      </c>
    </row>
    <row r="50" customFormat="false" ht="26.25" hidden="false" customHeight="true" outlineLevel="0" collapsed="false">
      <c r="A50" s="85" t="n">
        <v>44</v>
      </c>
      <c r="B50" s="86" t="s">
        <v>660</v>
      </c>
      <c r="C50" s="11" t="s">
        <v>672</v>
      </c>
      <c r="D50" s="85" t="s">
        <v>550</v>
      </c>
      <c r="E50" s="87" t="n">
        <v>0</v>
      </c>
      <c r="F50" s="85" t="s">
        <v>347</v>
      </c>
      <c r="G50" s="85" t="s">
        <v>563</v>
      </c>
      <c r="H50" s="88"/>
      <c r="I50" s="40"/>
      <c r="J50" s="44" t="s">
        <v>673</v>
      </c>
      <c r="K50" s="44"/>
      <c r="L50" s="44"/>
      <c r="M50" s="4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1" t="n">
        <v>0</v>
      </c>
      <c r="AM50" s="1" t="s">
        <v>552</v>
      </c>
    </row>
    <row r="51" customFormat="false" ht="15" hidden="false" customHeight="true" outlineLevel="0" collapsed="false">
      <c r="A51" s="35" t="n">
        <v>45</v>
      </c>
      <c r="B51" s="41" t="s">
        <v>674</v>
      </c>
      <c r="C51" s="5" t="s">
        <v>402</v>
      </c>
      <c r="D51" s="35" t="s">
        <v>601</v>
      </c>
      <c r="E51" s="96" t="n">
        <f aca="false">'Plan-Annahmen'!$B$52</f>
        <v>0.02</v>
      </c>
      <c r="F51" s="35" t="s">
        <v>403</v>
      </c>
      <c r="G51" s="35" t="s">
        <v>563</v>
      </c>
      <c r="H51" s="89"/>
      <c r="I51" s="24"/>
      <c r="J51" s="44" t="s">
        <v>675</v>
      </c>
      <c r="K51" s="44"/>
      <c r="L51" s="44"/>
      <c r="M51" s="4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1" t="n">
        <v>0</v>
      </c>
      <c r="AM51" s="1" t="s">
        <v>676</v>
      </c>
    </row>
    <row r="52" customFormat="false" ht="15" hidden="false" customHeight="true" outlineLevel="0" collapsed="false">
      <c r="A52" s="35" t="n">
        <v>46</v>
      </c>
      <c r="B52" s="41" t="s">
        <v>674</v>
      </c>
      <c r="C52" s="5" t="s">
        <v>405</v>
      </c>
      <c r="D52" s="35" t="s">
        <v>601</v>
      </c>
      <c r="E52" s="96" t="n">
        <f aca="false">'Plan-Annahmen'!$B$53</f>
        <v>0.01</v>
      </c>
      <c r="F52" s="35" t="s">
        <v>403</v>
      </c>
      <c r="G52" s="35" t="s">
        <v>563</v>
      </c>
      <c r="H52" s="89"/>
      <c r="I52" s="24"/>
      <c r="J52" s="44" t="s">
        <v>675</v>
      </c>
      <c r="K52" s="44"/>
      <c r="L52" s="44"/>
      <c r="M52" s="4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1" t="n">
        <v>0</v>
      </c>
      <c r="AM52" s="1" t="s">
        <v>676</v>
      </c>
    </row>
    <row r="53" customFormat="false" ht="39" hidden="false" customHeight="true" outlineLevel="0" collapsed="false">
      <c r="A53" s="35" t="n">
        <v>47</v>
      </c>
      <c r="B53" s="41" t="s">
        <v>674</v>
      </c>
      <c r="C53" s="5" t="s">
        <v>677</v>
      </c>
      <c r="D53" s="35" t="s">
        <v>601</v>
      </c>
      <c r="E53" s="74" t="n">
        <f aca="false">'Plan-Annahmen'!$B$16</f>
        <v>25</v>
      </c>
      <c r="F53" s="35" t="s">
        <v>338</v>
      </c>
      <c r="G53" s="35" t="s">
        <v>563</v>
      </c>
      <c r="H53" s="89"/>
      <c r="I53" s="24"/>
      <c r="J53" s="44" t="s">
        <v>678</v>
      </c>
      <c r="K53" s="44"/>
      <c r="L53" s="44"/>
      <c r="M53" s="4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1" t="n">
        <v>0</v>
      </c>
      <c r="AM53" s="1" t="s">
        <v>679</v>
      </c>
    </row>
    <row r="54" customFormat="false" ht="39" hidden="false" customHeight="true" outlineLevel="0" collapsed="false">
      <c r="A54" s="35" t="n">
        <v>48</v>
      </c>
      <c r="B54" s="41" t="s">
        <v>674</v>
      </c>
      <c r="C54" s="5" t="s">
        <v>680</v>
      </c>
      <c r="D54" s="35" t="s">
        <v>601</v>
      </c>
      <c r="E54" s="74" t="n">
        <f aca="false">'Plan-Annahmen'!$B$50</f>
        <v>0</v>
      </c>
      <c r="F54" s="35" t="s">
        <v>397</v>
      </c>
      <c r="G54" s="35" t="s">
        <v>563</v>
      </c>
      <c r="H54" s="89"/>
      <c r="I54" s="24"/>
      <c r="J54" s="44" t="s">
        <v>681</v>
      </c>
      <c r="K54" s="44"/>
      <c r="L54" s="44"/>
      <c r="M54" s="4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1" t="n">
        <v>0</v>
      </c>
      <c r="AM54" s="1" t="s">
        <v>615</v>
      </c>
    </row>
    <row r="55" customFormat="false" ht="26.25" hidden="false" customHeight="true" outlineLevel="0" collapsed="false">
      <c r="A55" s="85" t="n">
        <v>49</v>
      </c>
      <c r="B55" s="86" t="s">
        <v>682</v>
      </c>
      <c r="C55" s="11" t="s">
        <v>683</v>
      </c>
      <c r="D55" s="85" t="s">
        <v>550</v>
      </c>
      <c r="E55" s="87" t="n">
        <v>0</v>
      </c>
      <c r="F55" s="85" t="s">
        <v>347</v>
      </c>
      <c r="G55" s="85" t="s">
        <v>563</v>
      </c>
      <c r="H55" s="88"/>
      <c r="I55" s="40"/>
      <c r="J55" s="44" t="s">
        <v>684</v>
      </c>
      <c r="K55" s="44"/>
      <c r="L55" s="44"/>
      <c r="M55" s="4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1" t="n">
        <v>0</v>
      </c>
      <c r="AM55" s="1" t="s">
        <v>552</v>
      </c>
    </row>
    <row r="57" customFormat="false" ht="15" hidden="false" customHeight="true" outlineLevel="0" collapsed="false">
      <c r="A57" s="15"/>
      <c r="B57" s="15"/>
      <c r="C57" s="14" t="s">
        <v>685</v>
      </c>
      <c r="D57" s="15"/>
      <c r="E57" s="15"/>
      <c r="F57" s="15"/>
      <c r="G57" s="15"/>
      <c r="H57" s="15"/>
      <c r="I57" s="15"/>
      <c r="J57" s="15"/>
      <c r="K57" s="15"/>
      <c r="L57" s="15"/>
      <c r="M57" s="15"/>
      <c r="N57" s="17" t="n">
        <f aca="false">SUMIF($D$7:$D$55,"laufend",N7:N55)+SUMIF($D$7:$D$55,"Monatsvektor",N7:N55)</f>
        <v>135.104333333333</v>
      </c>
      <c r="O57" s="17" t="n">
        <f aca="false">SUMIF($D$7:$D$55,"laufend",O7:O55)+SUMIF($D$7:$D$55,"Monatsvektor",O7:O55)</f>
        <v>475.931</v>
      </c>
      <c r="P57" s="17" t="n">
        <f aca="false">SUMIF($D$7:$D$55,"laufend",P7:P55)+SUMIF($D$7:$D$55,"Monatsvektor",P7:P55)</f>
        <v>249.264333333333</v>
      </c>
      <c r="Q57" s="17" t="n">
        <f aca="false">SUMIF($D$7:$D$55,"laufend",Q7:Q55)+SUMIF($D$7:$D$55,"Monatsvektor",Q7:Q55)</f>
        <v>269.264333333333</v>
      </c>
      <c r="R57" s="17" t="n">
        <f aca="false">SUMIF($D$7:$D$55,"laufend",R7:R55)+SUMIF($D$7:$D$55,"Monatsvektor",R7:R55)</f>
        <v>269.264333333333</v>
      </c>
      <c r="S57" s="17" t="n">
        <f aca="false">SUMIF($D$7:$D$55,"laufend",S7:S55)+SUMIF($D$7:$D$55,"Monatsvektor",S7:S55)</f>
        <v>269.264333333333</v>
      </c>
      <c r="T57" s="17" t="n">
        <f aca="false">SUMIF($D$7:$D$55,"laufend",T7:T55)+SUMIF($D$7:$D$55,"Monatsvektor",T7:T55)</f>
        <v>312.264333333333</v>
      </c>
      <c r="U57" s="17" t="n">
        <f aca="false">SUMIF($D$7:$D$55,"laufend",U7:U55)+SUMIF($D$7:$D$55,"Monatsvektor",U7:U55)</f>
        <v>412.264333333333</v>
      </c>
      <c r="V57" s="17" t="n">
        <f aca="false">SUMIF($D$7:$D$55,"laufend",V7:V55)+SUMIF($D$7:$D$55,"Monatsvektor",V7:V55)</f>
        <v>312.264333333333</v>
      </c>
      <c r="W57" s="17" t="n">
        <f aca="false">SUMIF($D$7:$D$55,"laufend",W7:W55)+SUMIF($D$7:$D$55,"Monatsvektor",W7:W55)</f>
        <v>410.514333333333</v>
      </c>
      <c r="X57" s="17" t="n">
        <f aca="false">SUMIF($D$7:$D$55,"laufend",X7:X55)+SUMIF($D$7:$D$55,"Monatsvektor",X7:X55)</f>
        <v>310.514333333333</v>
      </c>
      <c r="Y57" s="17" t="n">
        <f aca="false">SUMIF($D$7:$D$55,"laufend",Y7:Y55)+SUMIF($D$7:$D$55,"Monatsvektor",Y7:Y55)</f>
        <v>410.514333333333</v>
      </c>
      <c r="Z57" s="17" t="n">
        <f aca="false">SUMIF($D$7:$D$55,"laufend",Z7:Z55)+SUMIF($D$7:$D$55,"Monatsvektor",Z7:Z55)</f>
        <v>323.014333333333</v>
      </c>
      <c r="AA57" s="17" t="n">
        <f aca="false">SUMIF($D$7:$D$55,"laufend",AA7:AA55)+SUMIF($D$7:$D$55,"Monatsvektor",AA7:AA55)</f>
        <v>423.014333333333</v>
      </c>
      <c r="AB57" s="17" t="n">
        <f aca="false">SUMIF($D$7:$D$55,"laufend",AB7:AB55)+SUMIF($D$7:$D$55,"Monatsvektor",AB7:AB55)</f>
        <v>323.014333333333</v>
      </c>
      <c r="AC57" s="17" t="n">
        <f aca="false">SUMIF($D$7:$D$55,"laufend",AC7:AC55)+SUMIF($D$7:$D$55,"Monatsvektor",AC7:AC55)</f>
        <v>423.014333333333</v>
      </c>
      <c r="AD57" s="17" t="n">
        <f aca="false">SUMIF($D$7:$D$55,"laufend",AD7:AD55)+SUMIF($D$7:$D$55,"Monatsvektor",AD7:AD55)</f>
        <v>323.014333333333</v>
      </c>
      <c r="AE57" s="17" t="n">
        <f aca="false">SUMIF($D$7:$D$55,"laufend",AE7:AE55)+SUMIF($D$7:$D$55,"Monatsvektor",AE7:AE55)</f>
        <v>423.014333333333</v>
      </c>
      <c r="AF57" s="17" t="n">
        <f aca="false">SUMIF($D$7:$D$55,"laufend",AF7:AF55)+SUMIF($D$7:$D$55,"Monatsvektor",AF7:AF55)</f>
        <v>323.014333333333</v>
      </c>
      <c r="AG57" s="17" t="n">
        <f aca="false">SUMIF($D$7:$D$55,"laufend",AG7:AG55)+SUMIF($D$7:$D$55,"Monatsvektor",AG7:AG55)</f>
        <v>423.014333333333</v>
      </c>
      <c r="AH57" s="17" t="n">
        <f aca="false">SUMIF($D$7:$D$55,"laufend",AH7:AH55)+SUMIF($D$7:$D$55,"Monatsvektor",AH7:AH55)</f>
        <v>323.014333333333</v>
      </c>
      <c r="AI57" s="17" t="n">
        <f aca="false">SUMIF($D$7:$D$55,"laufend",AI7:AI55)+SUMIF($D$7:$D$55,"Monatsvektor",AI7:AI55)</f>
        <v>423.014333333333</v>
      </c>
      <c r="AJ57" s="17" t="n">
        <f aca="false">SUMIF($D$7:$D$55,"laufend",AJ7:AJ55)+SUMIF($D$7:$D$55,"Monatsvektor",AJ7:AJ55)</f>
        <v>323.014333333333</v>
      </c>
      <c r="AK57" s="17" t="n">
        <f aca="false">SUMIF($D$7:$D$55,"laufend",AK7:AK55)+SUMIF($D$7:$D$55,"Monatsvektor",AK7:AK55)</f>
        <v>423.014333333333</v>
      </c>
    </row>
    <row r="58" customFormat="false" ht="15" hidden="false" customHeight="true" outlineLevel="0" collapsed="false">
      <c r="A58" s="15"/>
      <c r="B58" s="15"/>
      <c r="C58" s="14" t="s">
        <v>686</v>
      </c>
      <c r="D58" s="15"/>
      <c r="E58" s="15"/>
      <c r="F58" s="15"/>
      <c r="G58" s="15"/>
      <c r="H58" s="15"/>
      <c r="I58" s="15"/>
      <c r="J58" s="15"/>
      <c r="K58" s="15"/>
      <c r="L58" s="15"/>
      <c r="M58" s="15"/>
      <c r="N58" s="17" t="n">
        <f aca="false">SUMIF($D$7:$D$55,"einmalig",N7:N55)</f>
        <v>150</v>
      </c>
      <c r="O58" s="17" t="n">
        <f aca="false">SUMIF($D$7:$D$55,"einmalig",O7:O55)</f>
        <v>15</v>
      </c>
      <c r="P58" s="17" t="n">
        <f aca="false">SUMIF($D$7:$D$55,"einmalig",P7:P55)</f>
        <v>1500</v>
      </c>
      <c r="Q58" s="17" t="n">
        <f aca="false">SUMIF($D$7:$D$55,"einmalig",Q7:Q55)</f>
        <v>290</v>
      </c>
      <c r="R58" s="17" t="n">
        <f aca="false">SUMIF($D$7:$D$55,"einmalig",R7:R55)</f>
        <v>0</v>
      </c>
      <c r="S58" s="17" t="n">
        <f aca="false">SUMIF($D$7:$D$55,"einmalig",S7:S55)</f>
        <v>0</v>
      </c>
      <c r="T58" s="17" t="n">
        <f aca="false">SUMIF($D$7:$D$55,"einmalig",T7:T55)</f>
        <v>0</v>
      </c>
      <c r="U58" s="17" t="n">
        <f aca="false">SUMIF($D$7:$D$55,"einmalig",U7:U55)</f>
        <v>0</v>
      </c>
      <c r="V58" s="17" t="n">
        <f aca="false">SUMIF($D$7:$D$55,"einmalig",V7:V55)</f>
        <v>0</v>
      </c>
      <c r="W58" s="17" t="n">
        <f aca="false">SUMIF($D$7:$D$55,"einmalig",W7:W55)</f>
        <v>21.5</v>
      </c>
      <c r="X58" s="17" t="n">
        <f aca="false">SUMIF($D$7:$D$55,"einmalig",X7:X55)</f>
        <v>0</v>
      </c>
      <c r="Y58" s="17" t="n">
        <f aca="false">SUMIF($D$7:$D$55,"einmalig",Y7:Y55)</f>
        <v>0</v>
      </c>
      <c r="Z58" s="17" t="n">
        <f aca="false">SUMIF($D$7:$D$55,"einmalig",Z7:Z55)</f>
        <v>0</v>
      </c>
      <c r="AA58" s="17" t="n">
        <f aca="false">SUMIF($D$7:$D$55,"einmalig",AA7:AA55)</f>
        <v>0</v>
      </c>
      <c r="AB58" s="17" t="n">
        <f aca="false">SUMIF($D$7:$D$55,"einmalig",AB7:AB55)</f>
        <v>0</v>
      </c>
      <c r="AC58" s="17" t="n">
        <f aca="false">SUMIF($D$7:$D$55,"einmalig",AC7:AC55)</f>
        <v>0</v>
      </c>
      <c r="AD58" s="17" t="n">
        <f aca="false">SUMIF($D$7:$D$55,"einmalig",AD7:AD55)</f>
        <v>0</v>
      </c>
      <c r="AE58" s="17" t="n">
        <f aca="false">SUMIF($D$7:$D$55,"einmalig",AE7:AE55)</f>
        <v>0</v>
      </c>
      <c r="AF58" s="17" t="n">
        <f aca="false">SUMIF($D$7:$D$55,"einmalig",AF7:AF55)</f>
        <v>0</v>
      </c>
      <c r="AG58" s="17" t="n">
        <f aca="false">SUMIF($D$7:$D$55,"einmalig",AG7:AG55)</f>
        <v>0</v>
      </c>
      <c r="AH58" s="17" t="n">
        <f aca="false">SUMIF($D$7:$D$55,"einmalig",AH7:AH55)</f>
        <v>0</v>
      </c>
      <c r="AI58" s="17" t="n">
        <f aca="false">SUMIF($D$7:$D$55,"einmalig",AI7:AI55)</f>
        <v>0</v>
      </c>
      <c r="AJ58" s="17" t="n">
        <f aca="false">SUMIF($D$7:$D$55,"einmalig",AJ7:AJ55)</f>
        <v>0</v>
      </c>
      <c r="AK58" s="17" t="n">
        <f aca="false">SUMIF($D$7:$D$55,"einmalig",AK7:AK55)</f>
        <v>0</v>
      </c>
    </row>
    <row r="59" customFormat="false" ht="15" hidden="false" customHeight="true" outlineLevel="0" collapsed="false">
      <c r="A59" s="15"/>
      <c r="B59" s="15"/>
      <c r="C59" s="14" t="s">
        <v>687</v>
      </c>
      <c r="D59" s="15"/>
      <c r="E59" s="15"/>
      <c r="F59" s="15"/>
      <c r="G59" s="15"/>
      <c r="H59" s="15"/>
      <c r="I59" s="15"/>
      <c r="J59" s="15"/>
      <c r="K59" s="15"/>
      <c r="L59" s="15"/>
      <c r="M59" s="15"/>
      <c r="N59" s="17" t="n">
        <f aca="false">SUMIF($D$7:$D$55,"Reserve",N7:N55)</f>
        <v>0</v>
      </c>
      <c r="O59" s="17" t="n">
        <f aca="false">SUMIF($D$7:$D$55,"Reserve",O7:O55)</f>
        <v>0</v>
      </c>
      <c r="P59" s="17" t="n">
        <f aca="false">SUMIF($D$7:$D$55,"Reserve",P7:P55)</f>
        <v>0</v>
      </c>
      <c r="Q59" s="17" t="n">
        <f aca="false">SUMIF($D$7:$D$55,"Reserve",Q7:Q55)</f>
        <v>0</v>
      </c>
      <c r="R59" s="17" t="n">
        <f aca="false">SUMIF($D$7:$D$55,"Reserve",R7:R55)</f>
        <v>1000</v>
      </c>
      <c r="S59" s="17" t="n">
        <f aca="false">SUMIF($D$7:$D$55,"Reserve",S7:S55)</f>
        <v>0</v>
      </c>
      <c r="T59" s="17" t="n">
        <f aca="false">SUMIF($D$7:$D$55,"Reserve",T7:T55)</f>
        <v>0</v>
      </c>
      <c r="U59" s="17" t="n">
        <f aca="false">SUMIF($D$7:$D$55,"Reserve",U7:U55)</f>
        <v>0</v>
      </c>
      <c r="V59" s="17" t="n">
        <f aca="false">SUMIF($D$7:$D$55,"Reserve",V7:V55)</f>
        <v>0</v>
      </c>
      <c r="W59" s="17" t="n">
        <f aca="false">SUMIF($D$7:$D$55,"Reserve",W7:W55)</f>
        <v>0</v>
      </c>
      <c r="X59" s="17" t="n">
        <f aca="false">SUMIF($D$7:$D$55,"Reserve",X7:X55)</f>
        <v>0</v>
      </c>
      <c r="Y59" s="17" t="n">
        <f aca="false">SUMIF($D$7:$D$55,"Reserve",Y7:Y55)</f>
        <v>0</v>
      </c>
      <c r="Z59" s="17" t="n">
        <f aca="false">SUMIF($D$7:$D$55,"Reserve",Z7:Z55)</f>
        <v>0</v>
      </c>
      <c r="AA59" s="17" t="n">
        <f aca="false">SUMIF($D$7:$D$55,"Reserve",AA7:AA55)</f>
        <v>0</v>
      </c>
      <c r="AB59" s="17" t="n">
        <f aca="false">SUMIF($D$7:$D$55,"Reserve",AB7:AB55)</f>
        <v>0</v>
      </c>
      <c r="AC59" s="17" t="n">
        <f aca="false">SUMIF($D$7:$D$55,"Reserve",AC7:AC55)</f>
        <v>0</v>
      </c>
      <c r="AD59" s="17" t="n">
        <f aca="false">SUMIF($D$7:$D$55,"Reserve",AD7:AD55)</f>
        <v>0</v>
      </c>
      <c r="AE59" s="17" t="n">
        <f aca="false">SUMIF($D$7:$D$55,"Reserve",AE7:AE55)</f>
        <v>0</v>
      </c>
      <c r="AF59" s="17" t="n">
        <f aca="false">SUMIF($D$7:$D$55,"Reserve",AF7:AF55)</f>
        <v>0</v>
      </c>
      <c r="AG59" s="17" t="n">
        <f aca="false">SUMIF($D$7:$D$55,"Reserve",AG7:AG55)</f>
        <v>0</v>
      </c>
      <c r="AH59" s="17" t="n">
        <f aca="false">SUMIF($D$7:$D$55,"Reserve",AH7:AH55)</f>
        <v>0</v>
      </c>
      <c r="AI59" s="17" t="n">
        <f aca="false">SUMIF($D$7:$D$55,"Reserve",AI7:AI55)</f>
        <v>0</v>
      </c>
      <c r="AJ59" s="17" t="n">
        <f aca="false">SUMIF($D$7:$D$55,"Reserve",AJ7:AJ55)</f>
        <v>0</v>
      </c>
      <c r="AK59" s="17" t="n">
        <f aca="false">SUMIF($D$7:$D$55,"Reserve",AK7:AK55)</f>
        <v>0</v>
      </c>
    </row>
    <row r="60" customFormat="false" ht="15" hidden="false" customHeight="true" outlineLevel="0" collapsed="false">
      <c r="C60" s="49" t="s">
        <v>688</v>
      </c>
      <c r="N60" s="100" t="n">
        <f aca="false">-SUMPRODUCT($AL$7:$AL$55,IF(ISNUMBER(N$7:N$55),N$7:N$55,0))*'Plan-Annahmen'!$B$61</f>
        <v>-24.518818005707</v>
      </c>
      <c r="O60" s="100" t="n">
        <f aca="false">-SUMPRODUCT($AL$7:$AL$55,IF(ISNUMBER(O$7:O$55),O$7:O$55,0))*'Plan-Annahmen'!$B$61</f>
        <v>-16.9665742296919</v>
      </c>
      <c r="P60" s="100" t="n">
        <f aca="false">-SUMPRODUCT($AL$7:$AL$55,IF(ISNUMBER(P$7:P$55),P$7:P$55,0))*'Plan-Annahmen'!$B$61</f>
        <v>-16.9665742296919</v>
      </c>
      <c r="Q60" s="100" t="n">
        <f aca="false">-SUMPRODUCT($AL$7:$AL$55,IF(ISNUMBER(Q$7:Q$55),Q$7:Q$55,0))*'Plan-Annahmen'!$B$61</f>
        <v>-16.9665742296919</v>
      </c>
      <c r="R60" s="100" t="n">
        <f aca="false">-SUMPRODUCT($AL$7:$AL$55,IF(ISNUMBER(R$7:R$55),R$7:R$55,0))*'Plan-Annahmen'!$B$61</f>
        <v>-16.9665742296919</v>
      </c>
      <c r="S60" s="100" t="n">
        <f aca="false">-SUMPRODUCT($AL$7:$AL$55,IF(ISNUMBER(S$7:S$55),S$7:S$55,0))*'Plan-Annahmen'!$B$61</f>
        <v>-16.9665742296919</v>
      </c>
      <c r="T60" s="100" t="n">
        <f aca="false">-SUMPRODUCT($AL$7:$AL$55,IF(ISNUMBER(T$7:T$55),T$7:T$55,0))*'Plan-Annahmen'!$B$61</f>
        <v>-23.8321204481793</v>
      </c>
      <c r="U60" s="100" t="n">
        <f aca="false">-SUMPRODUCT($AL$7:$AL$55,IF(ISNUMBER(U$7:U$55),U$7:U$55,0))*'Plan-Annahmen'!$B$61</f>
        <v>-23.8321204481793</v>
      </c>
      <c r="V60" s="100" t="n">
        <f aca="false">-SUMPRODUCT($AL$7:$AL$55,IF(ISNUMBER(V$7:V$55),V$7:V$55,0))*'Plan-Annahmen'!$B$61</f>
        <v>-23.8321204481793</v>
      </c>
      <c r="W60" s="100" t="n">
        <f aca="false">-SUMPRODUCT($AL$7:$AL$55,IF(ISNUMBER(W$7:W$55),W$7:W$55,0))*'Plan-Annahmen'!$B$61</f>
        <v>-23.8321204481793</v>
      </c>
      <c r="X60" s="100" t="n">
        <f aca="false">-SUMPRODUCT($AL$7:$AL$55,IF(ISNUMBER(X$7:X$55),X$7:X$55,0))*'Plan-Annahmen'!$B$61</f>
        <v>-23.8321204481793</v>
      </c>
      <c r="Y60" s="100" t="n">
        <f aca="false">-SUMPRODUCT($AL$7:$AL$55,IF(ISNUMBER(Y$7:Y$55),Y$7:Y$55,0))*'Plan-Annahmen'!$B$61</f>
        <v>-23.8321204481793</v>
      </c>
      <c r="Z60" s="100" t="n">
        <f aca="false">-SUMPRODUCT($AL$7:$AL$55,IF(ISNUMBER(Z$7:Z$55),Z$7:Z$55,0))*'Plan-Annahmen'!$B$61</f>
        <v>-24.6498774575251</v>
      </c>
      <c r="AA60" s="100" t="n">
        <f aca="false">-SUMPRODUCT($AL$7:$AL$55,IF(ISNUMBER(AA$7:AA$55),AA$7:AA$55,0))*'Plan-Annahmen'!$B$61</f>
        <v>-24.6498774575251</v>
      </c>
      <c r="AB60" s="100" t="n">
        <f aca="false">-SUMPRODUCT($AL$7:$AL$55,IF(ISNUMBER(AB$7:AB$55),AB$7:AB$55,0))*'Plan-Annahmen'!$B$61</f>
        <v>-24.6498774575251</v>
      </c>
      <c r="AC60" s="100" t="n">
        <f aca="false">-SUMPRODUCT($AL$7:$AL$55,IF(ISNUMBER(AC$7:AC$55),AC$7:AC$55,0))*'Plan-Annahmen'!$B$61</f>
        <v>-24.6498774575251</v>
      </c>
      <c r="AD60" s="100" t="n">
        <f aca="false">-SUMPRODUCT($AL$7:$AL$55,IF(ISNUMBER(AD$7:AD$55),AD$7:AD$55,0))*'Plan-Annahmen'!$B$61</f>
        <v>-24.6498774575251</v>
      </c>
      <c r="AE60" s="100" t="n">
        <f aca="false">-SUMPRODUCT($AL$7:$AL$55,IF(ISNUMBER(AE$7:AE$55),AE$7:AE$55,0))*'Plan-Annahmen'!$B$61</f>
        <v>-24.6498774575251</v>
      </c>
      <c r="AF60" s="100" t="n">
        <f aca="false">-SUMPRODUCT($AL$7:$AL$55,IF(ISNUMBER(AF$7:AF$55),AF$7:AF$55,0))*'Plan-Annahmen'!$B$61</f>
        <v>-24.6498774575251</v>
      </c>
      <c r="AG60" s="100" t="n">
        <f aca="false">-SUMPRODUCT($AL$7:$AL$55,IF(ISNUMBER(AG$7:AG$55),AG$7:AG$55,0))*'Plan-Annahmen'!$B$61</f>
        <v>-24.6498774575251</v>
      </c>
      <c r="AH60" s="100" t="n">
        <f aca="false">-SUMPRODUCT($AL$7:$AL$55,IF(ISNUMBER(AH$7:AH$55),AH$7:AH$55,0))*'Plan-Annahmen'!$B$61</f>
        <v>-24.6498774575251</v>
      </c>
      <c r="AI60" s="100" t="n">
        <f aca="false">-SUMPRODUCT($AL$7:$AL$55,IF(ISNUMBER(AI$7:AI$55),AI$7:AI$55,0))*'Plan-Annahmen'!$B$61</f>
        <v>-24.6498774575251</v>
      </c>
      <c r="AJ60" s="100" t="n">
        <f aca="false">-SUMPRODUCT($AL$7:$AL$55,IF(ISNUMBER(AJ$7:AJ$55),AJ$7:AJ$55,0))*'Plan-Annahmen'!$B$61</f>
        <v>-24.6498774575251</v>
      </c>
      <c r="AK60" s="100" t="n">
        <f aca="false">-SUMPRODUCT($AL$7:$AL$55,IF(ISNUMBER(AK$7:AK$55),AK$7:AK$55,0))*'Plan-Annahmen'!$B$61</f>
        <v>-24.6498774575251</v>
      </c>
    </row>
    <row r="61" customFormat="false" ht="15" hidden="false" customHeight="true" outlineLevel="0" collapsed="false">
      <c r="A61" s="15"/>
      <c r="B61" s="15"/>
      <c r="C61" s="14" t="s">
        <v>689</v>
      </c>
      <c r="D61" s="15"/>
      <c r="E61" s="15"/>
      <c r="F61" s="15"/>
      <c r="G61" s="15"/>
      <c r="H61" s="15"/>
      <c r="I61" s="15"/>
      <c r="J61" s="15"/>
      <c r="K61" s="15"/>
      <c r="L61" s="15"/>
      <c r="M61" s="15"/>
      <c r="N61" s="17" t="n">
        <f aca="false">N57+N60</f>
        <v>110.585515327626</v>
      </c>
      <c r="O61" s="17" t="n">
        <f aca="false">O57+O60</f>
        <v>458.964425770308</v>
      </c>
      <c r="P61" s="17" t="n">
        <f aca="false">P57+P60</f>
        <v>232.297759103641</v>
      </c>
      <c r="Q61" s="17" t="n">
        <f aca="false">Q57+Q60</f>
        <v>252.297759103641</v>
      </c>
      <c r="R61" s="17" t="n">
        <f aca="false">R57+R60</f>
        <v>252.297759103641</v>
      </c>
      <c r="S61" s="17" t="n">
        <f aca="false">S57+S60</f>
        <v>252.297759103641</v>
      </c>
      <c r="T61" s="17" t="n">
        <f aca="false">T57+T60</f>
        <v>288.432212885154</v>
      </c>
      <c r="U61" s="17" t="n">
        <f aca="false">U57+U60</f>
        <v>388.432212885154</v>
      </c>
      <c r="V61" s="17" t="n">
        <f aca="false">V57+V60</f>
        <v>288.432212885154</v>
      </c>
      <c r="W61" s="17" t="n">
        <f aca="false">W57+W60</f>
        <v>386.682212885154</v>
      </c>
      <c r="X61" s="17" t="n">
        <f aca="false">X57+X60</f>
        <v>286.682212885154</v>
      </c>
      <c r="Y61" s="17" t="n">
        <f aca="false">Y57+Y60</f>
        <v>386.682212885154</v>
      </c>
      <c r="Z61" s="17" t="n">
        <f aca="false">Z57+Z60</f>
        <v>298.364455875808</v>
      </c>
      <c r="AA61" s="17" t="n">
        <f aca="false">AA57+AA60</f>
        <v>398.364455875808</v>
      </c>
      <c r="AB61" s="17" t="n">
        <f aca="false">AB57+AB60</f>
        <v>298.364455875808</v>
      </c>
      <c r="AC61" s="17" t="n">
        <f aca="false">AC57+AC60</f>
        <v>398.364455875808</v>
      </c>
      <c r="AD61" s="17" t="n">
        <f aca="false">AD57+AD60</f>
        <v>298.364455875808</v>
      </c>
      <c r="AE61" s="17" t="n">
        <f aca="false">AE57+AE60</f>
        <v>398.364455875808</v>
      </c>
      <c r="AF61" s="17" t="n">
        <f aca="false">AF57+AF60</f>
        <v>298.364455875808</v>
      </c>
      <c r="AG61" s="17" t="n">
        <f aca="false">AG57+AG60</f>
        <v>398.364455875808</v>
      </c>
      <c r="AH61" s="17" t="n">
        <f aca="false">AH57+AH60</f>
        <v>298.364455875808</v>
      </c>
      <c r="AI61" s="17" t="n">
        <f aca="false">AI57+AI60</f>
        <v>398.364455875808</v>
      </c>
      <c r="AJ61" s="17" t="n">
        <f aca="false">AJ57+AJ60</f>
        <v>298.364455875808</v>
      </c>
      <c r="AK61" s="17" t="n">
        <f aca="false">AK57+AK60</f>
        <v>398.364455875808</v>
      </c>
    </row>
    <row r="63" customFormat="false" ht="15" hidden="false" customHeight="true" outlineLevel="0" collapsed="false">
      <c r="C63" s="49" t="s">
        <v>690</v>
      </c>
    </row>
    <row r="64" customFormat="false" ht="15" hidden="false" customHeight="true" outlineLevel="0" collapsed="false">
      <c r="A64" s="4"/>
      <c r="B64" s="4"/>
      <c r="C64" s="4" t="s">
        <v>521</v>
      </c>
      <c r="D64" s="4" t="s">
        <v>523</v>
      </c>
      <c r="E64" s="4" t="s">
        <v>321</v>
      </c>
      <c r="F64" s="4" t="s">
        <v>691</v>
      </c>
      <c r="G64" s="4"/>
      <c r="H64" s="4"/>
      <c r="I64" s="4"/>
      <c r="J64" s="4"/>
      <c r="K64" s="4"/>
      <c r="L64" s="4"/>
      <c r="M64" s="4"/>
    </row>
    <row r="65" customFormat="false" ht="15" hidden="false" customHeight="true" outlineLevel="0" collapsed="false">
      <c r="C65" s="80" t="s">
        <v>692</v>
      </c>
      <c r="D65" s="101"/>
      <c r="E65" s="102" t="s">
        <v>573</v>
      </c>
      <c r="F65" s="84" t="n">
        <f aca="false">3000/12-800/12</f>
        <v>183.333333333333</v>
      </c>
    </row>
    <row r="66" customFormat="false" ht="15" hidden="false" customHeight="true" outlineLevel="0" collapsed="false">
      <c r="C66" s="80" t="s">
        <v>693</v>
      </c>
      <c r="D66" s="101"/>
      <c r="E66" s="102" t="s">
        <v>573</v>
      </c>
      <c r="F66" s="84" t="n">
        <f aca="false">10</f>
        <v>10</v>
      </c>
    </row>
    <row r="67" customFormat="false" ht="15" hidden="false" customHeight="true" outlineLevel="0" collapsed="false">
      <c r="C67" s="80" t="s">
        <v>694</v>
      </c>
      <c r="D67" s="101"/>
      <c r="E67" s="102" t="s">
        <v>573</v>
      </c>
      <c r="F67" s="84" t="n">
        <f aca="false">200/12</f>
        <v>16.6666666666667</v>
      </c>
    </row>
    <row r="68" customFormat="false" ht="15" hidden="false" customHeight="true" outlineLevel="0" collapsed="false">
      <c r="C68" s="80" t="s">
        <v>695</v>
      </c>
      <c r="D68" s="101"/>
      <c r="E68" s="102" t="s">
        <v>532</v>
      </c>
      <c r="F68" s="84" t="n">
        <f aca="false">480</f>
        <v>480</v>
      </c>
    </row>
    <row r="69" customFormat="false" ht="15" hidden="false" customHeight="true" outlineLevel="0" collapsed="false">
      <c r="C69" s="80" t="s">
        <v>696</v>
      </c>
      <c r="D69" s="101"/>
      <c r="E69" s="102" t="s">
        <v>532</v>
      </c>
      <c r="F69" s="84" t="n">
        <f aca="false">500</f>
        <v>500</v>
      </c>
    </row>
    <row r="70" customFormat="false" ht="15" hidden="false" customHeight="true" outlineLevel="0" collapsed="false">
      <c r="C70" s="80" t="s">
        <v>697</v>
      </c>
      <c r="D70" s="101"/>
      <c r="E70" s="102" t="s">
        <v>579</v>
      </c>
      <c r="F70" s="84" t="n">
        <f aca="false">1000</f>
        <v>1000</v>
      </c>
    </row>
    <row r="71" customFormat="false" ht="15" hidden="false" customHeight="true" outlineLevel="0" collapsed="false">
      <c r="C71" s="14" t="s">
        <v>698</v>
      </c>
      <c r="D71" s="15"/>
      <c r="E71" s="15"/>
      <c r="F71" s="17" t="n">
        <f aca="false">F65+F66+F67</f>
        <v>210</v>
      </c>
    </row>
    <row r="72" customFormat="false" ht="15" hidden="false" customHeight="true" outlineLevel="0" collapsed="false">
      <c r="C72" s="14" t="s">
        <v>699</v>
      </c>
      <c r="D72" s="15"/>
      <c r="E72" s="15"/>
      <c r="F72" s="17" t="n">
        <f aca="false">F68+F69</f>
        <v>980</v>
      </c>
    </row>
    <row r="73" customFormat="false" ht="15" hidden="false" customHeight="true" outlineLevel="0" collapsed="false">
      <c r="C73" s="14" t="s">
        <v>700</v>
      </c>
      <c r="D73" s="15"/>
      <c r="E73" s="15"/>
      <c r="F73" s="17" t="n">
        <f aca="false">F70</f>
        <v>1000</v>
      </c>
    </row>
    <row r="75" customFormat="false" ht="39" hidden="false" customHeight="true" outlineLevel="0" collapsed="false">
      <c r="A75" s="44" t="s">
        <v>701</v>
      </c>
      <c r="B75" s="44"/>
      <c r="C75" s="44"/>
      <c r="D75" s="44"/>
      <c r="E75" s="44"/>
      <c r="F75" s="44"/>
      <c r="G75" s="44"/>
      <c r="H75" s="44"/>
      <c r="I75" s="44"/>
      <c r="J75" s="44"/>
      <c r="K75" s="44"/>
      <c r="L75" s="44"/>
      <c r="M75" s="44"/>
    </row>
    <row r="77" customFormat="false" ht="39" hidden="false" customHeight="true" outlineLevel="0" collapsed="false">
      <c r="A77" s="44" t="s">
        <v>702</v>
      </c>
      <c r="B77" s="44"/>
      <c r="C77" s="44"/>
      <c r="D77" s="44"/>
      <c r="E77" s="44"/>
      <c r="F77" s="44"/>
      <c r="G77" s="44"/>
      <c r="H77" s="44"/>
      <c r="I77" s="44"/>
      <c r="J77" s="44"/>
      <c r="K77" s="44"/>
      <c r="L77" s="44"/>
      <c r="M77" s="44"/>
    </row>
  </sheetData>
  <mergeCells count="54">
    <mergeCell ref="A2:M4"/>
    <mergeCell ref="J6:M6"/>
    <mergeCell ref="J7:M7"/>
    <mergeCell ref="J8:M8"/>
    <mergeCell ref="J9:M9"/>
    <mergeCell ref="J10:M10"/>
    <mergeCell ref="J11:M11"/>
    <mergeCell ref="J12:M12"/>
    <mergeCell ref="J13:M13"/>
    <mergeCell ref="J14:M14"/>
    <mergeCell ref="J15:M15"/>
    <mergeCell ref="J16:M16"/>
    <mergeCell ref="J17:M17"/>
    <mergeCell ref="J18:M18"/>
    <mergeCell ref="J19:M19"/>
    <mergeCell ref="J20:M20"/>
    <mergeCell ref="J21:M21"/>
    <mergeCell ref="J22:M22"/>
    <mergeCell ref="J23:M23"/>
    <mergeCell ref="J24:M24"/>
    <mergeCell ref="J25:M25"/>
    <mergeCell ref="J26:M26"/>
    <mergeCell ref="J27:M27"/>
    <mergeCell ref="J28:M28"/>
    <mergeCell ref="J29:M29"/>
    <mergeCell ref="J30:M30"/>
    <mergeCell ref="J31:M31"/>
    <mergeCell ref="J32:M32"/>
    <mergeCell ref="J33:M33"/>
    <mergeCell ref="J34:M34"/>
    <mergeCell ref="J35:M35"/>
    <mergeCell ref="J36:M36"/>
    <mergeCell ref="J37:M37"/>
    <mergeCell ref="J38:M38"/>
    <mergeCell ref="J39:M39"/>
    <mergeCell ref="J40:M40"/>
    <mergeCell ref="J41:M41"/>
    <mergeCell ref="J42:M42"/>
    <mergeCell ref="J43:M43"/>
    <mergeCell ref="J44:M44"/>
    <mergeCell ref="J45:M45"/>
    <mergeCell ref="J46:M46"/>
    <mergeCell ref="J47:M47"/>
    <mergeCell ref="J48:M48"/>
    <mergeCell ref="J49:M49"/>
    <mergeCell ref="J50:M50"/>
    <mergeCell ref="J51:M51"/>
    <mergeCell ref="J52:M52"/>
    <mergeCell ref="J53:M53"/>
    <mergeCell ref="J54:M54"/>
    <mergeCell ref="J55:M55"/>
    <mergeCell ref="F64:M64"/>
    <mergeCell ref="A75:M75"/>
    <mergeCell ref="A77:M7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12"/>
    <col collapsed="false" customWidth="true" hidden="false" outlineLevel="0" max="7" min="3" style="1" width="10"/>
    <col collapsed="false" customWidth="true" hidden="false" outlineLevel="0" max="8" min="8" style="1" width="12"/>
    <col collapsed="false" customWidth="true" hidden="false" outlineLevel="0" max="10" min="9" style="1" width="11"/>
    <col collapsed="false" customWidth="true" hidden="false" outlineLevel="0" max="11" min="11" style="1" width="10"/>
    <col collapsed="false" customWidth="true" hidden="false" outlineLevel="0" max="12" min="12" style="1" width="12"/>
    <col collapsed="false" customWidth="true" hidden="false" outlineLevel="0" max="14" min="13" style="1" width="13"/>
    <col collapsed="false" customWidth="true" hidden="false" outlineLevel="0" max="17" min="15" style="1" width="12"/>
    <col collapsed="false" customWidth="true" hidden="false" outlineLevel="0" max="18" min="18" style="1" width="13"/>
    <col collapsed="false" customWidth="true" hidden="false" outlineLevel="0" max="19" min="19" style="1" width="11"/>
    <col collapsed="false" customWidth="true" hidden="false" outlineLevel="0" max="21" min="20" style="1" width="12"/>
    <col collapsed="false" customWidth="true" hidden="false" outlineLevel="0" max="22" min="22" style="1" width="11"/>
    <col collapsed="false" customWidth="true" hidden="false" outlineLevel="0" max="23" min="23" style="1" width="12"/>
    <col collapsed="false" customWidth="true" hidden="false" outlineLevel="0" max="24" min="24" style="1" width="9"/>
    <col collapsed="false" customWidth="true" hidden="false" outlineLevel="0" max="25" min="25" style="1" width="10"/>
    <col collapsed="false" customWidth="true" hidden="false" outlineLevel="0" max="26" min="26" style="1" width="11"/>
    <col collapsed="false" customWidth="true" hidden="false" outlineLevel="0" max="28" min="27" style="1" width="12"/>
    <col collapsed="false" customWidth="true" hidden="false" outlineLevel="0" max="29" min="29" style="1" width="10"/>
    <col collapsed="false" customWidth="true" hidden="false" outlineLevel="0" max="30" min="30" style="1" width="13"/>
    <col collapsed="false" customWidth="true" hidden="false" outlineLevel="0" max="31" min="31" style="1" width="9"/>
  </cols>
  <sheetData>
    <row r="1" customFormat="false" ht="17.25" hidden="false" customHeight="true" outlineLevel="0" collapsed="false">
      <c r="A1" s="43" t="s">
        <v>703</v>
      </c>
    </row>
    <row r="2" customFormat="false" ht="15" hidden="false" customHeight="true" outlineLevel="0" collapsed="false">
      <c r="A2" s="44" t="s">
        <v>704</v>
      </c>
      <c r="B2" s="44"/>
      <c r="C2" s="44"/>
      <c r="D2" s="44"/>
      <c r="E2" s="44"/>
      <c r="F2" s="44"/>
      <c r="G2" s="44"/>
      <c r="H2" s="44"/>
      <c r="I2" s="44"/>
      <c r="J2" s="44"/>
      <c r="K2" s="44"/>
      <c r="L2" s="44"/>
      <c r="M2" s="44"/>
      <c r="N2" s="44"/>
      <c r="O2" s="44"/>
      <c r="P2" s="44"/>
      <c r="Q2" s="44"/>
      <c r="R2" s="44"/>
      <c r="S2" s="44"/>
      <c r="T2" s="44"/>
      <c r="U2" s="44"/>
      <c r="V2" s="44"/>
      <c r="W2" s="44"/>
      <c r="X2" s="44"/>
      <c r="Y2" s="44"/>
      <c r="Z2" s="44"/>
      <c r="AA2" s="44"/>
      <c r="AB2" s="44"/>
      <c r="AC2" s="44"/>
      <c r="AD2" s="44"/>
      <c r="AE2" s="44"/>
    </row>
    <row r="3" customFormat="false" ht="15" hidden="false" customHeight="true" outlineLevel="0" collapsed="false">
      <c r="A3" s="44"/>
      <c r="B3" s="44"/>
      <c r="C3" s="44"/>
      <c r="D3" s="44"/>
      <c r="E3" s="44"/>
      <c r="F3" s="44"/>
      <c r="G3" s="44"/>
      <c r="H3" s="44"/>
      <c r="I3" s="44"/>
      <c r="J3" s="44"/>
      <c r="K3" s="44"/>
      <c r="L3" s="44"/>
      <c r="M3" s="44"/>
      <c r="N3" s="44"/>
      <c r="O3" s="44"/>
      <c r="P3" s="44"/>
      <c r="Q3" s="44"/>
      <c r="R3" s="44"/>
      <c r="S3" s="44"/>
      <c r="T3" s="44"/>
      <c r="U3" s="44"/>
      <c r="V3" s="44"/>
      <c r="W3" s="44"/>
      <c r="X3" s="44"/>
      <c r="Y3" s="44"/>
      <c r="Z3" s="44"/>
      <c r="AA3" s="44"/>
      <c r="AB3" s="44"/>
      <c r="AC3" s="44"/>
      <c r="AD3" s="44"/>
      <c r="AE3" s="44"/>
    </row>
    <row r="4" customFormat="false" ht="15" hidden="false" customHeight="true" outlineLevel="0" collapsed="false">
      <c r="A4" s="44"/>
      <c r="B4" s="44"/>
      <c r="C4" s="44"/>
      <c r="D4" s="44"/>
      <c r="E4" s="44"/>
      <c r="F4" s="44"/>
      <c r="G4" s="44"/>
      <c r="H4" s="44"/>
      <c r="I4" s="44"/>
      <c r="J4" s="44"/>
      <c r="K4" s="44"/>
      <c r="L4" s="44"/>
      <c r="M4" s="44"/>
      <c r="N4" s="44"/>
      <c r="O4" s="44"/>
      <c r="P4" s="44"/>
      <c r="Q4" s="44"/>
      <c r="R4" s="44"/>
      <c r="S4" s="44"/>
      <c r="T4" s="44"/>
      <c r="U4" s="44"/>
      <c r="V4" s="44"/>
      <c r="W4" s="44"/>
      <c r="X4" s="44"/>
      <c r="Y4" s="44"/>
      <c r="Z4" s="44"/>
      <c r="AA4" s="44"/>
      <c r="AB4" s="44"/>
      <c r="AC4" s="44"/>
      <c r="AD4" s="44"/>
      <c r="AE4" s="44"/>
    </row>
    <row r="6" customFormat="false" ht="15" hidden="false" customHeight="true" outlineLevel="0" collapsed="false">
      <c r="A6" s="49" t="s">
        <v>490</v>
      </c>
      <c r="H6" s="72" t="s">
        <v>705</v>
      </c>
      <c r="K6" s="49" t="n">
        <f aca="false">MATCH(MIN(W8:W31),W8:W31,0)</f>
        <v>22</v>
      </c>
      <c r="M6" s="72" t="s">
        <v>706</v>
      </c>
      <c r="O6" s="103" t="n">
        <f aca="false">'Plan-Kunden'!$S$32</f>
        <v>999</v>
      </c>
    </row>
    <row r="7" customFormat="false" ht="39" hidden="false" customHeight="true" outlineLevel="0" collapsed="false">
      <c r="A7" s="4" t="s">
        <v>492</v>
      </c>
      <c r="B7" s="4" t="s">
        <v>493</v>
      </c>
      <c r="C7" s="4" t="s">
        <v>707</v>
      </c>
      <c r="D7" s="4" t="s">
        <v>708</v>
      </c>
      <c r="E7" s="4" t="s">
        <v>709</v>
      </c>
      <c r="F7" s="4" t="s">
        <v>710</v>
      </c>
      <c r="G7" s="4" t="s">
        <v>353</v>
      </c>
      <c r="H7" s="4" t="s">
        <v>711</v>
      </c>
      <c r="I7" s="4" t="s">
        <v>712</v>
      </c>
      <c r="J7" s="4" t="s">
        <v>713</v>
      </c>
      <c r="K7" s="4" t="s">
        <v>714</v>
      </c>
      <c r="L7" s="4" t="s">
        <v>715</v>
      </c>
      <c r="M7" s="4" t="s">
        <v>716</v>
      </c>
      <c r="N7" s="4" t="s">
        <v>717</v>
      </c>
      <c r="O7" s="4" t="s">
        <v>718</v>
      </c>
      <c r="P7" s="4" t="s">
        <v>719</v>
      </c>
      <c r="Q7" s="4" t="s">
        <v>720</v>
      </c>
      <c r="R7" s="4" t="s">
        <v>721</v>
      </c>
      <c r="S7" s="4" t="s">
        <v>722</v>
      </c>
      <c r="T7" s="4" t="s">
        <v>723</v>
      </c>
      <c r="U7" s="4" t="s">
        <v>724</v>
      </c>
      <c r="V7" s="4" t="s">
        <v>725</v>
      </c>
      <c r="W7" s="4" t="s">
        <v>726</v>
      </c>
      <c r="X7" s="4" t="s">
        <v>727</v>
      </c>
      <c r="Y7" s="4" t="s">
        <v>507</v>
      </c>
      <c r="Z7" s="4" t="s">
        <v>728</v>
      </c>
      <c r="AA7" s="4" t="s">
        <v>729</v>
      </c>
      <c r="AB7" s="4" t="s">
        <v>730</v>
      </c>
      <c r="AC7" s="4" t="s">
        <v>731</v>
      </c>
      <c r="AD7" s="4" t="s">
        <v>732</v>
      </c>
      <c r="AE7" s="4" t="s">
        <v>733</v>
      </c>
    </row>
    <row r="8" customFormat="false" ht="15" hidden="false" customHeight="true" outlineLevel="0" collapsed="false">
      <c r="A8" s="35" t="n">
        <v>1</v>
      </c>
      <c r="B8" s="73" t="n">
        <f aca="false">'Plan-Kunden'!B8</f>
        <v>46266</v>
      </c>
      <c r="C8" s="78" t="n">
        <f aca="false">'Plan-Kunden'!E8</f>
        <v>0</v>
      </c>
      <c r="D8" s="78" t="n">
        <f aca="false">'Plan-Kunden'!K8</f>
        <v>0</v>
      </c>
      <c r="E8" s="78" t="n">
        <f aca="false">'Plan-Kunden'!I8</f>
        <v>0</v>
      </c>
      <c r="F8" s="78" t="n">
        <f aca="false">'Plan-Kunden'!J8</f>
        <v>0</v>
      </c>
      <c r="G8" s="104" t="n">
        <f aca="false">D8*'Plan-Annahmen'!$B$21</f>
        <v>0</v>
      </c>
      <c r="H8" s="100" t="n">
        <f aca="false">E8*'Plan-Annahmen'!$B$14+F8*'Plan-Annahmen'!$B$15</f>
        <v>0</v>
      </c>
      <c r="I8" s="100" t="n">
        <f aca="false">H8*('Plan-Annahmen'!$B$52+'Plan-Annahmen'!$B$53)</f>
        <v>0</v>
      </c>
      <c r="J8" s="100" t="n">
        <f aca="false">E8*('Plan-Annahmen'!$B$14*'Plan-Annahmen'!$B$18+'Plan-Annahmen'!$B$19)+F8*('Plan-Annahmen'!$B$15*'Plan-Annahmen'!$B$18+'Plan-Annahmen'!$B$19)</f>
        <v>0</v>
      </c>
      <c r="K8" s="100" t="n">
        <f aca="false">G8*'Plan-Annahmen'!$B$17/100</f>
        <v>0</v>
      </c>
      <c r="L8" s="100" t="n">
        <f aca="false">'Plan-Kunden'!D8*'Plan-Annahmen'!$B$15*'Plan-Annahmen'!$B$50</f>
        <v>0</v>
      </c>
      <c r="M8" s="100" t="n">
        <f aca="false">'Plan-Kosten'!N$61</f>
        <v>110.585515327626</v>
      </c>
      <c r="N8" s="100" t="n">
        <f aca="false">IF(A8&gt;=$O$6,'Plan-Kosten'!$F$71,0)</f>
        <v>0</v>
      </c>
      <c r="O8" s="100" t="n">
        <f aca="false">'Plan-Kosten'!N$58</f>
        <v>150</v>
      </c>
      <c r="P8" s="100" t="n">
        <f aca="false">IF(A8=$O$6,'Plan-Kosten'!$F$72,0)</f>
        <v>0</v>
      </c>
      <c r="Q8" s="67" t="n">
        <f aca="false">I8+J8+K8+L8+M8+N8+O8+P8</f>
        <v>260.585515327626</v>
      </c>
      <c r="R8" s="39" t="n">
        <f aca="false">H8-Q8</f>
        <v>-260.585515327626</v>
      </c>
      <c r="S8" s="100" t="n">
        <f aca="false">MAX(0,R8*'Plan-Annahmen'!$B$82)</f>
        <v>0</v>
      </c>
      <c r="T8" s="67" t="n">
        <f aca="false">R8-S8</f>
        <v>-260.585515327626</v>
      </c>
      <c r="U8" s="67" t="n">
        <f aca="false">T8</f>
        <v>-260.585515327626</v>
      </c>
      <c r="V8" s="100" t="n">
        <f aca="false">'Plan-Kosten'!N$59+IF(A8=$O$6,'Plan-Kosten'!$F$73,0)</f>
        <v>0</v>
      </c>
      <c r="W8" s="39" t="n">
        <f aca="false">U8-V8</f>
        <v>-260.585515327626</v>
      </c>
      <c r="X8" s="35" t="n">
        <f aca="false">IF(R8&gt;0,1,0)</f>
        <v>0</v>
      </c>
      <c r="Y8" s="78" t="n">
        <f aca="false">'Plan-Kunden'!P8</f>
        <v>29</v>
      </c>
      <c r="Z8" s="105" t="n">
        <f aca="false">'Plan-Kunden'!Q8</f>
        <v>0</v>
      </c>
      <c r="AA8" s="105" t="n">
        <f aca="false">IF(D8&gt;='Plan-Phase B'!$C$22,1,0)</f>
        <v>0</v>
      </c>
      <c r="AB8" s="105" t="n">
        <f aca="false">IF(D8&gt;='Plan-Phase B'!$D$22,1,0)</f>
        <v>0</v>
      </c>
      <c r="AC8" s="105" t="n">
        <f aca="false">IF(D8&gt;='Plan-Phase B'!$E$22,1,0)</f>
        <v>0</v>
      </c>
      <c r="AD8" s="35" t="n">
        <f aca="false">IF(AND(W8&gt;=0,A8&gt;$K$6),1,0)</f>
        <v>0</v>
      </c>
      <c r="AE8" s="35" t="n">
        <f aca="false">IF(A8&gt;=$O$6,1,0)</f>
        <v>0</v>
      </c>
    </row>
    <row r="9" customFormat="false" ht="15" hidden="false" customHeight="true" outlineLevel="0" collapsed="false">
      <c r="A9" s="35" t="n">
        <v>2</v>
      </c>
      <c r="B9" s="73" t="n">
        <f aca="false">'Plan-Kunden'!B9</f>
        <v>46296</v>
      </c>
      <c r="C9" s="78" t="n">
        <f aca="false">'Plan-Kunden'!E9</f>
        <v>0</v>
      </c>
      <c r="D9" s="78" t="n">
        <f aca="false">'Plan-Kunden'!K9</f>
        <v>0</v>
      </c>
      <c r="E9" s="78" t="n">
        <f aca="false">'Plan-Kunden'!I9</f>
        <v>0</v>
      </c>
      <c r="F9" s="78" t="n">
        <f aca="false">'Plan-Kunden'!J9</f>
        <v>0</v>
      </c>
      <c r="G9" s="104" t="n">
        <f aca="false">D9*'Plan-Annahmen'!$B$21</f>
        <v>0</v>
      </c>
      <c r="H9" s="100" t="n">
        <f aca="false">E9*'Plan-Annahmen'!$B$14+F9*'Plan-Annahmen'!$B$15</f>
        <v>0</v>
      </c>
      <c r="I9" s="100" t="n">
        <f aca="false">H9*('Plan-Annahmen'!$B$52+'Plan-Annahmen'!$B$53)</f>
        <v>0</v>
      </c>
      <c r="J9" s="100" t="n">
        <f aca="false">E9*('Plan-Annahmen'!$B$14*'Plan-Annahmen'!$B$18+'Plan-Annahmen'!$B$19)+F9*('Plan-Annahmen'!$B$15*'Plan-Annahmen'!$B$18+'Plan-Annahmen'!$B$19)</f>
        <v>0</v>
      </c>
      <c r="K9" s="100" t="n">
        <f aca="false">G9*'Plan-Annahmen'!$B$17/100</f>
        <v>0</v>
      </c>
      <c r="L9" s="100" t="n">
        <f aca="false">'Plan-Kunden'!D9*'Plan-Annahmen'!$B$15*'Plan-Annahmen'!$B$50</f>
        <v>0</v>
      </c>
      <c r="M9" s="100" t="n">
        <f aca="false">'Plan-Kosten'!O$61</f>
        <v>458.964425770308</v>
      </c>
      <c r="N9" s="100" t="n">
        <f aca="false">IF(A9&gt;=$O$6,'Plan-Kosten'!$F$71,0)</f>
        <v>0</v>
      </c>
      <c r="O9" s="100" t="n">
        <f aca="false">'Plan-Kosten'!O$58</f>
        <v>15</v>
      </c>
      <c r="P9" s="100" t="n">
        <f aca="false">IF(A9=$O$6,'Plan-Kosten'!$F$72,0)</f>
        <v>0</v>
      </c>
      <c r="Q9" s="67" t="n">
        <f aca="false">I9+J9+K9+L9+M9+N9+O9+P9</f>
        <v>473.964425770308</v>
      </c>
      <c r="R9" s="39" t="n">
        <f aca="false">H9-Q9</f>
        <v>-473.964425770308</v>
      </c>
      <c r="S9" s="100" t="n">
        <f aca="false">MAX(0,R9*'Plan-Annahmen'!$B$82)</f>
        <v>0</v>
      </c>
      <c r="T9" s="67" t="n">
        <f aca="false">R9-S9</f>
        <v>-473.964425770308</v>
      </c>
      <c r="U9" s="67" t="n">
        <f aca="false">U8+T9</f>
        <v>-734.549941097935</v>
      </c>
      <c r="V9" s="100" t="n">
        <f aca="false">V8+'Plan-Kosten'!O$59+IF(A9=$O$6,'Plan-Kosten'!$F$73,0)</f>
        <v>0</v>
      </c>
      <c r="W9" s="39" t="n">
        <f aca="false">U9-V9</f>
        <v>-734.549941097935</v>
      </c>
      <c r="X9" s="35" t="n">
        <f aca="false">IF(R9&gt;0,1,0)</f>
        <v>0</v>
      </c>
      <c r="Y9" s="78" t="n">
        <f aca="false">'Plan-Kunden'!P9</f>
        <v>43</v>
      </c>
      <c r="Z9" s="105" t="n">
        <f aca="false">'Plan-Kunden'!Q9</f>
        <v>0</v>
      </c>
      <c r="AA9" s="105" t="n">
        <f aca="false">IF(D9&gt;='Plan-Phase B'!$C$22,1,0)</f>
        <v>0</v>
      </c>
      <c r="AB9" s="105" t="n">
        <f aca="false">IF(D9&gt;='Plan-Phase B'!$D$22,1,0)</f>
        <v>0</v>
      </c>
      <c r="AC9" s="105" t="n">
        <f aca="false">IF(D9&gt;='Plan-Phase B'!$E$22,1,0)</f>
        <v>0</v>
      </c>
      <c r="AD9" s="35" t="n">
        <f aca="false">IF(AND(W9&gt;=0,A9&gt;$K$6),1,0)</f>
        <v>0</v>
      </c>
      <c r="AE9" s="35" t="n">
        <f aca="false">IF(A9&gt;=$O$6,1,0)</f>
        <v>0</v>
      </c>
    </row>
    <row r="10" customFormat="false" ht="15" hidden="false" customHeight="true" outlineLevel="0" collapsed="false">
      <c r="A10" s="35" t="n">
        <v>3</v>
      </c>
      <c r="B10" s="73" t="n">
        <f aca="false">'Plan-Kunden'!B10</f>
        <v>46327</v>
      </c>
      <c r="C10" s="78" t="n">
        <f aca="false">'Plan-Kunden'!E10</f>
        <v>0</v>
      </c>
      <c r="D10" s="78" t="n">
        <f aca="false">'Plan-Kunden'!K10</f>
        <v>0</v>
      </c>
      <c r="E10" s="78" t="n">
        <f aca="false">'Plan-Kunden'!I10</f>
        <v>0</v>
      </c>
      <c r="F10" s="78" t="n">
        <f aca="false">'Plan-Kunden'!J10</f>
        <v>0</v>
      </c>
      <c r="G10" s="104" t="n">
        <f aca="false">D10*'Plan-Annahmen'!$B$21</f>
        <v>0</v>
      </c>
      <c r="H10" s="100" t="n">
        <f aca="false">E10*'Plan-Annahmen'!$B$14+F10*'Plan-Annahmen'!$B$15</f>
        <v>0</v>
      </c>
      <c r="I10" s="100" t="n">
        <f aca="false">H10*('Plan-Annahmen'!$B$52+'Plan-Annahmen'!$B$53)</f>
        <v>0</v>
      </c>
      <c r="J10" s="100" t="n">
        <f aca="false">E10*('Plan-Annahmen'!$B$14*'Plan-Annahmen'!$B$18+'Plan-Annahmen'!$B$19)+F10*('Plan-Annahmen'!$B$15*'Plan-Annahmen'!$B$18+'Plan-Annahmen'!$B$19)</f>
        <v>0</v>
      </c>
      <c r="K10" s="100" t="n">
        <f aca="false">G10*'Plan-Annahmen'!$B$17/100</f>
        <v>0</v>
      </c>
      <c r="L10" s="100" t="n">
        <f aca="false">'Plan-Kunden'!D10*'Plan-Annahmen'!$B$15*'Plan-Annahmen'!$B$50</f>
        <v>0</v>
      </c>
      <c r="M10" s="100" t="n">
        <f aca="false">'Plan-Kosten'!P$61</f>
        <v>232.297759103641</v>
      </c>
      <c r="N10" s="100" t="n">
        <f aca="false">IF(A10&gt;=$O$6,'Plan-Kosten'!$F$71,0)</f>
        <v>0</v>
      </c>
      <c r="O10" s="100" t="n">
        <f aca="false">'Plan-Kosten'!P$58</f>
        <v>1500</v>
      </c>
      <c r="P10" s="100" t="n">
        <f aca="false">IF(A10=$O$6,'Plan-Kosten'!$F$72,0)</f>
        <v>0</v>
      </c>
      <c r="Q10" s="67" t="n">
        <f aca="false">I10+J10+K10+L10+M10+N10+O10+P10</f>
        <v>1732.29775910364</v>
      </c>
      <c r="R10" s="39" t="n">
        <f aca="false">H10-Q10</f>
        <v>-1732.29775910364</v>
      </c>
      <c r="S10" s="100" t="n">
        <f aca="false">MAX(0,R10*'Plan-Annahmen'!$B$82)</f>
        <v>0</v>
      </c>
      <c r="T10" s="67" t="n">
        <f aca="false">R10-S10</f>
        <v>-1732.29775910364</v>
      </c>
      <c r="U10" s="67" t="n">
        <f aca="false">U9+T10</f>
        <v>-2466.84770020158</v>
      </c>
      <c r="V10" s="100" t="n">
        <f aca="false">V9+'Plan-Kosten'!P$59+IF(A10=$O$6,'Plan-Kosten'!$F$73,0)</f>
        <v>0</v>
      </c>
      <c r="W10" s="39" t="n">
        <f aca="false">U10-V10</f>
        <v>-2466.84770020158</v>
      </c>
      <c r="X10" s="35" t="n">
        <f aca="false">IF(R10&gt;0,1,0)</f>
        <v>0</v>
      </c>
      <c r="Y10" s="78" t="n">
        <f aca="false">'Plan-Kunden'!P10</f>
        <v>30</v>
      </c>
      <c r="Z10" s="105" t="n">
        <f aca="false">'Plan-Kunden'!Q10</f>
        <v>0</v>
      </c>
      <c r="AA10" s="105" t="n">
        <f aca="false">IF(D10&gt;='Plan-Phase B'!$C$22,1,0)</f>
        <v>0</v>
      </c>
      <c r="AB10" s="105" t="n">
        <f aca="false">IF(D10&gt;='Plan-Phase B'!$D$22,1,0)</f>
        <v>0</v>
      </c>
      <c r="AC10" s="105" t="n">
        <f aca="false">IF(D10&gt;='Plan-Phase B'!$E$22,1,0)</f>
        <v>0</v>
      </c>
      <c r="AD10" s="35" t="n">
        <f aca="false">IF(AND(W10&gt;=0,A10&gt;$K$6),1,0)</f>
        <v>0</v>
      </c>
      <c r="AE10" s="35" t="n">
        <f aca="false">IF(A10&gt;=$O$6,1,0)</f>
        <v>0</v>
      </c>
    </row>
    <row r="11" customFormat="false" ht="15" hidden="false" customHeight="true" outlineLevel="0" collapsed="false">
      <c r="A11" s="35" t="n">
        <v>4</v>
      </c>
      <c r="B11" s="73" t="n">
        <f aca="false">'Plan-Kunden'!B11</f>
        <v>46357</v>
      </c>
      <c r="C11" s="78" t="n">
        <f aca="false">'Plan-Kunden'!E11</f>
        <v>0</v>
      </c>
      <c r="D11" s="78" t="n">
        <f aca="false">'Plan-Kunden'!K11</f>
        <v>0</v>
      </c>
      <c r="E11" s="78" t="n">
        <f aca="false">'Plan-Kunden'!I11</f>
        <v>0</v>
      </c>
      <c r="F11" s="78" t="n">
        <f aca="false">'Plan-Kunden'!J11</f>
        <v>0</v>
      </c>
      <c r="G11" s="104" t="n">
        <f aca="false">D11*'Plan-Annahmen'!$B$21</f>
        <v>0</v>
      </c>
      <c r="H11" s="100" t="n">
        <f aca="false">E11*'Plan-Annahmen'!$B$14+F11*'Plan-Annahmen'!$B$15</f>
        <v>0</v>
      </c>
      <c r="I11" s="100" t="n">
        <f aca="false">H11*('Plan-Annahmen'!$B$52+'Plan-Annahmen'!$B$53)</f>
        <v>0</v>
      </c>
      <c r="J11" s="100" t="n">
        <f aca="false">E11*('Plan-Annahmen'!$B$14*'Plan-Annahmen'!$B$18+'Plan-Annahmen'!$B$19)+F11*('Plan-Annahmen'!$B$15*'Plan-Annahmen'!$B$18+'Plan-Annahmen'!$B$19)</f>
        <v>0</v>
      </c>
      <c r="K11" s="100" t="n">
        <f aca="false">G11*'Plan-Annahmen'!$B$17/100</f>
        <v>0</v>
      </c>
      <c r="L11" s="100" t="n">
        <f aca="false">'Plan-Kunden'!D11*'Plan-Annahmen'!$B$15*'Plan-Annahmen'!$B$50</f>
        <v>0</v>
      </c>
      <c r="M11" s="100" t="n">
        <f aca="false">'Plan-Kosten'!Q$61</f>
        <v>252.297759103641</v>
      </c>
      <c r="N11" s="100" t="n">
        <f aca="false">IF(A11&gt;=$O$6,'Plan-Kosten'!$F$71,0)</f>
        <v>0</v>
      </c>
      <c r="O11" s="100" t="n">
        <f aca="false">'Plan-Kosten'!Q$58</f>
        <v>290</v>
      </c>
      <c r="P11" s="100" t="n">
        <f aca="false">IF(A11=$O$6,'Plan-Kosten'!$F$72,0)</f>
        <v>0</v>
      </c>
      <c r="Q11" s="67" t="n">
        <f aca="false">I11+J11+K11+L11+M11+N11+O11+P11</f>
        <v>542.297759103641</v>
      </c>
      <c r="R11" s="39" t="n">
        <f aca="false">H11-Q11</f>
        <v>-542.297759103641</v>
      </c>
      <c r="S11" s="100" t="n">
        <f aca="false">MAX(0,R11*'Plan-Annahmen'!$B$82)</f>
        <v>0</v>
      </c>
      <c r="T11" s="67" t="n">
        <f aca="false">R11-S11</f>
        <v>-542.297759103641</v>
      </c>
      <c r="U11" s="67" t="n">
        <f aca="false">U10+T11</f>
        <v>-3009.14545930522</v>
      </c>
      <c r="V11" s="100" t="n">
        <f aca="false">V10+'Plan-Kosten'!Q$59+IF(A11=$O$6,'Plan-Kosten'!$F$73,0)</f>
        <v>0</v>
      </c>
      <c r="W11" s="39" t="n">
        <f aca="false">U11-V11</f>
        <v>-3009.14545930522</v>
      </c>
      <c r="X11" s="35" t="n">
        <f aca="false">IF(R11&gt;0,1,0)</f>
        <v>0</v>
      </c>
      <c r="Y11" s="78" t="n">
        <f aca="false">'Plan-Kunden'!P11</f>
        <v>40</v>
      </c>
      <c r="Z11" s="105" t="n">
        <f aca="false">'Plan-Kunden'!Q11</f>
        <v>0</v>
      </c>
      <c r="AA11" s="105" t="n">
        <f aca="false">IF(D11&gt;='Plan-Phase B'!$C$22,1,0)</f>
        <v>0</v>
      </c>
      <c r="AB11" s="105" t="n">
        <f aca="false">IF(D11&gt;='Plan-Phase B'!$D$22,1,0)</f>
        <v>0</v>
      </c>
      <c r="AC11" s="105" t="n">
        <f aca="false">IF(D11&gt;='Plan-Phase B'!$E$22,1,0)</f>
        <v>0</v>
      </c>
      <c r="AD11" s="35" t="n">
        <f aca="false">IF(AND(W11&gt;=0,A11&gt;$K$6),1,0)</f>
        <v>0</v>
      </c>
      <c r="AE11" s="35" t="n">
        <f aca="false">IF(A11&gt;=$O$6,1,0)</f>
        <v>0</v>
      </c>
    </row>
    <row r="12" customFormat="false" ht="15" hidden="false" customHeight="true" outlineLevel="0" collapsed="false">
      <c r="A12" s="35" t="n">
        <v>5</v>
      </c>
      <c r="B12" s="73" t="n">
        <f aca="false">'Plan-Kunden'!B12</f>
        <v>46388</v>
      </c>
      <c r="C12" s="78" t="n">
        <f aca="false">'Plan-Kunden'!E12</f>
        <v>1</v>
      </c>
      <c r="D12" s="78" t="n">
        <f aca="false">'Plan-Kunden'!K12</f>
        <v>1</v>
      </c>
      <c r="E12" s="78" t="n">
        <f aca="false">'Plan-Kunden'!I12</f>
        <v>1</v>
      </c>
      <c r="F12" s="78" t="n">
        <f aca="false">'Plan-Kunden'!J12</f>
        <v>0</v>
      </c>
      <c r="G12" s="104" t="n">
        <f aca="false">D12*'Plan-Annahmen'!$B$21</f>
        <v>8</v>
      </c>
      <c r="H12" s="100" t="n">
        <f aca="false">E12*'Plan-Annahmen'!$B$14+F12*'Plan-Annahmen'!$B$15</f>
        <v>29</v>
      </c>
      <c r="I12" s="100" t="n">
        <f aca="false">H12*('Plan-Annahmen'!$B$52+'Plan-Annahmen'!$B$53)</f>
        <v>0.87</v>
      </c>
      <c r="J12" s="100" t="n">
        <f aca="false">E12*('Plan-Annahmen'!$B$14*'Plan-Annahmen'!$B$18+'Plan-Annahmen'!$B$19)+F12*('Plan-Annahmen'!$B$15*'Plan-Annahmen'!$B$18+'Plan-Annahmen'!$B$19)</f>
        <v>0.685</v>
      </c>
      <c r="K12" s="100" t="n">
        <f aca="false">G12*'Plan-Annahmen'!$B$17/100</f>
        <v>0.2</v>
      </c>
      <c r="L12" s="100" t="n">
        <f aca="false">'Plan-Kunden'!D12*'Plan-Annahmen'!$B$15*'Plan-Annahmen'!$B$50</f>
        <v>0</v>
      </c>
      <c r="M12" s="100" t="n">
        <f aca="false">'Plan-Kosten'!R$61</f>
        <v>252.297759103641</v>
      </c>
      <c r="N12" s="100" t="n">
        <f aca="false">IF(A12&gt;=$O$6,'Plan-Kosten'!$F$71,0)</f>
        <v>0</v>
      </c>
      <c r="O12" s="100" t="n">
        <f aca="false">'Plan-Kosten'!R$58</f>
        <v>0</v>
      </c>
      <c r="P12" s="100" t="n">
        <f aca="false">IF(A12=$O$6,'Plan-Kosten'!$F$72,0)</f>
        <v>0</v>
      </c>
      <c r="Q12" s="67" t="n">
        <f aca="false">I12+J12+K12+L12+M12+N12+O12+P12</f>
        <v>254.052759103641</v>
      </c>
      <c r="R12" s="39" t="n">
        <f aca="false">H12-Q12</f>
        <v>-225.052759103641</v>
      </c>
      <c r="S12" s="100" t="n">
        <f aca="false">MAX(0,R12*'Plan-Annahmen'!$B$82)</f>
        <v>0</v>
      </c>
      <c r="T12" s="67" t="n">
        <f aca="false">R12-S12</f>
        <v>-225.052759103641</v>
      </c>
      <c r="U12" s="67" t="n">
        <f aca="false">U11+T12</f>
        <v>-3234.19821840886</v>
      </c>
      <c r="V12" s="100" t="n">
        <f aca="false">V11+'Plan-Kosten'!R$59+IF(A12=$O$6,'Plan-Kosten'!$F$73,0)</f>
        <v>1000</v>
      </c>
      <c r="W12" s="39" t="n">
        <f aca="false">U12-V12</f>
        <v>-4234.19821840886</v>
      </c>
      <c r="X12" s="35" t="n">
        <f aca="false">IF(R12&gt;0,1,0)</f>
        <v>0</v>
      </c>
      <c r="Y12" s="78" t="n">
        <f aca="false">'Plan-Kunden'!P12</f>
        <v>42.3</v>
      </c>
      <c r="Z12" s="105" t="n">
        <f aca="false">'Plan-Kunden'!Q12</f>
        <v>0</v>
      </c>
      <c r="AA12" s="105" t="n">
        <f aca="false">IF(D12&gt;='Plan-Phase B'!$C$22,1,0)</f>
        <v>0</v>
      </c>
      <c r="AB12" s="105" t="n">
        <f aca="false">IF(D12&gt;='Plan-Phase B'!$D$22,1,0)</f>
        <v>0</v>
      </c>
      <c r="AC12" s="105" t="n">
        <f aca="false">IF(D12&gt;='Plan-Phase B'!$E$22,1,0)</f>
        <v>0</v>
      </c>
      <c r="AD12" s="35" t="n">
        <f aca="false">IF(AND(W12&gt;=0,A12&gt;$K$6),1,0)</f>
        <v>0</v>
      </c>
      <c r="AE12" s="35" t="n">
        <f aca="false">IF(A12&gt;=$O$6,1,0)</f>
        <v>0</v>
      </c>
    </row>
    <row r="13" customFormat="false" ht="15" hidden="false" customHeight="true" outlineLevel="0" collapsed="false">
      <c r="A13" s="35" t="n">
        <v>6</v>
      </c>
      <c r="B13" s="73" t="n">
        <f aca="false">'Plan-Kunden'!B13</f>
        <v>46419</v>
      </c>
      <c r="C13" s="78" t="n">
        <f aca="false">'Plan-Kunden'!E13</f>
        <v>1</v>
      </c>
      <c r="D13" s="78" t="n">
        <f aca="false">'Plan-Kunden'!K13</f>
        <v>1.98</v>
      </c>
      <c r="E13" s="78" t="n">
        <f aca="false">'Plan-Kunden'!I13</f>
        <v>1.98</v>
      </c>
      <c r="F13" s="78" t="n">
        <f aca="false">'Plan-Kunden'!J13</f>
        <v>0</v>
      </c>
      <c r="G13" s="104" t="n">
        <f aca="false">D13*'Plan-Annahmen'!$B$21</f>
        <v>15.84</v>
      </c>
      <c r="H13" s="100" t="n">
        <f aca="false">E13*'Plan-Annahmen'!$B$14+F13*'Plan-Annahmen'!$B$15</f>
        <v>57.42</v>
      </c>
      <c r="I13" s="100" t="n">
        <f aca="false">H13*('Plan-Annahmen'!$B$52+'Plan-Annahmen'!$B$53)</f>
        <v>1.7226</v>
      </c>
      <c r="J13" s="100" t="n">
        <f aca="false">E13*('Plan-Annahmen'!$B$14*'Plan-Annahmen'!$B$18+'Plan-Annahmen'!$B$19)+F13*('Plan-Annahmen'!$B$15*'Plan-Annahmen'!$B$18+'Plan-Annahmen'!$B$19)</f>
        <v>1.3563</v>
      </c>
      <c r="K13" s="100" t="n">
        <f aca="false">G13*'Plan-Annahmen'!$B$17/100</f>
        <v>0.396</v>
      </c>
      <c r="L13" s="100" t="n">
        <f aca="false">'Plan-Kunden'!D13*'Plan-Annahmen'!$B$15*'Plan-Annahmen'!$B$50</f>
        <v>0</v>
      </c>
      <c r="M13" s="100" t="n">
        <f aca="false">'Plan-Kosten'!S$61</f>
        <v>252.297759103641</v>
      </c>
      <c r="N13" s="100" t="n">
        <f aca="false">IF(A13&gt;=$O$6,'Plan-Kosten'!$F$71,0)</f>
        <v>0</v>
      </c>
      <c r="O13" s="100" t="n">
        <f aca="false">'Plan-Kosten'!S$58</f>
        <v>0</v>
      </c>
      <c r="P13" s="100" t="n">
        <f aca="false">IF(A13=$O$6,'Plan-Kosten'!$F$72,0)</f>
        <v>0</v>
      </c>
      <c r="Q13" s="67" t="n">
        <f aca="false">I13+J13+K13+L13+M13+N13+O13+P13</f>
        <v>255.772659103641</v>
      </c>
      <c r="R13" s="39" t="n">
        <f aca="false">H13-Q13</f>
        <v>-198.352659103641</v>
      </c>
      <c r="S13" s="100" t="n">
        <f aca="false">MAX(0,R13*'Plan-Annahmen'!$B$82)</f>
        <v>0</v>
      </c>
      <c r="T13" s="67" t="n">
        <f aca="false">R13-S13</f>
        <v>-198.352659103641</v>
      </c>
      <c r="U13" s="67" t="n">
        <f aca="false">U12+T13</f>
        <v>-3432.5508775125</v>
      </c>
      <c r="V13" s="100" t="n">
        <f aca="false">V12+'Plan-Kosten'!S$59+IF(A13=$O$6,'Plan-Kosten'!$F$73,0)</f>
        <v>1000</v>
      </c>
      <c r="W13" s="39" t="n">
        <f aca="false">U13-V13</f>
        <v>-4432.5508775125</v>
      </c>
      <c r="X13" s="35" t="n">
        <f aca="false">IF(R13&gt;0,1,0)</f>
        <v>0</v>
      </c>
      <c r="Y13" s="78" t="n">
        <f aca="false">'Plan-Kunden'!P13</f>
        <v>42.594</v>
      </c>
      <c r="Z13" s="105" t="n">
        <f aca="false">'Plan-Kunden'!Q13</f>
        <v>0</v>
      </c>
      <c r="AA13" s="105" t="n">
        <f aca="false">IF(D13&gt;='Plan-Phase B'!$C$22,1,0)</f>
        <v>0</v>
      </c>
      <c r="AB13" s="105" t="n">
        <f aca="false">IF(D13&gt;='Plan-Phase B'!$D$22,1,0)</f>
        <v>0</v>
      </c>
      <c r="AC13" s="105" t="n">
        <f aca="false">IF(D13&gt;='Plan-Phase B'!$E$22,1,0)</f>
        <v>0</v>
      </c>
      <c r="AD13" s="35" t="n">
        <f aca="false">IF(AND(W13&gt;=0,A13&gt;$K$6),1,0)</f>
        <v>0</v>
      </c>
      <c r="AE13" s="35" t="n">
        <f aca="false">IF(A13&gt;=$O$6,1,0)</f>
        <v>0</v>
      </c>
    </row>
    <row r="14" customFormat="false" ht="15" hidden="false" customHeight="true" outlineLevel="0" collapsed="false">
      <c r="A14" s="35" t="n">
        <v>7</v>
      </c>
      <c r="B14" s="73" t="n">
        <f aca="false">'Plan-Kunden'!B14</f>
        <v>46447</v>
      </c>
      <c r="C14" s="78" t="n">
        <f aca="false">'Plan-Kunden'!E14</f>
        <v>1.25</v>
      </c>
      <c r="D14" s="78" t="n">
        <f aca="false">'Plan-Kunden'!K14</f>
        <v>3.1904</v>
      </c>
      <c r="E14" s="78" t="n">
        <f aca="false">'Plan-Kunden'!I14</f>
        <v>3.1904</v>
      </c>
      <c r="F14" s="78" t="n">
        <f aca="false">'Plan-Kunden'!J14</f>
        <v>0</v>
      </c>
      <c r="G14" s="104" t="n">
        <f aca="false">D14*'Plan-Annahmen'!$B$21</f>
        <v>25.5232</v>
      </c>
      <c r="H14" s="100" t="n">
        <f aca="false">E14*'Plan-Annahmen'!$B$14+F14*'Plan-Annahmen'!$B$15</f>
        <v>92.5216</v>
      </c>
      <c r="I14" s="100" t="n">
        <f aca="false">H14*('Plan-Annahmen'!$B$52+'Plan-Annahmen'!$B$53)</f>
        <v>2.775648</v>
      </c>
      <c r="J14" s="100" t="n">
        <f aca="false">E14*('Plan-Annahmen'!$B$14*'Plan-Annahmen'!$B$18+'Plan-Annahmen'!$B$19)+F14*('Plan-Annahmen'!$B$15*'Plan-Annahmen'!$B$18+'Plan-Annahmen'!$B$19)</f>
        <v>2.185424</v>
      </c>
      <c r="K14" s="100" t="n">
        <f aca="false">G14*'Plan-Annahmen'!$B$17/100</f>
        <v>0.63808</v>
      </c>
      <c r="L14" s="100" t="n">
        <f aca="false">'Plan-Kunden'!D14*'Plan-Annahmen'!$B$15*'Plan-Annahmen'!$B$50</f>
        <v>0</v>
      </c>
      <c r="M14" s="100" t="n">
        <f aca="false">'Plan-Kosten'!T$61</f>
        <v>288.432212885154</v>
      </c>
      <c r="N14" s="100" t="n">
        <f aca="false">IF(A14&gt;=$O$6,'Plan-Kosten'!$F$71,0)</f>
        <v>0</v>
      </c>
      <c r="O14" s="100" t="n">
        <f aca="false">'Plan-Kosten'!T$58</f>
        <v>0</v>
      </c>
      <c r="P14" s="100" t="n">
        <f aca="false">IF(A14=$O$6,'Plan-Kosten'!$F$72,0)</f>
        <v>0</v>
      </c>
      <c r="Q14" s="67" t="n">
        <f aca="false">I14+J14+K14+L14+M14+N14+O14+P14</f>
        <v>294.031364885154</v>
      </c>
      <c r="R14" s="39" t="n">
        <f aca="false">H14-Q14</f>
        <v>-201.509764885154</v>
      </c>
      <c r="S14" s="100" t="n">
        <f aca="false">MAX(0,R14*'Plan-Annahmen'!$B$82)</f>
        <v>0</v>
      </c>
      <c r="T14" s="67" t="n">
        <f aca="false">R14-S14</f>
        <v>-201.509764885154</v>
      </c>
      <c r="U14" s="67" t="n">
        <f aca="false">U13+T14</f>
        <v>-3634.06064239766</v>
      </c>
      <c r="V14" s="100" t="n">
        <f aca="false">V13+'Plan-Kosten'!T$59+IF(A14=$O$6,'Plan-Kosten'!$F$73,0)</f>
        <v>1000</v>
      </c>
      <c r="W14" s="39" t="n">
        <f aca="false">U14-V14</f>
        <v>-4634.06064239766</v>
      </c>
      <c r="X14" s="35" t="n">
        <f aca="false">IF(R14&gt;0,1,0)</f>
        <v>0</v>
      </c>
      <c r="Y14" s="78" t="n">
        <f aca="false">'Plan-Kunden'!P14</f>
        <v>43.70712</v>
      </c>
      <c r="Z14" s="105" t="n">
        <f aca="false">'Plan-Kunden'!Q14</f>
        <v>0</v>
      </c>
      <c r="AA14" s="105" t="n">
        <f aca="false">IF(D14&gt;='Plan-Phase B'!$C$22,1,0)</f>
        <v>0</v>
      </c>
      <c r="AB14" s="105" t="n">
        <f aca="false">IF(D14&gt;='Plan-Phase B'!$D$22,1,0)</f>
        <v>0</v>
      </c>
      <c r="AC14" s="105" t="n">
        <f aca="false">IF(D14&gt;='Plan-Phase B'!$E$22,1,0)</f>
        <v>0</v>
      </c>
      <c r="AD14" s="35" t="n">
        <f aca="false">IF(AND(W14&gt;=0,A14&gt;$K$6),1,0)</f>
        <v>0</v>
      </c>
      <c r="AE14" s="35" t="n">
        <f aca="false">IF(A14&gt;=$O$6,1,0)</f>
        <v>0</v>
      </c>
    </row>
    <row r="15" customFormat="false" ht="15" hidden="false" customHeight="true" outlineLevel="0" collapsed="false">
      <c r="A15" s="35" t="n">
        <v>8</v>
      </c>
      <c r="B15" s="73" t="n">
        <f aca="false">'Plan-Kunden'!B15</f>
        <v>46478</v>
      </c>
      <c r="C15" s="78" t="n">
        <f aca="false">'Plan-Kunden'!E15</f>
        <v>0.25</v>
      </c>
      <c r="D15" s="78" t="n">
        <f aca="false">'Plan-Kunden'!K15</f>
        <v>3.376592</v>
      </c>
      <c r="E15" s="78" t="n">
        <f aca="false">'Plan-Kunden'!I15</f>
        <v>3.376592</v>
      </c>
      <c r="F15" s="78" t="n">
        <f aca="false">'Plan-Kunden'!J15</f>
        <v>0</v>
      </c>
      <c r="G15" s="104" t="n">
        <f aca="false">D15*'Plan-Annahmen'!$B$21</f>
        <v>27.012736</v>
      </c>
      <c r="H15" s="100" t="n">
        <f aca="false">E15*'Plan-Annahmen'!$B$14+F15*'Plan-Annahmen'!$B$15</f>
        <v>97.921168</v>
      </c>
      <c r="I15" s="100" t="n">
        <f aca="false">H15*('Plan-Annahmen'!$B$52+'Plan-Annahmen'!$B$53)</f>
        <v>2.93763504</v>
      </c>
      <c r="J15" s="100" t="n">
        <f aca="false">E15*('Plan-Annahmen'!$B$14*'Plan-Annahmen'!$B$18+'Plan-Annahmen'!$B$19)+F15*('Plan-Annahmen'!$B$15*'Plan-Annahmen'!$B$18+'Plan-Annahmen'!$B$19)</f>
        <v>2.31296552</v>
      </c>
      <c r="K15" s="100" t="n">
        <f aca="false">G15*'Plan-Annahmen'!$B$17/100</f>
        <v>0.6753184</v>
      </c>
      <c r="L15" s="100" t="n">
        <f aca="false">'Plan-Kunden'!D15*'Plan-Annahmen'!$B$15*'Plan-Annahmen'!$B$50</f>
        <v>0</v>
      </c>
      <c r="M15" s="100" t="n">
        <f aca="false">'Plan-Kosten'!U$61</f>
        <v>388.432212885154</v>
      </c>
      <c r="N15" s="100" t="n">
        <f aca="false">IF(A15&gt;=$O$6,'Plan-Kosten'!$F$71,0)</f>
        <v>0</v>
      </c>
      <c r="O15" s="100" t="n">
        <f aca="false">'Plan-Kosten'!U$58</f>
        <v>0</v>
      </c>
      <c r="P15" s="100" t="n">
        <f aca="false">IF(A15=$O$6,'Plan-Kosten'!$F$72,0)</f>
        <v>0</v>
      </c>
      <c r="Q15" s="67" t="n">
        <f aca="false">I15+J15+K15+L15+M15+N15+O15+P15</f>
        <v>394.358131845154</v>
      </c>
      <c r="R15" s="39" t="n">
        <f aca="false">H15-Q15</f>
        <v>-296.436963845154</v>
      </c>
      <c r="S15" s="100" t="n">
        <f aca="false">MAX(0,R15*'Plan-Annahmen'!$B$82)</f>
        <v>0</v>
      </c>
      <c r="T15" s="67" t="n">
        <f aca="false">R15-S15</f>
        <v>-296.436963845154</v>
      </c>
      <c r="U15" s="67" t="n">
        <f aca="false">U14+T15</f>
        <v>-3930.49760624281</v>
      </c>
      <c r="V15" s="100" t="n">
        <f aca="false">V14+'Plan-Kosten'!U$59+IF(A15=$O$6,'Plan-Kosten'!$F$73,0)</f>
        <v>1000</v>
      </c>
      <c r="W15" s="39" t="n">
        <f aca="false">U15-V15</f>
        <v>-4930.49760624281</v>
      </c>
      <c r="X15" s="35" t="n">
        <f aca="false">IF(R15&gt;0,1,0)</f>
        <v>0</v>
      </c>
      <c r="Y15" s="78" t="n">
        <f aca="false">'Plan-Kunden'!P15</f>
        <v>46.7629776</v>
      </c>
      <c r="Z15" s="105" t="n">
        <f aca="false">'Plan-Kunden'!Q15</f>
        <v>0</v>
      </c>
      <c r="AA15" s="105" t="n">
        <f aca="false">IF(D15&gt;='Plan-Phase B'!$C$22,1,0)</f>
        <v>0</v>
      </c>
      <c r="AB15" s="105" t="n">
        <f aca="false">IF(D15&gt;='Plan-Phase B'!$D$22,1,0)</f>
        <v>0</v>
      </c>
      <c r="AC15" s="105" t="n">
        <f aca="false">IF(D15&gt;='Plan-Phase B'!$E$22,1,0)</f>
        <v>0</v>
      </c>
      <c r="AD15" s="35" t="n">
        <f aca="false">IF(AND(W15&gt;=0,A15&gt;$K$6),1,0)</f>
        <v>0</v>
      </c>
      <c r="AE15" s="35" t="n">
        <f aca="false">IF(A15&gt;=$O$6,1,0)</f>
        <v>0</v>
      </c>
    </row>
    <row r="16" customFormat="false" ht="15" hidden="false" customHeight="true" outlineLevel="0" collapsed="false">
      <c r="A16" s="35" t="n">
        <v>9</v>
      </c>
      <c r="B16" s="73" t="n">
        <f aca="false">'Plan-Kunden'!B16</f>
        <v>46508</v>
      </c>
      <c r="C16" s="78" t="n">
        <f aca="false">'Plan-Kunden'!E16</f>
        <v>0.253333333333333</v>
      </c>
      <c r="D16" s="78" t="n">
        <f aca="false">'Plan-Kunden'!K16</f>
        <v>3.56239349333333</v>
      </c>
      <c r="E16" s="78" t="n">
        <f aca="false">'Plan-Kunden'!I16</f>
        <v>3.56239349333333</v>
      </c>
      <c r="F16" s="78" t="n">
        <f aca="false">'Plan-Kunden'!J16</f>
        <v>0</v>
      </c>
      <c r="G16" s="104" t="n">
        <f aca="false">D16*'Plan-Annahmen'!$B$21</f>
        <v>28.4991479466667</v>
      </c>
      <c r="H16" s="100" t="n">
        <f aca="false">E16*'Plan-Annahmen'!$B$14+F16*'Plan-Annahmen'!$B$15</f>
        <v>103.309411306667</v>
      </c>
      <c r="I16" s="100" t="n">
        <f aca="false">H16*('Plan-Annahmen'!$B$52+'Plan-Annahmen'!$B$53)</f>
        <v>3.0992823392</v>
      </c>
      <c r="J16" s="100" t="n">
        <f aca="false">E16*('Plan-Annahmen'!$B$14*'Plan-Annahmen'!$B$18+'Plan-Annahmen'!$B$19)+F16*('Plan-Annahmen'!$B$15*'Plan-Annahmen'!$B$18+'Plan-Annahmen'!$B$19)</f>
        <v>2.44023954293333</v>
      </c>
      <c r="K16" s="100" t="n">
        <f aca="false">G16*'Plan-Annahmen'!$B$17/100</f>
        <v>0.712478698666667</v>
      </c>
      <c r="L16" s="100" t="n">
        <f aca="false">'Plan-Kunden'!D16*'Plan-Annahmen'!$B$15*'Plan-Annahmen'!$B$50</f>
        <v>0</v>
      </c>
      <c r="M16" s="100" t="n">
        <f aca="false">'Plan-Kosten'!V$61</f>
        <v>288.432212885154</v>
      </c>
      <c r="N16" s="100" t="n">
        <f aca="false">IF(A16&gt;=$O$6,'Plan-Kosten'!$F$71,0)</f>
        <v>0</v>
      </c>
      <c r="O16" s="100" t="n">
        <f aca="false">'Plan-Kosten'!V$58</f>
        <v>0</v>
      </c>
      <c r="P16" s="100" t="n">
        <f aca="false">IF(A16=$O$6,'Plan-Kosten'!$F$72,0)</f>
        <v>0</v>
      </c>
      <c r="Q16" s="67" t="n">
        <f aca="false">I16+J16+K16+L16+M16+N16+O16+P16</f>
        <v>294.684213465954</v>
      </c>
      <c r="R16" s="39" t="n">
        <f aca="false">H16-Q16</f>
        <v>-191.374802159287</v>
      </c>
      <c r="S16" s="100" t="n">
        <f aca="false">MAX(0,R16*'Plan-Annahmen'!$B$82)</f>
        <v>0</v>
      </c>
      <c r="T16" s="67" t="n">
        <f aca="false">R16-S16</f>
        <v>-191.374802159287</v>
      </c>
      <c r="U16" s="67" t="n">
        <f aca="false">U15+T16</f>
        <v>-4121.8724084021</v>
      </c>
      <c r="V16" s="100" t="n">
        <f aca="false">V15+'Plan-Kosten'!V$59+IF(A16=$O$6,'Plan-Kosten'!$F$73,0)</f>
        <v>1000</v>
      </c>
      <c r="W16" s="39" t="n">
        <f aca="false">U16-V16</f>
        <v>-5121.8724084021</v>
      </c>
      <c r="X16" s="35" t="n">
        <f aca="false">IF(R16&gt;0,1,0)</f>
        <v>0</v>
      </c>
      <c r="Y16" s="78" t="n">
        <f aca="false">'Plan-Kunden'!P16</f>
        <v>46.8220513813333</v>
      </c>
      <c r="Z16" s="105" t="n">
        <f aca="false">'Plan-Kunden'!Q16</f>
        <v>0</v>
      </c>
      <c r="AA16" s="105" t="n">
        <f aca="false">IF(D16&gt;='Plan-Phase B'!$C$22,1,0)</f>
        <v>0</v>
      </c>
      <c r="AB16" s="105" t="n">
        <f aca="false">IF(D16&gt;='Plan-Phase B'!$D$22,1,0)</f>
        <v>0</v>
      </c>
      <c r="AC16" s="105" t="n">
        <f aca="false">IF(D16&gt;='Plan-Phase B'!$E$22,1,0)</f>
        <v>0</v>
      </c>
      <c r="AD16" s="35" t="n">
        <f aca="false">IF(AND(W16&gt;=0,A16&gt;$K$6),1,0)</f>
        <v>0</v>
      </c>
      <c r="AE16" s="35" t="n">
        <f aca="false">IF(A16&gt;=$O$6,1,0)</f>
        <v>0</v>
      </c>
    </row>
    <row r="17" customFormat="false" ht="15" hidden="false" customHeight="true" outlineLevel="0" collapsed="false">
      <c r="A17" s="35" t="n">
        <v>10</v>
      </c>
      <c r="B17" s="73" t="n">
        <f aca="false">'Plan-Kunden'!B17</f>
        <v>46539</v>
      </c>
      <c r="C17" s="78" t="n">
        <f aca="false">'Plan-Kunden'!E17</f>
        <v>0.7566</v>
      </c>
      <c r="D17" s="78" t="n">
        <f aca="false">'Plan-Kunden'!K17</f>
        <v>4.24774562346667</v>
      </c>
      <c r="E17" s="78" t="n">
        <f aca="false">'Plan-Kunden'!I17</f>
        <v>4.24774562346667</v>
      </c>
      <c r="F17" s="78" t="n">
        <f aca="false">'Plan-Kunden'!J17</f>
        <v>0</v>
      </c>
      <c r="G17" s="104" t="n">
        <f aca="false">D17*'Plan-Annahmen'!$B$21</f>
        <v>33.9819649877333</v>
      </c>
      <c r="H17" s="100" t="n">
        <f aca="false">E17*'Plan-Annahmen'!$B$14+F17*'Plan-Annahmen'!$B$15</f>
        <v>123.184623080533</v>
      </c>
      <c r="I17" s="100" t="n">
        <f aca="false">H17*('Plan-Annahmen'!$B$52+'Plan-Annahmen'!$B$53)</f>
        <v>3.695538692416</v>
      </c>
      <c r="J17" s="100" t="n">
        <f aca="false">E17*('Plan-Annahmen'!$B$14*'Plan-Annahmen'!$B$18+'Plan-Annahmen'!$B$19)+F17*('Plan-Annahmen'!$B$15*'Plan-Annahmen'!$B$18+'Plan-Annahmen'!$B$19)</f>
        <v>2.90970575207467</v>
      </c>
      <c r="K17" s="100" t="n">
        <f aca="false">G17*'Plan-Annahmen'!$B$17/100</f>
        <v>0.849549124693333</v>
      </c>
      <c r="L17" s="100" t="n">
        <f aca="false">'Plan-Kunden'!D17*'Plan-Annahmen'!$B$15*'Plan-Annahmen'!$B$50</f>
        <v>0</v>
      </c>
      <c r="M17" s="100" t="n">
        <f aca="false">'Plan-Kosten'!W$61</f>
        <v>386.682212885154</v>
      </c>
      <c r="N17" s="100" t="n">
        <f aca="false">IF(A17&gt;=$O$6,'Plan-Kosten'!$F$71,0)</f>
        <v>0</v>
      </c>
      <c r="O17" s="100" t="n">
        <f aca="false">'Plan-Kosten'!W$58</f>
        <v>21.5</v>
      </c>
      <c r="P17" s="100" t="n">
        <f aca="false">IF(A17=$O$6,'Plan-Kosten'!$F$72,0)</f>
        <v>0</v>
      </c>
      <c r="Q17" s="67" t="n">
        <f aca="false">I17+J17+K17+L17+M17+N17+O17+P17</f>
        <v>415.637006454338</v>
      </c>
      <c r="R17" s="39" t="n">
        <f aca="false">H17-Q17</f>
        <v>-292.452383373805</v>
      </c>
      <c r="S17" s="100" t="n">
        <f aca="false">MAX(0,R17*'Plan-Annahmen'!$B$82)</f>
        <v>0</v>
      </c>
      <c r="T17" s="67" t="n">
        <f aca="false">R17-S17</f>
        <v>-292.452383373805</v>
      </c>
      <c r="U17" s="67" t="n">
        <f aca="false">U16+T17</f>
        <v>-4414.3247917759</v>
      </c>
      <c r="V17" s="100" t="n">
        <f aca="false">V16+'Plan-Kosten'!W$59+IF(A17=$O$6,'Plan-Kosten'!$F$73,0)</f>
        <v>1000</v>
      </c>
      <c r="W17" s="39" t="n">
        <f aca="false">U17-V17</f>
        <v>-5414.3247917759</v>
      </c>
      <c r="X17" s="35" t="n">
        <f aca="false">IF(R17&gt;0,1,0)</f>
        <v>0</v>
      </c>
      <c r="Y17" s="78" t="n">
        <f aca="false">'Plan-Kunden'!P17</f>
        <v>46.53092368704</v>
      </c>
      <c r="Z17" s="105" t="n">
        <f aca="false">'Plan-Kunden'!Q17</f>
        <v>0</v>
      </c>
      <c r="AA17" s="105" t="n">
        <f aca="false">IF(D17&gt;='Plan-Phase B'!$C$22,1,0)</f>
        <v>0</v>
      </c>
      <c r="AB17" s="105" t="n">
        <f aca="false">IF(D17&gt;='Plan-Phase B'!$D$22,1,0)</f>
        <v>0</v>
      </c>
      <c r="AC17" s="105" t="n">
        <f aca="false">IF(D17&gt;='Plan-Phase B'!$E$22,1,0)</f>
        <v>0</v>
      </c>
      <c r="AD17" s="35" t="n">
        <f aca="false">IF(AND(W17&gt;=0,A17&gt;$K$6),1,0)</f>
        <v>0</v>
      </c>
      <c r="AE17" s="35" t="n">
        <f aca="false">IF(A17&gt;=$O$6,1,0)</f>
        <v>0</v>
      </c>
    </row>
    <row r="18" customFormat="false" ht="15" hidden="false" customHeight="true" outlineLevel="0" collapsed="false">
      <c r="A18" s="35" t="n">
        <v>11</v>
      </c>
      <c r="B18" s="73" t="n">
        <f aca="false">'Plan-Kunden'!B18</f>
        <v>46569</v>
      </c>
      <c r="C18" s="78" t="n">
        <f aca="false">'Plan-Kunden'!E18</f>
        <v>0.260634666666667</v>
      </c>
      <c r="D18" s="78" t="n">
        <f aca="false">'Plan-Kunden'!K18</f>
        <v>4.423425377664</v>
      </c>
      <c r="E18" s="78" t="n">
        <f aca="false">'Plan-Kunden'!I18</f>
        <v>4.423425377664</v>
      </c>
      <c r="F18" s="78" t="n">
        <f aca="false">'Plan-Kunden'!J18</f>
        <v>0</v>
      </c>
      <c r="G18" s="104" t="n">
        <f aca="false">D18*'Plan-Annahmen'!$B$21</f>
        <v>35.387403021312</v>
      </c>
      <c r="H18" s="100" t="n">
        <f aca="false">E18*'Plan-Annahmen'!$B$14+F18*'Plan-Annahmen'!$B$15</f>
        <v>128.279335952256</v>
      </c>
      <c r="I18" s="100" t="n">
        <f aca="false">H18*('Plan-Annahmen'!$B$52+'Plan-Annahmen'!$B$53)</f>
        <v>3.84838007856768</v>
      </c>
      <c r="J18" s="100" t="n">
        <f aca="false">E18*('Plan-Annahmen'!$B$14*'Plan-Annahmen'!$B$18+'Plan-Annahmen'!$B$19)+F18*('Plan-Annahmen'!$B$15*'Plan-Annahmen'!$B$18+'Plan-Annahmen'!$B$19)</f>
        <v>3.03004638369984</v>
      </c>
      <c r="K18" s="100" t="n">
        <f aca="false">G18*'Plan-Annahmen'!$B$17/100</f>
        <v>0.8846850755328</v>
      </c>
      <c r="L18" s="100" t="n">
        <f aca="false">'Plan-Kunden'!D18*'Plan-Annahmen'!$B$15*'Plan-Annahmen'!$B$50</f>
        <v>0</v>
      </c>
      <c r="M18" s="100" t="n">
        <f aca="false">'Plan-Kosten'!X$61</f>
        <v>286.682212885154</v>
      </c>
      <c r="N18" s="100" t="n">
        <f aca="false">IF(A18&gt;=$O$6,'Plan-Kosten'!$F$71,0)</f>
        <v>0</v>
      </c>
      <c r="O18" s="100" t="n">
        <f aca="false">'Plan-Kosten'!X$58</f>
        <v>0</v>
      </c>
      <c r="P18" s="100" t="n">
        <f aca="false">IF(A18=$O$6,'Plan-Kosten'!$F$72,0)</f>
        <v>0</v>
      </c>
      <c r="Q18" s="67" t="n">
        <f aca="false">I18+J18+K18+L18+M18+N18+O18+P18</f>
        <v>294.445324422954</v>
      </c>
      <c r="R18" s="39" t="n">
        <f aca="false">H18-Q18</f>
        <v>-166.165988470698</v>
      </c>
      <c r="S18" s="100" t="n">
        <f aca="false">MAX(0,R18*'Plan-Annahmen'!$B$82)</f>
        <v>0</v>
      </c>
      <c r="T18" s="67" t="n">
        <f aca="false">R18-S18</f>
        <v>-166.165988470698</v>
      </c>
      <c r="U18" s="67" t="n">
        <f aca="false">U17+T18</f>
        <v>-4580.4907802466</v>
      </c>
      <c r="V18" s="100" t="n">
        <f aca="false">V17+'Plan-Kosten'!X$59+IF(A18=$O$6,'Plan-Kosten'!$F$73,0)</f>
        <v>1000</v>
      </c>
      <c r="W18" s="39" t="n">
        <f aca="false">U18-V18</f>
        <v>-5580.4907802466</v>
      </c>
      <c r="X18" s="35" t="n">
        <f aca="false">IF(R18&gt;0,1,0)</f>
        <v>0</v>
      </c>
      <c r="Y18" s="78" t="n">
        <f aca="false">'Plan-Kunden'!P18</f>
        <v>46.0876622799659</v>
      </c>
      <c r="Z18" s="105" t="n">
        <f aca="false">'Plan-Kunden'!Q18</f>
        <v>0</v>
      </c>
      <c r="AA18" s="105" t="n">
        <f aca="false">IF(D18&gt;='Plan-Phase B'!$C$22,1,0)</f>
        <v>0</v>
      </c>
      <c r="AB18" s="105" t="n">
        <f aca="false">IF(D18&gt;='Plan-Phase B'!$D$22,1,0)</f>
        <v>0</v>
      </c>
      <c r="AC18" s="105" t="n">
        <f aca="false">IF(D18&gt;='Plan-Phase B'!$E$22,1,0)</f>
        <v>0</v>
      </c>
      <c r="AD18" s="35" t="n">
        <f aca="false">IF(AND(W18&gt;=0,A18&gt;$K$6),1,0)</f>
        <v>0</v>
      </c>
      <c r="AE18" s="35" t="n">
        <f aca="false">IF(A18&gt;=$O$6,1,0)</f>
        <v>0</v>
      </c>
    </row>
    <row r="19" customFormat="false" ht="15" hidden="false" customHeight="true" outlineLevel="0" collapsed="false">
      <c r="A19" s="35" t="n">
        <v>12</v>
      </c>
      <c r="B19" s="73" t="n">
        <f aca="false">'Plan-Kunden'!B19</f>
        <v>46600</v>
      </c>
      <c r="C19" s="78" t="n">
        <f aca="false">'Plan-Kunden'!E19</f>
        <v>0.261255306666667</v>
      </c>
      <c r="D19" s="78" t="n">
        <f aca="false">'Plan-Kunden'!K19</f>
        <v>4.59621217677739</v>
      </c>
      <c r="E19" s="78" t="n">
        <f aca="false">'Plan-Kunden'!I19</f>
        <v>4.59621217677739</v>
      </c>
      <c r="F19" s="78" t="n">
        <f aca="false">'Plan-Kunden'!J19</f>
        <v>0</v>
      </c>
      <c r="G19" s="104" t="n">
        <f aca="false">D19*'Plan-Annahmen'!$B$21</f>
        <v>36.7696974142191</v>
      </c>
      <c r="H19" s="100" t="n">
        <f aca="false">E19*'Plan-Annahmen'!$B$14+F19*'Plan-Annahmen'!$B$15</f>
        <v>133.290153126544</v>
      </c>
      <c r="I19" s="100" t="n">
        <f aca="false">H19*('Plan-Annahmen'!$B$52+'Plan-Annahmen'!$B$53)</f>
        <v>3.99870459379633</v>
      </c>
      <c r="J19" s="100" t="n">
        <f aca="false">E19*('Plan-Annahmen'!$B$14*'Plan-Annahmen'!$B$18+'Plan-Annahmen'!$B$19)+F19*('Plan-Annahmen'!$B$15*'Plan-Annahmen'!$B$18+'Plan-Annahmen'!$B$19)</f>
        <v>3.14840534109251</v>
      </c>
      <c r="K19" s="100" t="n">
        <f aca="false">G19*'Plan-Annahmen'!$B$17/100</f>
        <v>0.919242435355477</v>
      </c>
      <c r="L19" s="100" t="n">
        <f aca="false">'Plan-Kunden'!D19*'Plan-Annahmen'!$B$15*'Plan-Annahmen'!$B$50</f>
        <v>0</v>
      </c>
      <c r="M19" s="100" t="n">
        <f aca="false">'Plan-Kosten'!Y$61</f>
        <v>386.682212885154</v>
      </c>
      <c r="N19" s="100" t="n">
        <f aca="false">IF(A19&gt;=$O$6,'Plan-Kosten'!$F$71,0)</f>
        <v>0</v>
      </c>
      <c r="O19" s="100" t="n">
        <f aca="false">'Plan-Kosten'!Y$58</f>
        <v>0</v>
      </c>
      <c r="P19" s="100" t="n">
        <f aca="false">IF(A19=$O$6,'Plan-Kosten'!$F$72,0)</f>
        <v>0</v>
      </c>
      <c r="Q19" s="67" t="n">
        <f aca="false">I19+J19+K19+L19+M19+N19+O19+P19</f>
        <v>394.748565255398</v>
      </c>
      <c r="R19" s="39" t="n">
        <f aca="false">H19-Q19</f>
        <v>-261.458412128854</v>
      </c>
      <c r="S19" s="100" t="n">
        <f aca="false">MAX(0,R19*'Plan-Annahmen'!$B$82)</f>
        <v>0</v>
      </c>
      <c r="T19" s="67" t="n">
        <f aca="false">R19-S19</f>
        <v>-261.458412128854</v>
      </c>
      <c r="U19" s="67" t="n">
        <f aca="false">U18+T19</f>
        <v>-4841.94919237545</v>
      </c>
      <c r="V19" s="100" t="n">
        <f aca="false">V18+'Plan-Kosten'!Y$59+IF(A19=$O$6,'Plan-Kosten'!$F$73,0)</f>
        <v>1000</v>
      </c>
      <c r="W19" s="39" t="n">
        <f aca="false">U19-V19</f>
        <v>-5841.94919237545</v>
      </c>
      <c r="X19" s="35" t="n">
        <f aca="false">IF(R19&gt;0,1,0)</f>
        <v>0</v>
      </c>
      <c r="Y19" s="78" t="n">
        <f aca="false">'Plan-Kunden'!P19</f>
        <v>46.1401189596999</v>
      </c>
      <c r="Z19" s="105" t="n">
        <f aca="false">'Plan-Kunden'!Q19</f>
        <v>0</v>
      </c>
      <c r="AA19" s="105" t="n">
        <f aca="false">IF(D19&gt;='Plan-Phase B'!$C$22,1,0)</f>
        <v>0</v>
      </c>
      <c r="AB19" s="105" t="n">
        <f aca="false">IF(D19&gt;='Plan-Phase B'!$D$22,1,0)</f>
        <v>0</v>
      </c>
      <c r="AC19" s="105" t="n">
        <f aca="false">IF(D19&gt;='Plan-Phase B'!$E$22,1,0)</f>
        <v>0</v>
      </c>
      <c r="AD19" s="35" t="n">
        <f aca="false">IF(AND(W19&gt;=0,A19&gt;$K$6),1,0)</f>
        <v>0</v>
      </c>
      <c r="AE19" s="35" t="n">
        <f aca="false">IF(A19&gt;=$O$6,1,0)</f>
        <v>0</v>
      </c>
    </row>
    <row r="20" customFormat="false" ht="15" hidden="false" customHeight="true" outlineLevel="0" collapsed="false">
      <c r="A20" s="35" t="n">
        <v>13</v>
      </c>
      <c r="B20" s="73" t="n">
        <f aca="false">'Plan-Kunden'!B20</f>
        <v>46631</v>
      </c>
      <c r="C20" s="78" t="n">
        <f aca="false">'Plan-Kunden'!E20</f>
        <v>0.761874644977778</v>
      </c>
      <c r="D20" s="78" t="n">
        <f aca="false">'Plan-Kunden'!K20</f>
        <v>5.26616257821962</v>
      </c>
      <c r="E20" s="78" t="n">
        <f aca="false">'Plan-Kunden'!I20</f>
        <v>5.26616257821962</v>
      </c>
      <c r="F20" s="78" t="n">
        <f aca="false">'Plan-Kunden'!J20</f>
        <v>0</v>
      </c>
      <c r="G20" s="104" t="n">
        <f aca="false">D20*'Plan-Annahmen'!$B$21</f>
        <v>42.1293006257569</v>
      </c>
      <c r="H20" s="100" t="n">
        <f aca="false">E20*'Plan-Annahmen'!$B$14+F20*'Plan-Annahmen'!$B$15</f>
        <v>152.718714768369</v>
      </c>
      <c r="I20" s="100" t="n">
        <f aca="false">H20*('Plan-Annahmen'!$B$52+'Plan-Annahmen'!$B$53)</f>
        <v>4.58156144305107</v>
      </c>
      <c r="J20" s="100" t="n">
        <f aca="false">E20*('Plan-Annahmen'!$B$14*'Plan-Annahmen'!$B$18+'Plan-Annahmen'!$B$19)+F20*('Plan-Annahmen'!$B$15*'Plan-Annahmen'!$B$18+'Plan-Annahmen'!$B$19)</f>
        <v>3.60732136608044</v>
      </c>
      <c r="K20" s="100" t="n">
        <f aca="false">G20*'Plan-Annahmen'!$B$17/100</f>
        <v>1.05323251564392</v>
      </c>
      <c r="L20" s="100" t="n">
        <f aca="false">'Plan-Kunden'!D20*'Plan-Annahmen'!$B$15*'Plan-Annahmen'!$B$50</f>
        <v>0</v>
      </c>
      <c r="M20" s="100" t="n">
        <f aca="false">'Plan-Kosten'!Z$61</f>
        <v>298.364455875808</v>
      </c>
      <c r="N20" s="100" t="n">
        <f aca="false">IF(A20&gt;=$O$6,'Plan-Kosten'!$F$71,0)</f>
        <v>0</v>
      </c>
      <c r="O20" s="100" t="n">
        <f aca="false">'Plan-Kosten'!Z$58</f>
        <v>0</v>
      </c>
      <c r="P20" s="100" t="n">
        <f aca="false">IF(A20=$O$6,'Plan-Kosten'!$F$72,0)</f>
        <v>0</v>
      </c>
      <c r="Q20" s="67" t="n">
        <f aca="false">I20+J20+K20+L20+M20+N20+O20+P20</f>
        <v>307.606571200584</v>
      </c>
      <c r="R20" s="39" t="n">
        <f aca="false">H20-Q20</f>
        <v>-154.887856432215</v>
      </c>
      <c r="S20" s="100" t="n">
        <f aca="false">MAX(0,R20*'Plan-Annahmen'!$B$82)</f>
        <v>0</v>
      </c>
      <c r="T20" s="67" t="n">
        <f aca="false">R20-S20</f>
        <v>-154.887856432215</v>
      </c>
      <c r="U20" s="67" t="n">
        <f aca="false">U19+T20</f>
        <v>-4996.83704880767</v>
      </c>
      <c r="V20" s="100" t="n">
        <f aca="false">V19+'Plan-Kosten'!Z$59+IF(A20=$O$6,'Plan-Kosten'!$F$73,0)</f>
        <v>1000</v>
      </c>
      <c r="W20" s="39" t="n">
        <f aca="false">U20-V20</f>
        <v>-5996.83704880767</v>
      </c>
      <c r="X20" s="35" t="n">
        <f aca="false">IF(R20&gt;0,1,0)</f>
        <v>0</v>
      </c>
      <c r="Y20" s="78" t="n">
        <f aca="false">'Plan-Kunden'!P20</f>
        <v>46.8417234184437</v>
      </c>
      <c r="Z20" s="105" t="n">
        <f aca="false">'Plan-Kunden'!Q20</f>
        <v>0</v>
      </c>
      <c r="AA20" s="105" t="n">
        <f aca="false">IF(D20&gt;='Plan-Phase B'!$C$22,1,0)</f>
        <v>0</v>
      </c>
      <c r="AB20" s="105" t="n">
        <f aca="false">IF(D20&gt;='Plan-Phase B'!$D$22,1,0)</f>
        <v>0</v>
      </c>
      <c r="AC20" s="105" t="n">
        <f aca="false">IF(D20&gt;='Plan-Phase B'!$E$22,1,0)</f>
        <v>0</v>
      </c>
      <c r="AD20" s="35" t="n">
        <f aca="false">IF(AND(W20&gt;=0,A20&gt;$K$6),1,0)</f>
        <v>0</v>
      </c>
      <c r="AE20" s="35" t="n">
        <f aca="false">IF(A20&gt;=$O$6,1,0)</f>
        <v>0</v>
      </c>
    </row>
    <row r="21" customFormat="false" ht="15" hidden="false" customHeight="true" outlineLevel="0" collapsed="false">
      <c r="A21" s="35" t="n">
        <v>14</v>
      </c>
      <c r="B21" s="73" t="n">
        <f aca="false">'Plan-Kunden'!B21</f>
        <v>46661</v>
      </c>
      <c r="C21" s="78" t="n">
        <f aca="false">'Plan-Kunden'!E21</f>
        <v>0.764159152078222</v>
      </c>
      <c r="D21" s="78" t="n">
        <f aca="false">'Plan-Kunden'!K21</f>
        <v>5.92499847873345</v>
      </c>
      <c r="E21" s="78" t="n">
        <f aca="false">'Plan-Kunden'!I21</f>
        <v>5.92499847873345</v>
      </c>
      <c r="F21" s="78" t="n">
        <f aca="false">'Plan-Kunden'!J21</f>
        <v>0</v>
      </c>
      <c r="G21" s="104" t="n">
        <f aca="false">D21*'Plan-Annahmen'!$B$21</f>
        <v>47.3999878298676</v>
      </c>
      <c r="H21" s="100" t="n">
        <f aca="false">E21*'Plan-Annahmen'!$B$14+F21*'Plan-Annahmen'!$B$15</f>
        <v>171.82495588327</v>
      </c>
      <c r="I21" s="100" t="n">
        <f aca="false">H21*('Plan-Annahmen'!$B$52+'Plan-Annahmen'!$B$53)</f>
        <v>5.1547486764981</v>
      </c>
      <c r="J21" s="100" t="n">
        <f aca="false">E21*('Plan-Annahmen'!$B$14*'Plan-Annahmen'!$B$18+'Plan-Annahmen'!$B$19)+F21*('Plan-Annahmen'!$B$15*'Plan-Annahmen'!$B$18+'Plan-Annahmen'!$B$19)</f>
        <v>4.05862395793241</v>
      </c>
      <c r="K21" s="100" t="n">
        <f aca="false">G21*'Plan-Annahmen'!$B$17/100</f>
        <v>1.18499969574669</v>
      </c>
      <c r="L21" s="100" t="n">
        <f aca="false">'Plan-Kunden'!D21*'Plan-Annahmen'!$B$15*'Plan-Annahmen'!$B$50</f>
        <v>0</v>
      </c>
      <c r="M21" s="100" t="n">
        <f aca="false">'Plan-Kosten'!AA$61</f>
        <v>398.364455875808</v>
      </c>
      <c r="N21" s="100" t="n">
        <f aca="false">IF(A21&gt;=$O$6,'Plan-Kosten'!$F$71,0)</f>
        <v>0</v>
      </c>
      <c r="O21" s="100" t="n">
        <f aca="false">'Plan-Kosten'!AA$58</f>
        <v>0</v>
      </c>
      <c r="P21" s="100" t="n">
        <f aca="false">IF(A21=$O$6,'Plan-Kosten'!$F$72,0)</f>
        <v>0</v>
      </c>
      <c r="Q21" s="67" t="n">
        <f aca="false">I21+J21+K21+L21+M21+N21+O21+P21</f>
        <v>408.762828205986</v>
      </c>
      <c r="R21" s="39" t="n">
        <f aca="false">H21-Q21</f>
        <v>-236.937872322716</v>
      </c>
      <c r="S21" s="100" t="n">
        <f aca="false">MAX(0,R21*'Plan-Annahmen'!$B$82)</f>
        <v>0</v>
      </c>
      <c r="T21" s="67" t="n">
        <f aca="false">R21-S21</f>
        <v>-236.937872322716</v>
      </c>
      <c r="U21" s="67" t="n">
        <f aca="false">U20+T21</f>
        <v>-5233.77492113038</v>
      </c>
      <c r="V21" s="100" t="n">
        <f aca="false">V20+'Plan-Kosten'!AA$59+IF(A21=$O$6,'Plan-Kosten'!$F$73,0)</f>
        <v>1000</v>
      </c>
      <c r="W21" s="39" t="n">
        <f aca="false">U21-V21</f>
        <v>-6233.77492113038</v>
      </c>
      <c r="X21" s="35" t="n">
        <f aca="false">IF(R21&gt;0,1,0)</f>
        <v>0</v>
      </c>
      <c r="Y21" s="78" t="n">
        <f aca="false">'Plan-Kunden'!P21</f>
        <v>47.0416586956983</v>
      </c>
      <c r="Z21" s="105" t="n">
        <f aca="false">'Plan-Kunden'!Q21</f>
        <v>0</v>
      </c>
      <c r="AA21" s="105" t="n">
        <f aca="false">IF(D21&gt;='Plan-Phase B'!$C$22,1,0)</f>
        <v>0</v>
      </c>
      <c r="AB21" s="105" t="n">
        <f aca="false">IF(D21&gt;='Plan-Phase B'!$D$22,1,0)</f>
        <v>0</v>
      </c>
      <c r="AC21" s="105" t="n">
        <f aca="false">IF(D21&gt;='Plan-Phase B'!$E$22,1,0)</f>
        <v>0</v>
      </c>
      <c r="AD21" s="35" t="n">
        <f aca="false">IF(AND(W21&gt;=0,A21&gt;$K$6),1,0)</f>
        <v>0</v>
      </c>
      <c r="AE21" s="35" t="n">
        <f aca="false">IF(A21&gt;=$O$6,1,0)</f>
        <v>0</v>
      </c>
    </row>
    <row r="22" customFormat="false" ht="15" hidden="false" customHeight="true" outlineLevel="0" collapsed="false">
      <c r="A22" s="35" t="n">
        <v>15</v>
      </c>
      <c r="B22" s="73" t="n">
        <f aca="false">'Plan-Kunden'!B22</f>
        <v>46692</v>
      </c>
      <c r="C22" s="78" t="n">
        <f aca="false">'Plan-Kunden'!E22</f>
        <v>0.76474475125888</v>
      </c>
      <c r="D22" s="78" t="n">
        <f aca="false">'Plan-Kunden'!K22</f>
        <v>6.57124326041766</v>
      </c>
      <c r="E22" s="78" t="n">
        <f aca="false">'Plan-Kunden'!I22</f>
        <v>6.57124326041766</v>
      </c>
      <c r="F22" s="78" t="n">
        <f aca="false">'Plan-Kunden'!J22</f>
        <v>0</v>
      </c>
      <c r="G22" s="104" t="n">
        <f aca="false">D22*'Plan-Annahmen'!$B$21</f>
        <v>52.5699460833413</v>
      </c>
      <c r="H22" s="100" t="n">
        <f aca="false">E22*'Plan-Annahmen'!$B$14+F22*'Plan-Annahmen'!$B$15</f>
        <v>190.566054552112</v>
      </c>
      <c r="I22" s="100" t="n">
        <f aca="false">H22*('Plan-Annahmen'!$B$52+'Plan-Annahmen'!$B$53)</f>
        <v>5.71698163656336</v>
      </c>
      <c r="J22" s="100" t="n">
        <f aca="false">E22*('Plan-Annahmen'!$B$14*'Plan-Annahmen'!$B$18+'Plan-Annahmen'!$B$19)+F22*('Plan-Annahmen'!$B$15*'Plan-Annahmen'!$B$18+'Plan-Annahmen'!$B$19)</f>
        <v>4.50130163338609</v>
      </c>
      <c r="K22" s="100" t="n">
        <f aca="false">G22*'Plan-Annahmen'!$B$17/100</f>
        <v>1.31424865208353</v>
      </c>
      <c r="L22" s="100" t="n">
        <f aca="false">'Plan-Kunden'!D22*'Plan-Annahmen'!$B$15*'Plan-Annahmen'!$B$50</f>
        <v>0</v>
      </c>
      <c r="M22" s="100" t="n">
        <f aca="false">'Plan-Kosten'!AB$61</f>
        <v>298.364455875808</v>
      </c>
      <c r="N22" s="100" t="n">
        <f aca="false">IF(A22&gt;=$O$6,'Plan-Kosten'!$F$71,0)</f>
        <v>0</v>
      </c>
      <c r="O22" s="100" t="n">
        <f aca="false">'Plan-Kosten'!AB$58</f>
        <v>0</v>
      </c>
      <c r="P22" s="100" t="n">
        <f aca="false">IF(A22=$O$6,'Plan-Kosten'!$F$72,0)</f>
        <v>0</v>
      </c>
      <c r="Q22" s="67" t="n">
        <f aca="false">I22+J22+K22+L22+M22+N22+O22+P22</f>
        <v>309.896987797841</v>
      </c>
      <c r="R22" s="39" t="n">
        <f aca="false">H22-Q22</f>
        <v>-119.330933245729</v>
      </c>
      <c r="S22" s="100" t="n">
        <f aca="false">MAX(0,R22*'Plan-Annahmen'!$B$82)</f>
        <v>0</v>
      </c>
      <c r="T22" s="67" t="n">
        <f aca="false">R22-S22</f>
        <v>-119.330933245729</v>
      </c>
      <c r="U22" s="67" t="n">
        <f aca="false">U21+T22</f>
        <v>-5353.10585437611</v>
      </c>
      <c r="V22" s="100" t="n">
        <f aca="false">V21+'Plan-Kosten'!AB$59+IF(A22=$O$6,'Plan-Kosten'!$F$73,0)</f>
        <v>1000</v>
      </c>
      <c r="W22" s="39" t="n">
        <f aca="false">U22-V22</f>
        <v>-6353.10585437611</v>
      </c>
      <c r="X22" s="35" t="n">
        <f aca="false">IF(R22&gt;0,1,0)</f>
        <v>0</v>
      </c>
      <c r="Y22" s="78" t="n">
        <f aca="false">'Plan-Kunden'!P22</f>
        <v>47.2361177293842</v>
      </c>
      <c r="Z22" s="105" t="n">
        <f aca="false">'Plan-Kunden'!Q22</f>
        <v>0</v>
      </c>
      <c r="AA22" s="105" t="n">
        <f aca="false">IF(D22&gt;='Plan-Phase B'!$C$22,1,0)</f>
        <v>0</v>
      </c>
      <c r="AB22" s="105" t="n">
        <f aca="false">IF(D22&gt;='Plan-Phase B'!$D$22,1,0)</f>
        <v>0</v>
      </c>
      <c r="AC22" s="105" t="n">
        <f aca="false">IF(D22&gt;='Plan-Phase B'!$E$22,1,0)</f>
        <v>0</v>
      </c>
      <c r="AD22" s="35" t="n">
        <f aca="false">IF(AND(W22&gt;=0,A22&gt;$K$6),1,0)</f>
        <v>0</v>
      </c>
      <c r="AE22" s="35" t="n">
        <f aca="false">IF(A22&gt;=$O$6,1,0)</f>
        <v>0</v>
      </c>
    </row>
    <row r="23" customFormat="false" ht="15" hidden="false" customHeight="true" outlineLevel="0" collapsed="false">
      <c r="A23" s="35" t="n">
        <v>16</v>
      </c>
      <c r="B23" s="73" t="n">
        <f aca="false">'Plan-Kunden'!B23</f>
        <v>46722</v>
      </c>
      <c r="C23" s="78" t="n">
        <f aca="false">'Plan-Kunden'!E23</f>
        <v>1.26532070725592</v>
      </c>
      <c r="D23" s="78" t="n">
        <f aca="false">'Plan-Kunden'!K23</f>
        <v>7.70513910246523</v>
      </c>
      <c r="E23" s="78" t="n">
        <f aca="false">'Plan-Kunden'!I23</f>
        <v>7.70513910246523</v>
      </c>
      <c r="F23" s="78" t="n">
        <f aca="false">'Plan-Kunden'!J23</f>
        <v>0</v>
      </c>
      <c r="G23" s="104" t="n">
        <f aca="false">D23*'Plan-Annahmen'!$B$21</f>
        <v>61.6411128197218</v>
      </c>
      <c r="H23" s="100" t="n">
        <f aca="false">E23*'Plan-Annahmen'!$B$14+F23*'Plan-Annahmen'!$B$15</f>
        <v>223.449033971492</v>
      </c>
      <c r="I23" s="100" t="n">
        <f aca="false">H23*('Plan-Annahmen'!$B$52+'Plan-Annahmen'!$B$53)</f>
        <v>6.70347101914475</v>
      </c>
      <c r="J23" s="100" t="n">
        <f aca="false">E23*('Plan-Annahmen'!$B$14*'Plan-Annahmen'!$B$18+'Plan-Annahmen'!$B$19)+F23*('Plan-Annahmen'!$B$15*'Plan-Annahmen'!$B$18+'Plan-Annahmen'!$B$19)</f>
        <v>5.27802028518868</v>
      </c>
      <c r="K23" s="100" t="n">
        <f aca="false">G23*'Plan-Annahmen'!$B$17/100</f>
        <v>1.54102782049305</v>
      </c>
      <c r="L23" s="100" t="n">
        <f aca="false">'Plan-Kunden'!D23*'Plan-Annahmen'!$B$15*'Plan-Annahmen'!$B$50</f>
        <v>0</v>
      </c>
      <c r="M23" s="100" t="n">
        <f aca="false">'Plan-Kosten'!AC$61</f>
        <v>398.364455875808</v>
      </c>
      <c r="N23" s="100" t="n">
        <f aca="false">IF(A23&gt;=$O$6,'Plan-Kosten'!$F$71,0)</f>
        <v>0</v>
      </c>
      <c r="O23" s="100" t="n">
        <f aca="false">'Plan-Kosten'!AC$58</f>
        <v>0</v>
      </c>
      <c r="P23" s="100" t="n">
        <f aca="false">IF(A23=$O$6,'Plan-Kosten'!$F$72,0)</f>
        <v>0</v>
      </c>
      <c r="Q23" s="67" t="n">
        <f aca="false">I23+J23+K23+L23+M23+N23+O23+P23</f>
        <v>411.886975000635</v>
      </c>
      <c r="R23" s="39" t="n">
        <f aca="false">H23-Q23</f>
        <v>-188.437941029143</v>
      </c>
      <c r="S23" s="100" t="n">
        <f aca="false">MAX(0,R23*'Plan-Annahmen'!$B$82)</f>
        <v>0</v>
      </c>
      <c r="T23" s="67" t="n">
        <f aca="false">R23-S23</f>
        <v>-188.437941029143</v>
      </c>
      <c r="U23" s="67" t="n">
        <f aca="false">U22+T23</f>
        <v>-5541.54379540526</v>
      </c>
      <c r="V23" s="100" t="n">
        <f aca="false">V22+'Plan-Kosten'!AC$59+IF(A23=$O$6,'Plan-Kosten'!$F$73,0)</f>
        <v>1000</v>
      </c>
      <c r="W23" s="39" t="n">
        <f aca="false">U23-V23</f>
        <v>-6541.54379540526</v>
      </c>
      <c r="X23" s="35" t="n">
        <f aca="false">IF(R23&gt;0,1,0)</f>
        <v>0</v>
      </c>
      <c r="Y23" s="78" t="n">
        <f aca="false">'Plan-Kunden'!P23</f>
        <v>48.0768624379955</v>
      </c>
      <c r="Z23" s="105" t="n">
        <f aca="false">'Plan-Kunden'!Q23</f>
        <v>0</v>
      </c>
      <c r="AA23" s="105" t="n">
        <f aca="false">IF(D23&gt;='Plan-Phase B'!$C$22,1,0)</f>
        <v>0</v>
      </c>
      <c r="AB23" s="105" t="n">
        <f aca="false">IF(D23&gt;='Plan-Phase B'!$D$22,1,0)</f>
        <v>0</v>
      </c>
      <c r="AC23" s="105" t="n">
        <f aca="false">IF(D23&gt;='Plan-Phase B'!$E$22,1,0)</f>
        <v>0</v>
      </c>
      <c r="AD23" s="35" t="n">
        <f aca="false">IF(AND(W23&gt;=0,A23&gt;$K$6),1,0)</f>
        <v>0</v>
      </c>
      <c r="AE23" s="35" t="n">
        <f aca="false">IF(A23&gt;=$O$6,1,0)</f>
        <v>0</v>
      </c>
    </row>
    <row r="24" customFormat="false" ht="15" hidden="false" customHeight="true" outlineLevel="0" collapsed="false">
      <c r="A24" s="35" t="n">
        <v>17</v>
      </c>
      <c r="B24" s="73" t="n">
        <f aca="false">'Plan-Kunden'!B24</f>
        <v>46753</v>
      </c>
      <c r="C24" s="78" t="n">
        <f aca="false">'Plan-Kunden'!E24</f>
        <v>0.767553875260732</v>
      </c>
      <c r="D24" s="78" t="n">
        <f aca="false">'Plan-Kunden'!K24</f>
        <v>8.31859019567666</v>
      </c>
      <c r="E24" s="78" t="n">
        <f aca="false">'Plan-Kunden'!I24</f>
        <v>8.31859019567666</v>
      </c>
      <c r="F24" s="78" t="n">
        <f aca="false">'Plan-Kunden'!J24</f>
        <v>0</v>
      </c>
      <c r="G24" s="104" t="n">
        <f aca="false">D24*'Plan-Annahmen'!$B$21</f>
        <v>66.5487215654133</v>
      </c>
      <c r="H24" s="100" t="n">
        <f aca="false">E24*'Plan-Annahmen'!$B$14+F24*'Plan-Annahmen'!$B$15</f>
        <v>241.239115674623</v>
      </c>
      <c r="I24" s="100" t="n">
        <f aca="false">H24*('Plan-Annahmen'!$B$52+'Plan-Annahmen'!$B$53)</f>
        <v>7.23717347023869</v>
      </c>
      <c r="J24" s="100" t="n">
        <f aca="false">E24*('Plan-Annahmen'!$B$14*'Plan-Annahmen'!$B$18+'Plan-Annahmen'!$B$19)+F24*('Plan-Annahmen'!$B$15*'Plan-Annahmen'!$B$18+'Plan-Annahmen'!$B$19)</f>
        <v>5.69823428403851</v>
      </c>
      <c r="K24" s="100" t="n">
        <f aca="false">G24*'Plan-Annahmen'!$B$17/100</f>
        <v>1.66371803913533</v>
      </c>
      <c r="L24" s="100" t="n">
        <f aca="false">'Plan-Kunden'!D24*'Plan-Annahmen'!$B$15*'Plan-Annahmen'!$B$50</f>
        <v>0</v>
      </c>
      <c r="M24" s="100" t="n">
        <f aca="false">'Plan-Kosten'!AD$61</f>
        <v>298.364455875808</v>
      </c>
      <c r="N24" s="100" t="n">
        <f aca="false">IF(A24&gt;=$O$6,'Plan-Kosten'!$F$71,0)</f>
        <v>0</v>
      </c>
      <c r="O24" s="100" t="n">
        <f aca="false">'Plan-Kosten'!AD$58</f>
        <v>0</v>
      </c>
      <c r="P24" s="100" t="n">
        <f aca="false">IF(A24=$O$6,'Plan-Kosten'!$F$72,0)</f>
        <v>0</v>
      </c>
      <c r="Q24" s="67" t="n">
        <f aca="false">I24+J24+K24+L24+M24+N24+O24+P24</f>
        <v>312.963581669221</v>
      </c>
      <c r="R24" s="39" t="n">
        <f aca="false">H24-Q24</f>
        <v>-71.7244659945978</v>
      </c>
      <c r="S24" s="100" t="n">
        <f aca="false">MAX(0,R24*'Plan-Annahmen'!$B$82)</f>
        <v>0</v>
      </c>
      <c r="T24" s="67" t="n">
        <f aca="false">R24-S24</f>
        <v>-71.7244659945978</v>
      </c>
      <c r="U24" s="67" t="n">
        <f aca="false">U23+T24</f>
        <v>-5613.26826139986</v>
      </c>
      <c r="V24" s="100" t="n">
        <f aca="false">V23+'Plan-Kosten'!AD$59+IF(A24=$O$6,'Plan-Kosten'!$F$73,0)</f>
        <v>1000</v>
      </c>
      <c r="W24" s="39" t="n">
        <f aca="false">U24-V24</f>
        <v>-6613.26826139986</v>
      </c>
      <c r="X24" s="35" t="n">
        <f aca="false">IF(R24&gt;0,1,0)</f>
        <v>0</v>
      </c>
      <c r="Y24" s="78" t="n">
        <f aca="false">'Plan-Kunden'!P24</f>
        <v>47.7631309339637</v>
      </c>
      <c r="Z24" s="105" t="n">
        <f aca="false">'Plan-Kunden'!Q24</f>
        <v>0</v>
      </c>
      <c r="AA24" s="105" t="n">
        <f aca="false">IF(D24&gt;='Plan-Phase B'!$C$22,1,0)</f>
        <v>0</v>
      </c>
      <c r="AB24" s="105" t="n">
        <f aca="false">IF(D24&gt;='Plan-Phase B'!$D$22,1,0)</f>
        <v>0</v>
      </c>
      <c r="AC24" s="105" t="n">
        <f aca="false">IF(D24&gt;='Plan-Phase B'!$E$22,1,0)</f>
        <v>0</v>
      </c>
      <c r="AD24" s="35" t="n">
        <f aca="false">IF(AND(W24&gt;=0,A24&gt;$K$6),1,0)</f>
        <v>0</v>
      </c>
      <c r="AE24" s="35" t="n">
        <f aca="false">IF(A24&gt;=$O$6,1,0)</f>
        <v>0</v>
      </c>
    </row>
    <row r="25" customFormat="false" ht="15" hidden="false" customHeight="true" outlineLevel="0" collapsed="false">
      <c r="A25" s="35" t="n">
        <v>18</v>
      </c>
      <c r="B25" s="73" t="n">
        <f aca="false">'Plan-Kunden'!B25</f>
        <v>46784</v>
      </c>
      <c r="C25" s="78" t="n">
        <f aca="false">'Plan-Kunden'!E25</f>
        <v>0.769749994929111</v>
      </c>
      <c r="D25" s="78" t="n">
        <f aca="false">'Plan-Kunden'!K25</f>
        <v>8.92196838669223</v>
      </c>
      <c r="E25" s="78" t="n">
        <f aca="false">'Plan-Kunden'!I25</f>
        <v>8.92196838669223</v>
      </c>
      <c r="F25" s="78" t="n">
        <f aca="false">'Plan-Kunden'!J25</f>
        <v>0</v>
      </c>
      <c r="G25" s="104" t="n">
        <f aca="false">D25*'Plan-Annahmen'!$B$21</f>
        <v>71.3757470935379</v>
      </c>
      <c r="H25" s="100" t="n">
        <f aca="false">E25*'Plan-Annahmen'!$B$14+F25*'Plan-Annahmen'!$B$15</f>
        <v>258.737083214075</v>
      </c>
      <c r="I25" s="100" t="n">
        <f aca="false">H25*('Plan-Annahmen'!$B$52+'Plan-Annahmen'!$B$53)</f>
        <v>7.76211249642224</v>
      </c>
      <c r="J25" s="100" t="n">
        <f aca="false">E25*('Plan-Annahmen'!$B$14*'Plan-Annahmen'!$B$18+'Plan-Annahmen'!$B$19)+F25*('Plan-Annahmen'!$B$15*'Plan-Annahmen'!$B$18+'Plan-Annahmen'!$B$19)</f>
        <v>6.11154834488418</v>
      </c>
      <c r="K25" s="100" t="n">
        <f aca="false">G25*'Plan-Annahmen'!$B$17/100</f>
        <v>1.78439367733845</v>
      </c>
      <c r="L25" s="100" t="n">
        <f aca="false">'Plan-Kunden'!D25*'Plan-Annahmen'!$B$15*'Plan-Annahmen'!$B$50</f>
        <v>0</v>
      </c>
      <c r="M25" s="100" t="n">
        <f aca="false">'Plan-Kosten'!AE$61</f>
        <v>398.364455875808</v>
      </c>
      <c r="N25" s="100" t="n">
        <f aca="false">IF(A25&gt;=$O$6,'Plan-Kosten'!$F$71,0)</f>
        <v>0</v>
      </c>
      <c r="O25" s="100" t="n">
        <f aca="false">'Plan-Kosten'!AE$58</f>
        <v>0</v>
      </c>
      <c r="P25" s="100" t="n">
        <f aca="false">IF(A25=$O$6,'Plan-Kosten'!$F$72,0)</f>
        <v>0</v>
      </c>
      <c r="Q25" s="67" t="n">
        <f aca="false">I25+J25+K25+L25+M25+N25+O25+P25</f>
        <v>414.022510394453</v>
      </c>
      <c r="R25" s="39" t="n">
        <f aca="false">H25-Q25</f>
        <v>-155.285427180378</v>
      </c>
      <c r="S25" s="100" t="n">
        <f aca="false">MAX(0,R25*'Plan-Annahmen'!$B$82)</f>
        <v>0</v>
      </c>
      <c r="T25" s="67" t="n">
        <f aca="false">R25-S25</f>
        <v>-155.285427180378</v>
      </c>
      <c r="U25" s="67" t="n">
        <f aca="false">U24+T25</f>
        <v>-5768.55368858023</v>
      </c>
      <c r="V25" s="100" t="n">
        <f aca="false">V24+'Plan-Kosten'!AE$59+IF(A25=$O$6,'Plan-Kosten'!$F$73,0)</f>
        <v>1000</v>
      </c>
      <c r="W25" s="39" t="n">
        <f aca="false">U25-V25</f>
        <v>-6768.55368858023</v>
      </c>
      <c r="X25" s="35" t="n">
        <f aca="false">IF(R25&gt;0,1,0)</f>
        <v>0</v>
      </c>
      <c r="Y25" s="78" t="n">
        <f aca="false">'Plan-Kunden'!P25</f>
        <v>47.9463405109368</v>
      </c>
      <c r="Z25" s="105" t="n">
        <f aca="false">'Plan-Kunden'!Q25</f>
        <v>0</v>
      </c>
      <c r="AA25" s="105" t="n">
        <f aca="false">IF(D25&gt;='Plan-Phase B'!$C$22,1,0)</f>
        <v>0</v>
      </c>
      <c r="AB25" s="105" t="n">
        <f aca="false">IF(D25&gt;='Plan-Phase B'!$D$22,1,0)</f>
        <v>0</v>
      </c>
      <c r="AC25" s="105" t="n">
        <f aca="false">IF(D25&gt;='Plan-Phase B'!$E$22,1,0)</f>
        <v>0</v>
      </c>
      <c r="AD25" s="35" t="n">
        <f aca="false">IF(AND(W25&gt;=0,A25&gt;$K$6),1,0)</f>
        <v>0</v>
      </c>
      <c r="AE25" s="35" t="n">
        <f aca="false">IF(A25&gt;=$O$6,1,0)</f>
        <v>0</v>
      </c>
    </row>
    <row r="26" customFormat="false" ht="15" hidden="false" customHeight="true" outlineLevel="0" collapsed="false">
      <c r="A26" s="35" t="n">
        <v>19</v>
      </c>
      <c r="B26" s="73" t="n">
        <f aca="false">'Plan-Kunden'!B26</f>
        <v>46813</v>
      </c>
      <c r="C26" s="78" t="n">
        <f aca="false">'Plan-Kunden'!E26</f>
        <v>1.02190414420139</v>
      </c>
      <c r="D26" s="78" t="n">
        <f aca="false">'Plan-Kunden'!K26</f>
        <v>9.76543316315978</v>
      </c>
      <c r="E26" s="78" t="n">
        <f aca="false">'Plan-Kunden'!I26</f>
        <v>9.76543316315978</v>
      </c>
      <c r="F26" s="78" t="n">
        <f aca="false">'Plan-Kunden'!J26</f>
        <v>0</v>
      </c>
      <c r="G26" s="104" t="n">
        <f aca="false">D26*'Plan-Annahmen'!$B$21</f>
        <v>78.1234653052782</v>
      </c>
      <c r="H26" s="100" t="n">
        <f aca="false">E26*'Plan-Annahmen'!$B$14+F26*'Plan-Annahmen'!$B$15</f>
        <v>283.197561731634</v>
      </c>
      <c r="I26" s="100" t="n">
        <f aca="false">H26*('Plan-Annahmen'!$B$52+'Plan-Annahmen'!$B$53)</f>
        <v>8.49592685194901</v>
      </c>
      <c r="J26" s="100" t="n">
        <f aca="false">E26*('Plan-Annahmen'!$B$14*'Plan-Annahmen'!$B$18+'Plan-Annahmen'!$B$19)+F26*('Plan-Annahmen'!$B$15*'Plan-Annahmen'!$B$18+'Plan-Annahmen'!$B$19)</f>
        <v>6.68932171676445</v>
      </c>
      <c r="K26" s="100" t="n">
        <f aca="false">G26*'Plan-Annahmen'!$B$17/100</f>
        <v>1.95308663263196</v>
      </c>
      <c r="L26" s="100" t="n">
        <f aca="false">'Plan-Kunden'!D26*'Plan-Annahmen'!$B$15*'Plan-Annahmen'!$B$50</f>
        <v>0</v>
      </c>
      <c r="M26" s="100" t="n">
        <f aca="false">'Plan-Kosten'!AF$61</f>
        <v>298.364455875808</v>
      </c>
      <c r="N26" s="100" t="n">
        <f aca="false">IF(A26&gt;=$O$6,'Plan-Kosten'!$F$71,0)</f>
        <v>0</v>
      </c>
      <c r="O26" s="100" t="n">
        <f aca="false">'Plan-Kosten'!AF$58</f>
        <v>0</v>
      </c>
      <c r="P26" s="100" t="n">
        <f aca="false">IF(A26=$O$6,'Plan-Kosten'!$F$72,0)</f>
        <v>0</v>
      </c>
      <c r="Q26" s="67" t="n">
        <f aca="false">I26+J26+K26+L26+M26+N26+O26+P26</f>
        <v>315.502791077154</v>
      </c>
      <c r="R26" s="39" t="n">
        <f aca="false">H26-Q26</f>
        <v>-32.3052293455201</v>
      </c>
      <c r="S26" s="100" t="n">
        <f aca="false">MAX(0,R26*'Plan-Annahmen'!$B$82)</f>
        <v>0</v>
      </c>
      <c r="T26" s="67" t="n">
        <f aca="false">R26-S26</f>
        <v>-32.3052293455201</v>
      </c>
      <c r="U26" s="67" t="n">
        <f aca="false">U25+T26</f>
        <v>-5800.85891792575</v>
      </c>
      <c r="V26" s="100" t="n">
        <f aca="false">V25+'Plan-Kosten'!AF$59+IF(A26=$O$6,'Plan-Kosten'!$F$73,0)</f>
        <v>1000</v>
      </c>
      <c r="W26" s="39" t="n">
        <f aca="false">U26-V26</f>
        <v>-6800.85891792575</v>
      </c>
      <c r="X26" s="35" t="n">
        <f aca="false">IF(R26&gt;0,1,0)</f>
        <v>0</v>
      </c>
      <c r="Y26" s="78" t="n">
        <f aca="false">'Plan-Kunden'!P26</f>
        <v>48.4515340931493</v>
      </c>
      <c r="Z26" s="105" t="n">
        <f aca="false">'Plan-Kunden'!Q26</f>
        <v>0</v>
      </c>
      <c r="AA26" s="105" t="n">
        <f aca="false">IF(D26&gt;='Plan-Phase B'!$C$22,1,0)</f>
        <v>0</v>
      </c>
      <c r="AB26" s="105" t="n">
        <f aca="false">IF(D26&gt;='Plan-Phase B'!$D$22,1,0)</f>
        <v>0</v>
      </c>
      <c r="AC26" s="105" t="n">
        <f aca="false">IF(D26&gt;='Plan-Phase B'!$E$22,1,0)</f>
        <v>0</v>
      </c>
      <c r="AD26" s="35" t="n">
        <f aca="false">IF(AND(W26&gt;=0,A26&gt;$K$6),1,0)</f>
        <v>0</v>
      </c>
      <c r="AE26" s="35" t="n">
        <f aca="false">IF(A26&gt;=$O$6,1,0)</f>
        <v>0</v>
      </c>
    </row>
    <row r="27" customFormat="false" ht="15" hidden="false" customHeight="true" outlineLevel="0" collapsed="false">
      <c r="A27" s="35" t="n">
        <v>20</v>
      </c>
      <c r="B27" s="73" t="n">
        <f aca="false">'Plan-Kunden'!B27</f>
        <v>46844</v>
      </c>
      <c r="C27" s="78" t="n">
        <f aca="false">'Plan-Kunden'!E27</f>
        <v>1.02568379700822</v>
      </c>
      <c r="D27" s="78" t="n">
        <f aca="false">'Plan-Kunden'!K27</f>
        <v>10.5958082969048</v>
      </c>
      <c r="E27" s="78" t="n">
        <f aca="false">'Plan-Kunden'!I27</f>
        <v>10.5958082969048</v>
      </c>
      <c r="F27" s="78" t="n">
        <f aca="false">'Plan-Kunden'!J27</f>
        <v>0</v>
      </c>
      <c r="G27" s="104" t="n">
        <f aca="false">D27*'Plan-Annahmen'!$B$21</f>
        <v>84.7664663752384</v>
      </c>
      <c r="H27" s="100" t="n">
        <f aca="false">E27*'Plan-Annahmen'!$B$14+F27*'Plan-Annahmen'!$B$15</f>
        <v>307.278440610239</v>
      </c>
      <c r="I27" s="100" t="n">
        <f aca="false">H27*('Plan-Annahmen'!$B$52+'Plan-Annahmen'!$B$53)</f>
        <v>9.21835321830718</v>
      </c>
      <c r="J27" s="100" t="n">
        <f aca="false">E27*('Plan-Annahmen'!$B$14*'Plan-Annahmen'!$B$18+'Plan-Annahmen'!$B$19)+F27*('Plan-Annahmen'!$B$15*'Plan-Annahmen'!$B$18+'Plan-Annahmen'!$B$19)</f>
        <v>7.25812868337979</v>
      </c>
      <c r="K27" s="100" t="n">
        <f aca="false">G27*'Plan-Annahmen'!$B$17/100</f>
        <v>2.11916165938096</v>
      </c>
      <c r="L27" s="100" t="n">
        <f aca="false">'Plan-Kunden'!D27*'Plan-Annahmen'!$B$15*'Plan-Annahmen'!$B$50</f>
        <v>0</v>
      </c>
      <c r="M27" s="100" t="n">
        <f aca="false">'Plan-Kosten'!AG$61</f>
        <v>398.364455875808</v>
      </c>
      <c r="N27" s="100" t="n">
        <f aca="false">IF(A27&gt;=$O$6,'Plan-Kosten'!$F$71,0)</f>
        <v>0</v>
      </c>
      <c r="O27" s="100" t="n">
        <f aca="false">'Plan-Kosten'!AG$58</f>
        <v>0</v>
      </c>
      <c r="P27" s="100" t="n">
        <f aca="false">IF(A27=$O$6,'Plan-Kosten'!$F$72,0)</f>
        <v>0</v>
      </c>
      <c r="Q27" s="67" t="n">
        <f aca="false">I27+J27+K27+L27+M27+N27+O27+P27</f>
        <v>416.960099436876</v>
      </c>
      <c r="R27" s="39" t="n">
        <f aca="false">H27-Q27</f>
        <v>-109.681658826637</v>
      </c>
      <c r="S27" s="100" t="n">
        <f aca="false">MAX(0,R27*'Plan-Annahmen'!$B$82)</f>
        <v>0</v>
      </c>
      <c r="T27" s="67" t="n">
        <f aca="false">R27-S27</f>
        <v>-109.681658826637</v>
      </c>
      <c r="U27" s="67" t="n">
        <f aca="false">U26+T27</f>
        <v>-5910.54057675239</v>
      </c>
      <c r="V27" s="100" t="n">
        <f aca="false">V26+'Plan-Kosten'!AG$59+IF(A27=$O$6,'Plan-Kosten'!$F$73,0)</f>
        <v>1000</v>
      </c>
      <c r="W27" s="39" t="n">
        <f aca="false">U27-V27</f>
        <v>-6910.54057675239</v>
      </c>
      <c r="X27" s="35" t="n">
        <f aca="false">IF(R27&gt;0,1,0)</f>
        <v>0</v>
      </c>
      <c r="Y27" s="78" t="n">
        <f aca="false">'Plan-Kunden'!P27</f>
        <v>48.7044262860797</v>
      </c>
      <c r="Z27" s="105" t="n">
        <f aca="false">'Plan-Kunden'!Q27</f>
        <v>0</v>
      </c>
      <c r="AA27" s="105" t="n">
        <f aca="false">IF(D27&gt;='Plan-Phase B'!$C$22,1,0)</f>
        <v>0</v>
      </c>
      <c r="AB27" s="105" t="n">
        <f aca="false">IF(D27&gt;='Plan-Phase B'!$D$22,1,0)</f>
        <v>0</v>
      </c>
      <c r="AC27" s="105" t="n">
        <f aca="false">IF(D27&gt;='Plan-Phase B'!$E$22,1,0)</f>
        <v>0</v>
      </c>
      <c r="AD27" s="35" t="n">
        <f aca="false">IF(AND(W27&gt;=0,A27&gt;$K$6),1,0)</f>
        <v>0</v>
      </c>
      <c r="AE27" s="35" t="n">
        <f aca="false">IF(A27&gt;=$O$6,1,0)</f>
        <v>0</v>
      </c>
    </row>
    <row r="28" customFormat="false" ht="15" hidden="false" customHeight="true" outlineLevel="0" collapsed="false">
      <c r="A28" s="35" t="n">
        <v>21</v>
      </c>
      <c r="B28" s="73" t="n">
        <f aca="false">'Plan-Kunden'!B28</f>
        <v>46874</v>
      </c>
      <c r="C28" s="78" t="n">
        <f aca="false">'Plan-Kunden'!E28</f>
        <v>1.02772863398559</v>
      </c>
      <c r="D28" s="78" t="n">
        <f aca="false">'Plan-Kunden'!K28</f>
        <v>11.4116207649523</v>
      </c>
      <c r="E28" s="78" t="n">
        <f aca="false">'Plan-Kunden'!I28</f>
        <v>11.4116207649523</v>
      </c>
      <c r="F28" s="78" t="n">
        <f aca="false">'Plan-Kunden'!J28</f>
        <v>0</v>
      </c>
      <c r="G28" s="104" t="n">
        <f aca="false">D28*'Plan-Annahmen'!$B$21</f>
        <v>91.2929661196184</v>
      </c>
      <c r="H28" s="100" t="n">
        <f aca="false">E28*'Plan-Annahmen'!$B$14+F28*'Plan-Annahmen'!$B$15</f>
        <v>330.937002183617</v>
      </c>
      <c r="I28" s="100" t="n">
        <f aca="false">H28*('Plan-Annahmen'!$B$52+'Plan-Annahmen'!$B$53)</f>
        <v>9.9281100655085</v>
      </c>
      <c r="J28" s="100" t="n">
        <f aca="false">E28*('Plan-Annahmen'!$B$14*'Plan-Annahmen'!$B$18+'Plan-Annahmen'!$B$19)+F28*('Plan-Annahmen'!$B$15*'Plan-Annahmen'!$B$18+'Plan-Annahmen'!$B$19)</f>
        <v>7.81696022399232</v>
      </c>
      <c r="K28" s="100" t="n">
        <f aca="false">G28*'Plan-Annahmen'!$B$17/100</f>
        <v>2.28232415299046</v>
      </c>
      <c r="L28" s="100" t="n">
        <f aca="false">'Plan-Kunden'!D28*'Plan-Annahmen'!$B$15*'Plan-Annahmen'!$B$50</f>
        <v>0</v>
      </c>
      <c r="M28" s="100" t="n">
        <f aca="false">'Plan-Kosten'!AH$61</f>
        <v>298.364455875808</v>
      </c>
      <c r="N28" s="100" t="n">
        <f aca="false">IF(A28&gt;=$O$6,'Plan-Kosten'!$F$71,0)</f>
        <v>0</v>
      </c>
      <c r="O28" s="100" t="n">
        <f aca="false">'Plan-Kosten'!AH$58</f>
        <v>0</v>
      </c>
      <c r="P28" s="100" t="n">
        <f aca="false">IF(A28=$O$6,'Plan-Kosten'!$F$72,0)</f>
        <v>0</v>
      </c>
      <c r="Q28" s="67" t="n">
        <f aca="false">I28+J28+K28+L28+M28+N28+O28+P28</f>
        <v>318.3918503183</v>
      </c>
      <c r="R28" s="39" t="n">
        <f aca="false">H28-Q28</f>
        <v>12.5451518653169</v>
      </c>
      <c r="S28" s="100" t="n">
        <f aca="false">MAX(0,R28*'Plan-Annahmen'!$B$82)</f>
        <v>3.86853305017099</v>
      </c>
      <c r="T28" s="67" t="n">
        <f aca="false">R28-S28</f>
        <v>8.67661881514595</v>
      </c>
      <c r="U28" s="67" t="n">
        <f aca="false">U27+T28</f>
        <v>-5901.86395793724</v>
      </c>
      <c r="V28" s="100" t="n">
        <f aca="false">V27+'Plan-Kosten'!AH$59+IF(A28=$O$6,'Plan-Kosten'!$F$73,0)</f>
        <v>1000</v>
      </c>
      <c r="W28" s="39" t="n">
        <f aca="false">U28-V28</f>
        <v>-6901.86395793724</v>
      </c>
      <c r="X28" s="35" t="n">
        <f aca="false">IF(R28&gt;0,1,0)</f>
        <v>1</v>
      </c>
      <c r="Y28" s="78" t="n">
        <f aca="false">'Plan-Kunden'!P28</f>
        <v>48.9512148634713</v>
      </c>
      <c r="Z28" s="105" t="n">
        <f aca="false">'Plan-Kunden'!Q28</f>
        <v>0</v>
      </c>
      <c r="AA28" s="105" t="n">
        <f aca="false">IF(D28&gt;='Plan-Phase B'!$C$22,1,0)</f>
        <v>0</v>
      </c>
      <c r="AB28" s="105" t="n">
        <f aca="false">IF(D28&gt;='Plan-Phase B'!$D$22,1,0)</f>
        <v>0</v>
      </c>
      <c r="AC28" s="105" t="n">
        <f aca="false">IF(D28&gt;='Plan-Phase B'!$E$22,1,0)</f>
        <v>0</v>
      </c>
      <c r="AD28" s="35" t="n">
        <f aca="false">IF(AND(W28&gt;=0,A28&gt;$K$6),1,0)</f>
        <v>0</v>
      </c>
      <c r="AE28" s="35" t="n">
        <f aca="false">IF(A28&gt;=$O$6,1,0)</f>
        <v>0</v>
      </c>
    </row>
    <row r="29" customFormat="false" ht="15" hidden="false" customHeight="true" outlineLevel="0" collapsed="false">
      <c r="A29" s="35" t="n">
        <v>22</v>
      </c>
      <c r="B29" s="73" t="n">
        <f aca="false">'Plan-Kunden'!B29</f>
        <v>46905</v>
      </c>
      <c r="C29" s="78" t="n">
        <f aca="false">'Plan-Kunden'!E29</f>
        <v>1.52973989462231</v>
      </c>
      <c r="D29" s="78" t="n">
        <f aca="false">'Plan-Kunden'!K29</f>
        <v>12.7131282442756</v>
      </c>
      <c r="E29" s="78" t="n">
        <f aca="false">'Plan-Kunden'!I29</f>
        <v>12.7131282442756</v>
      </c>
      <c r="F29" s="78" t="n">
        <f aca="false">'Plan-Kunden'!J29</f>
        <v>0</v>
      </c>
      <c r="G29" s="104" t="n">
        <f aca="false">D29*'Plan-Annahmen'!$B$21</f>
        <v>101.705025954204</v>
      </c>
      <c r="H29" s="100" t="n">
        <f aca="false">E29*'Plan-Annahmen'!$B$14+F29*'Plan-Annahmen'!$B$15</f>
        <v>368.680719083991</v>
      </c>
      <c r="I29" s="100" t="n">
        <f aca="false">H29*('Plan-Annahmen'!$B$52+'Plan-Annahmen'!$B$53)</f>
        <v>11.0604215725197</v>
      </c>
      <c r="J29" s="100" t="n">
        <f aca="false">E29*('Plan-Annahmen'!$B$14*'Plan-Annahmen'!$B$18+'Plan-Annahmen'!$B$19)+F29*('Plan-Annahmen'!$B$15*'Plan-Annahmen'!$B$18+'Plan-Annahmen'!$B$19)</f>
        <v>8.70849284732876</v>
      </c>
      <c r="K29" s="100" t="n">
        <f aca="false">G29*'Plan-Annahmen'!$B$17/100</f>
        <v>2.54262564885511</v>
      </c>
      <c r="L29" s="100" t="n">
        <f aca="false">'Plan-Kunden'!D29*'Plan-Annahmen'!$B$15*'Plan-Annahmen'!$B$50</f>
        <v>0</v>
      </c>
      <c r="M29" s="100" t="n">
        <f aca="false">'Plan-Kosten'!AI$61</f>
        <v>398.364455875808</v>
      </c>
      <c r="N29" s="100" t="n">
        <f aca="false">IF(A29&gt;=$O$6,'Plan-Kosten'!$F$71,0)</f>
        <v>0</v>
      </c>
      <c r="O29" s="100" t="n">
        <f aca="false">'Plan-Kosten'!AI$58</f>
        <v>0</v>
      </c>
      <c r="P29" s="100" t="n">
        <f aca="false">IF(A29=$O$6,'Plan-Kosten'!$F$72,0)</f>
        <v>0</v>
      </c>
      <c r="Q29" s="67" t="n">
        <f aca="false">I29+J29+K29+L29+M29+N29+O29+P29</f>
        <v>420.675995944512</v>
      </c>
      <c r="R29" s="39" t="n">
        <f aca="false">H29-Q29</f>
        <v>-51.9952768605208</v>
      </c>
      <c r="S29" s="100" t="n">
        <f aca="false">MAX(0,R29*'Plan-Annahmen'!$B$82)</f>
        <v>0</v>
      </c>
      <c r="T29" s="67" t="n">
        <f aca="false">R29-S29</f>
        <v>-51.9952768605208</v>
      </c>
      <c r="U29" s="67" t="n">
        <f aca="false">U28+T29</f>
        <v>-5953.85923479777</v>
      </c>
      <c r="V29" s="100" t="n">
        <f aca="false">V28+'Plan-Kosten'!AI$59+IF(A29=$O$6,'Plan-Kosten'!$F$73,0)</f>
        <v>1000</v>
      </c>
      <c r="W29" s="39" t="n">
        <f aca="false">U29-V29</f>
        <v>-6953.85923479777</v>
      </c>
      <c r="X29" s="35" t="n">
        <f aca="false">IF(R29&gt;0,1,0)</f>
        <v>0</v>
      </c>
      <c r="Y29" s="78" t="n">
        <f aca="false">'Plan-Kunden'!P29</f>
        <v>49.843678367905</v>
      </c>
      <c r="Z29" s="105" t="n">
        <f aca="false">'Plan-Kunden'!Q29</f>
        <v>0</v>
      </c>
      <c r="AA29" s="105" t="n">
        <f aca="false">IF(D29&gt;='Plan-Phase B'!$C$22,1,0)</f>
        <v>0</v>
      </c>
      <c r="AB29" s="105" t="n">
        <f aca="false">IF(D29&gt;='Plan-Phase B'!$D$22,1,0)</f>
        <v>0</v>
      </c>
      <c r="AC29" s="105" t="n">
        <f aca="false">IF(D29&gt;='Plan-Phase B'!$E$22,1,0)</f>
        <v>0</v>
      </c>
      <c r="AD29" s="35" t="n">
        <f aca="false">IF(AND(W29&gt;=0,A29&gt;$K$6),1,0)</f>
        <v>0</v>
      </c>
      <c r="AE29" s="35" t="n">
        <f aca="false">IF(A29&gt;=$O$6,1,0)</f>
        <v>0</v>
      </c>
    </row>
    <row r="30" customFormat="false" ht="15" hidden="false" customHeight="true" outlineLevel="0" collapsed="false">
      <c r="A30" s="35" t="n">
        <v>23</v>
      </c>
      <c r="B30" s="73" t="n">
        <f aca="false">'Plan-Kunden'!B30</f>
        <v>46935</v>
      </c>
      <c r="C30" s="78" t="n">
        <f aca="false">'Plan-Kunden'!E30</f>
        <v>1.0325514438772</v>
      </c>
      <c r="D30" s="78" t="n">
        <f aca="false">'Plan-Kunden'!K30</f>
        <v>13.4914171232672</v>
      </c>
      <c r="E30" s="78" t="n">
        <f aca="false">'Plan-Kunden'!I30</f>
        <v>13.4914171232672</v>
      </c>
      <c r="F30" s="78" t="n">
        <f aca="false">'Plan-Kunden'!J30</f>
        <v>0</v>
      </c>
      <c r="G30" s="104" t="n">
        <f aca="false">D30*'Plan-Annahmen'!$B$21</f>
        <v>107.931336986138</v>
      </c>
      <c r="H30" s="100" t="n">
        <f aca="false">E30*'Plan-Annahmen'!$B$14+F30*'Plan-Annahmen'!$B$15</f>
        <v>391.25109657475</v>
      </c>
      <c r="I30" s="100" t="n">
        <f aca="false">H30*('Plan-Annahmen'!$B$52+'Plan-Annahmen'!$B$53)</f>
        <v>11.7375328972425</v>
      </c>
      <c r="J30" s="100" t="n">
        <f aca="false">E30*('Plan-Annahmen'!$B$14*'Plan-Annahmen'!$B$18+'Plan-Annahmen'!$B$19)+F30*('Plan-Annahmen'!$B$15*'Plan-Annahmen'!$B$18+'Plan-Annahmen'!$B$19)</f>
        <v>9.24162072943806</v>
      </c>
      <c r="K30" s="100" t="n">
        <f aca="false">G30*'Plan-Annahmen'!$B$17/100</f>
        <v>2.69828342465345</v>
      </c>
      <c r="L30" s="100" t="n">
        <f aca="false">'Plan-Kunden'!D30*'Plan-Annahmen'!$B$15*'Plan-Annahmen'!$B$50</f>
        <v>0</v>
      </c>
      <c r="M30" s="100" t="n">
        <f aca="false">'Plan-Kosten'!AJ$61</f>
        <v>298.364455875808</v>
      </c>
      <c r="N30" s="100" t="n">
        <f aca="false">IF(A30&gt;=$O$6,'Plan-Kosten'!$F$71,0)</f>
        <v>0</v>
      </c>
      <c r="O30" s="100" t="n">
        <f aca="false">'Plan-Kosten'!AJ$58</f>
        <v>0</v>
      </c>
      <c r="P30" s="100" t="n">
        <f aca="false">IF(A30=$O$6,'Plan-Kosten'!$F$72,0)</f>
        <v>0</v>
      </c>
      <c r="Q30" s="67" t="n">
        <f aca="false">I30+J30+K30+L30+M30+N30+O30+P30</f>
        <v>322.041892927142</v>
      </c>
      <c r="R30" s="39" t="n">
        <f aca="false">H30-Q30</f>
        <v>69.2092036476078</v>
      </c>
      <c r="S30" s="100" t="n">
        <f aca="false">MAX(0,R30*'Plan-Annahmen'!$B$82)</f>
        <v>21.3419570014923</v>
      </c>
      <c r="T30" s="67" t="n">
        <f aca="false">R30-S30</f>
        <v>47.8672466461155</v>
      </c>
      <c r="U30" s="67" t="n">
        <f aca="false">U29+T30</f>
        <v>-5905.99198815165</v>
      </c>
      <c r="V30" s="100" t="n">
        <f aca="false">V29+'Plan-Kosten'!AJ$59+IF(A30=$O$6,'Plan-Kosten'!$F$73,0)</f>
        <v>1000</v>
      </c>
      <c r="W30" s="39" t="n">
        <f aca="false">U30-V30</f>
        <v>-6905.99198815165</v>
      </c>
      <c r="X30" s="35" t="n">
        <f aca="false">IF(R30&gt;0,1,0)</f>
        <v>1</v>
      </c>
      <c r="Y30" s="78" t="n">
        <f aca="false">'Plan-Kunden'!P30</f>
        <v>49.5799765808574</v>
      </c>
      <c r="Z30" s="105" t="n">
        <f aca="false">'Plan-Kunden'!Q30</f>
        <v>0</v>
      </c>
      <c r="AA30" s="105" t="n">
        <f aca="false">IF(D30&gt;='Plan-Phase B'!$C$22,1,0)</f>
        <v>0</v>
      </c>
      <c r="AB30" s="105" t="n">
        <f aca="false">IF(D30&gt;='Plan-Phase B'!$D$22,1,0)</f>
        <v>0</v>
      </c>
      <c r="AC30" s="105" t="n">
        <f aca="false">IF(D30&gt;='Plan-Phase B'!$E$22,1,0)</f>
        <v>0</v>
      </c>
      <c r="AD30" s="35" t="n">
        <f aca="false">IF(AND(W30&gt;=0,A30&gt;$K$6),1,0)</f>
        <v>0</v>
      </c>
      <c r="AE30" s="35" t="n">
        <f aca="false">IF(A30&gt;=$O$6,1,0)</f>
        <v>0</v>
      </c>
    </row>
    <row r="31" customFormat="false" ht="15" hidden="false" customHeight="true" outlineLevel="0" collapsed="false">
      <c r="A31" s="35" t="n">
        <v>24</v>
      </c>
      <c r="B31" s="73" t="n">
        <f aca="false">'Plan-Kunden'!B31</f>
        <v>46966</v>
      </c>
      <c r="C31" s="78" t="n">
        <f aca="false">'Plan-Kunden'!E31</f>
        <v>1.03531936098968</v>
      </c>
      <c r="D31" s="78" t="n">
        <f aca="false">'Plan-Kunden'!K31</f>
        <v>14.2569081417916</v>
      </c>
      <c r="E31" s="78" t="n">
        <f aca="false">'Plan-Kunden'!I31</f>
        <v>14.2569081417916</v>
      </c>
      <c r="F31" s="78" t="n">
        <f aca="false">'Plan-Kunden'!J31</f>
        <v>0</v>
      </c>
      <c r="G31" s="104" t="n">
        <f aca="false">D31*'Plan-Annahmen'!$B$21</f>
        <v>114.055265134333</v>
      </c>
      <c r="H31" s="100" t="n">
        <f aca="false">E31*'Plan-Annahmen'!$B$14+F31*'Plan-Annahmen'!$B$15</f>
        <v>413.450336111956</v>
      </c>
      <c r="I31" s="100" t="n">
        <f aca="false">H31*('Plan-Annahmen'!$B$52+'Plan-Annahmen'!$B$53)</f>
        <v>12.4035100833587</v>
      </c>
      <c r="J31" s="100" t="n">
        <f aca="false">E31*('Plan-Annahmen'!$B$14*'Plan-Annahmen'!$B$18+'Plan-Annahmen'!$B$19)+F31*('Plan-Annahmen'!$B$15*'Plan-Annahmen'!$B$18+'Plan-Annahmen'!$B$19)</f>
        <v>9.76598207712723</v>
      </c>
      <c r="K31" s="100" t="n">
        <f aca="false">G31*'Plan-Annahmen'!$B$17/100</f>
        <v>2.85138162835832</v>
      </c>
      <c r="L31" s="100" t="n">
        <f aca="false">'Plan-Kunden'!D31*'Plan-Annahmen'!$B$15*'Plan-Annahmen'!$B$50</f>
        <v>0</v>
      </c>
      <c r="M31" s="100" t="n">
        <f aca="false">'Plan-Kosten'!AK$61</f>
        <v>398.364455875808</v>
      </c>
      <c r="N31" s="100" t="n">
        <f aca="false">IF(A31&gt;=$O$6,'Plan-Kosten'!$F$71,0)</f>
        <v>0</v>
      </c>
      <c r="O31" s="100" t="n">
        <f aca="false">'Plan-Kosten'!AK$58</f>
        <v>0</v>
      </c>
      <c r="P31" s="100" t="n">
        <f aca="false">IF(A31=$O$6,'Plan-Kosten'!$F$72,0)</f>
        <v>0</v>
      </c>
      <c r="Q31" s="67" t="n">
        <f aca="false">I31+J31+K31+L31+M31+N31+O31+P31</f>
        <v>423.385329664653</v>
      </c>
      <c r="R31" s="39" t="n">
        <f aca="false">H31-Q31</f>
        <v>-9.93499355269671</v>
      </c>
      <c r="S31" s="100" t="n">
        <f aca="false">MAX(0,R31*'Plan-Annahmen'!$B$82)</f>
        <v>0</v>
      </c>
      <c r="T31" s="67" t="n">
        <f aca="false">R31-S31</f>
        <v>-9.93499355269671</v>
      </c>
      <c r="U31" s="67" t="n">
        <f aca="false">U30+T31</f>
        <v>-5915.92698170435</v>
      </c>
      <c r="V31" s="100" t="n">
        <f aca="false">V30+'Plan-Kosten'!AK$59+IF(A31=$O$6,'Plan-Kosten'!$F$73,0)</f>
        <v>1000</v>
      </c>
      <c r="W31" s="39" t="n">
        <f aca="false">U31-V31</f>
        <v>-6915.92698170435</v>
      </c>
      <c r="X31" s="35" t="n">
        <f aca="false">IF(R31&gt;0,1,0)</f>
        <v>0</v>
      </c>
      <c r="Y31" s="78" t="n">
        <f aca="false">'Plan-Kunden'!P31</f>
        <v>49.8123918035272</v>
      </c>
      <c r="Z31" s="105" t="n">
        <f aca="false">'Plan-Kunden'!Q31</f>
        <v>0</v>
      </c>
      <c r="AA31" s="105" t="n">
        <f aca="false">IF(D31&gt;='Plan-Phase B'!$C$22,1,0)</f>
        <v>0</v>
      </c>
      <c r="AB31" s="105" t="n">
        <f aca="false">IF(D31&gt;='Plan-Phase B'!$D$22,1,0)</f>
        <v>0</v>
      </c>
      <c r="AC31" s="105" t="n">
        <f aca="false">IF(D31&gt;='Plan-Phase B'!$E$22,1,0)</f>
        <v>0</v>
      </c>
      <c r="AD31" s="35" t="n">
        <f aca="false">IF(AND(W31&gt;=0,A31&gt;$K$6),1,0)</f>
        <v>0</v>
      </c>
      <c r="AE31" s="35" t="n">
        <f aca="false">IF(A31&gt;=$O$6,1,0)</f>
        <v>0</v>
      </c>
    </row>
    <row r="32" customFormat="false" ht="15" hidden="false" customHeight="true" outlineLevel="0" collapsed="false">
      <c r="A32" s="14" t="s">
        <v>734</v>
      </c>
      <c r="B32" s="15"/>
      <c r="C32" s="15"/>
      <c r="D32" s="15"/>
      <c r="E32" s="15"/>
      <c r="F32" s="15"/>
      <c r="G32" s="15"/>
      <c r="H32" s="17" t="n">
        <f aca="false">SUM(H8:H31)</f>
        <v>4098.25640582613</v>
      </c>
      <c r="I32" s="17" t="n">
        <f aca="false">SUM(I8:I31)</f>
        <v>122.947692174784</v>
      </c>
      <c r="J32" s="17" t="n">
        <f aca="false">SUM(J8:J31)</f>
        <v>96.8036426893413</v>
      </c>
      <c r="K32" s="17" t="n">
        <f aca="false">SUM(K8:K31)</f>
        <v>28.2638372815595</v>
      </c>
      <c r="L32" s="17" t="n">
        <f aca="false">SUM(L8:L31)</f>
        <v>0</v>
      </c>
      <c r="M32" s="17" t="n">
        <f aca="false">SUM(M8:M31)</f>
        <v>7764.45772533312</v>
      </c>
      <c r="N32" s="17" t="n">
        <f aca="false">SUM(N8:N31)</f>
        <v>0</v>
      </c>
      <c r="O32" s="17" t="n">
        <f aca="false">SUM(O8:O31)</f>
        <v>1976.5</v>
      </c>
      <c r="P32" s="17" t="n">
        <f aca="false">SUM(P8:P31)</f>
        <v>0</v>
      </c>
      <c r="Q32" s="17" t="n">
        <f aca="false">SUM(Q8:Q31)</f>
        <v>9988.97289747881</v>
      </c>
      <c r="R32" s="17" t="n">
        <f aca="false">SUM(R8:R31)</f>
        <v>-5890.71649165268</v>
      </c>
      <c r="S32" s="17" t="n">
        <f aca="false">SUM(S8:S31)</f>
        <v>25.2104900516633</v>
      </c>
      <c r="T32" s="17" t="n">
        <f aca="false">SUM(T8:T31)</f>
        <v>-5915.92698170435</v>
      </c>
      <c r="U32" s="15"/>
      <c r="V32" s="15"/>
      <c r="W32" s="15"/>
      <c r="X32" s="15"/>
      <c r="Y32" s="15"/>
      <c r="Z32" s="15"/>
      <c r="AA32" s="15"/>
      <c r="AB32" s="15"/>
      <c r="AC32" s="15"/>
      <c r="AD32" s="15"/>
      <c r="AE32" s="15"/>
    </row>
    <row r="35" customFormat="false" ht="15" hidden="false" customHeight="true" outlineLevel="0" collapsed="false">
      <c r="A35" s="49" t="s">
        <v>512</v>
      </c>
      <c r="H35" s="72" t="s">
        <v>705</v>
      </c>
      <c r="K35" s="49" t="n">
        <f aca="false">MATCH(MIN(W37:W60),W37:W60,0)</f>
        <v>15</v>
      </c>
      <c r="M35" s="72" t="s">
        <v>706</v>
      </c>
      <c r="O35" s="103" t="n">
        <f aca="false">'Plan-Kunden'!$S$61</f>
        <v>15</v>
      </c>
    </row>
    <row r="36" customFormat="false" ht="39" hidden="false" customHeight="true" outlineLevel="0" collapsed="false">
      <c r="A36" s="4" t="s">
        <v>492</v>
      </c>
      <c r="B36" s="4" t="s">
        <v>493</v>
      </c>
      <c r="C36" s="4" t="s">
        <v>707</v>
      </c>
      <c r="D36" s="4" t="s">
        <v>708</v>
      </c>
      <c r="E36" s="4" t="s">
        <v>709</v>
      </c>
      <c r="F36" s="4" t="s">
        <v>710</v>
      </c>
      <c r="G36" s="4" t="s">
        <v>353</v>
      </c>
      <c r="H36" s="4" t="s">
        <v>711</v>
      </c>
      <c r="I36" s="4" t="s">
        <v>712</v>
      </c>
      <c r="J36" s="4" t="s">
        <v>713</v>
      </c>
      <c r="K36" s="4" t="s">
        <v>714</v>
      </c>
      <c r="L36" s="4" t="s">
        <v>715</v>
      </c>
      <c r="M36" s="4" t="s">
        <v>716</v>
      </c>
      <c r="N36" s="4" t="s">
        <v>717</v>
      </c>
      <c r="O36" s="4" t="s">
        <v>718</v>
      </c>
      <c r="P36" s="4" t="s">
        <v>719</v>
      </c>
      <c r="Q36" s="4" t="s">
        <v>720</v>
      </c>
      <c r="R36" s="4" t="s">
        <v>721</v>
      </c>
      <c r="S36" s="4" t="s">
        <v>722</v>
      </c>
      <c r="T36" s="4" t="s">
        <v>723</v>
      </c>
      <c r="U36" s="4" t="s">
        <v>724</v>
      </c>
      <c r="V36" s="4" t="s">
        <v>725</v>
      </c>
      <c r="W36" s="4" t="s">
        <v>726</v>
      </c>
      <c r="X36" s="4" t="s">
        <v>727</v>
      </c>
      <c r="Y36" s="4" t="s">
        <v>507</v>
      </c>
      <c r="Z36" s="4" t="s">
        <v>728</v>
      </c>
      <c r="AA36" s="4" t="s">
        <v>729</v>
      </c>
      <c r="AB36" s="4" t="s">
        <v>730</v>
      </c>
      <c r="AC36" s="4" t="s">
        <v>731</v>
      </c>
      <c r="AD36" s="4" t="s">
        <v>732</v>
      </c>
      <c r="AE36" s="4" t="s">
        <v>733</v>
      </c>
    </row>
    <row r="37" customFormat="false" ht="15" hidden="false" customHeight="true" outlineLevel="0" collapsed="false">
      <c r="A37" s="35" t="n">
        <v>1</v>
      </c>
      <c r="B37" s="73" t="n">
        <f aca="false">'Plan-Kunden'!B37</f>
        <v>46266</v>
      </c>
      <c r="C37" s="78" t="n">
        <f aca="false">'Plan-Kunden'!E37</f>
        <v>0</v>
      </c>
      <c r="D37" s="78" t="n">
        <f aca="false">'Plan-Kunden'!K37</f>
        <v>0</v>
      </c>
      <c r="E37" s="78" t="n">
        <f aca="false">'Plan-Kunden'!I37</f>
        <v>0</v>
      </c>
      <c r="F37" s="78" t="n">
        <f aca="false">'Plan-Kunden'!J37</f>
        <v>0</v>
      </c>
      <c r="G37" s="104" t="n">
        <f aca="false">D37*'Plan-Annahmen'!$B$21</f>
        <v>0</v>
      </c>
      <c r="H37" s="100" t="n">
        <f aca="false">E37*'Plan-Annahmen'!$B$14+F37*'Plan-Annahmen'!$B$15</f>
        <v>0</v>
      </c>
      <c r="I37" s="100" t="n">
        <f aca="false">H37*('Plan-Annahmen'!$B$52+'Plan-Annahmen'!$B$53)</f>
        <v>0</v>
      </c>
      <c r="J37" s="100" t="n">
        <f aca="false">E37*('Plan-Annahmen'!$B$14*'Plan-Annahmen'!$B$18+'Plan-Annahmen'!$B$19)+F37*('Plan-Annahmen'!$B$15*'Plan-Annahmen'!$B$18+'Plan-Annahmen'!$B$19)</f>
        <v>0</v>
      </c>
      <c r="K37" s="100" t="n">
        <f aca="false">G37*'Plan-Annahmen'!$B$17/100</f>
        <v>0</v>
      </c>
      <c r="L37" s="100" t="n">
        <f aca="false">'Plan-Kunden'!D37*'Plan-Annahmen'!$B$15*'Plan-Annahmen'!$B$50</f>
        <v>0</v>
      </c>
      <c r="M37" s="100" t="n">
        <f aca="false">'Plan-Kosten'!N$61</f>
        <v>110.585515327626</v>
      </c>
      <c r="N37" s="100" t="n">
        <f aca="false">IF(A37&gt;=$O$35,'Plan-Kosten'!$F$71,0)</f>
        <v>0</v>
      </c>
      <c r="O37" s="100" t="n">
        <f aca="false">'Plan-Kosten'!N$58</f>
        <v>150</v>
      </c>
      <c r="P37" s="100" t="n">
        <f aca="false">IF(A37=$O$35,'Plan-Kosten'!$F$72,0)</f>
        <v>0</v>
      </c>
      <c r="Q37" s="67" t="n">
        <f aca="false">I37+J37+K37+L37+M37+N37+O37+P37</f>
        <v>260.585515327626</v>
      </c>
      <c r="R37" s="39" t="n">
        <f aca="false">H37-Q37</f>
        <v>-260.585515327626</v>
      </c>
      <c r="S37" s="100" t="n">
        <f aca="false">MAX(0,R37*'Plan-Annahmen'!$B$82)</f>
        <v>0</v>
      </c>
      <c r="T37" s="67" t="n">
        <f aca="false">R37-S37</f>
        <v>-260.585515327626</v>
      </c>
      <c r="U37" s="67" t="n">
        <f aca="false">T37</f>
        <v>-260.585515327626</v>
      </c>
      <c r="V37" s="100" t="n">
        <f aca="false">'Plan-Kosten'!N$59+IF(A37=$O$35,'Plan-Kosten'!$F$73,0)</f>
        <v>0</v>
      </c>
      <c r="W37" s="39" t="n">
        <f aca="false">U37-V37</f>
        <v>-260.585515327626</v>
      </c>
      <c r="X37" s="35" t="n">
        <f aca="false">IF(R37&gt;0,1,0)</f>
        <v>0</v>
      </c>
      <c r="Y37" s="78" t="n">
        <f aca="false">'Plan-Kunden'!P37</f>
        <v>29</v>
      </c>
      <c r="Z37" s="105" t="n">
        <f aca="false">'Plan-Kunden'!Q37</f>
        <v>0</v>
      </c>
      <c r="AA37" s="105" t="n">
        <f aca="false">IF(D37&gt;='Plan-Phase B'!$C$22,1,0)</f>
        <v>0</v>
      </c>
      <c r="AB37" s="105" t="n">
        <f aca="false">IF(D37&gt;='Plan-Phase B'!$D$22,1,0)</f>
        <v>0</v>
      </c>
      <c r="AC37" s="105" t="n">
        <f aca="false">IF(D37&gt;='Plan-Phase B'!$E$22,1,0)</f>
        <v>0</v>
      </c>
      <c r="AD37" s="35" t="n">
        <f aca="false">IF(AND(W37&gt;=0,A37&gt;$K$35),1,0)</f>
        <v>0</v>
      </c>
      <c r="AE37" s="35" t="n">
        <f aca="false">IF(A37&gt;=$O$35,1,0)</f>
        <v>0</v>
      </c>
    </row>
    <row r="38" customFormat="false" ht="15" hidden="false" customHeight="true" outlineLevel="0" collapsed="false">
      <c r="A38" s="35" t="n">
        <v>2</v>
      </c>
      <c r="B38" s="73" t="n">
        <f aca="false">'Plan-Kunden'!B38</f>
        <v>46296</v>
      </c>
      <c r="C38" s="78" t="n">
        <f aca="false">'Plan-Kunden'!E38</f>
        <v>0</v>
      </c>
      <c r="D38" s="78" t="n">
        <f aca="false">'Plan-Kunden'!K38</f>
        <v>0</v>
      </c>
      <c r="E38" s="78" t="n">
        <f aca="false">'Plan-Kunden'!I38</f>
        <v>0</v>
      </c>
      <c r="F38" s="78" t="n">
        <f aca="false">'Plan-Kunden'!J38</f>
        <v>0</v>
      </c>
      <c r="G38" s="104" t="n">
        <f aca="false">D38*'Plan-Annahmen'!$B$21</f>
        <v>0</v>
      </c>
      <c r="H38" s="100" t="n">
        <f aca="false">E38*'Plan-Annahmen'!$B$14+F38*'Plan-Annahmen'!$B$15</f>
        <v>0</v>
      </c>
      <c r="I38" s="100" t="n">
        <f aca="false">H38*('Plan-Annahmen'!$B$52+'Plan-Annahmen'!$B$53)</f>
        <v>0</v>
      </c>
      <c r="J38" s="100" t="n">
        <f aca="false">E38*('Plan-Annahmen'!$B$14*'Plan-Annahmen'!$B$18+'Plan-Annahmen'!$B$19)+F38*('Plan-Annahmen'!$B$15*'Plan-Annahmen'!$B$18+'Plan-Annahmen'!$B$19)</f>
        <v>0</v>
      </c>
      <c r="K38" s="100" t="n">
        <f aca="false">G38*'Plan-Annahmen'!$B$17/100</f>
        <v>0</v>
      </c>
      <c r="L38" s="100" t="n">
        <f aca="false">'Plan-Kunden'!D38*'Plan-Annahmen'!$B$15*'Plan-Annahmen'!$B$50</f>
        <v>0</v>
      </c>
      <c r="M38" s="100" t="n">
        <f aca="false">'Plan-Kosten'!O$61</f>
        <v>458.964425770308</v>
      </c>
      <c r="N38" s="100" t="n">
        <f aca="false">IF(A38&gt;=$O$35,'Plan-Kosten'!$F$71,0)</f>
        <v>0</v>
      </c>
      <c r="O38" s="100" t="n">
        <f aca="false">'Plan-Kosten'!O$58</f>
        <v>15</v>
      </c>
      <c r="P38" s="100" t="n">
        <f aca="false">IF(A38=$O$35,'Plan-Kosten'!$F$72,0)</f>
        <v>0</v>
      </c>
      <c r="Q38" s="67" t="n">
        <f aca="false">I38+J38+K38+L38+M38+N38+O38+P38</f>
        <v>473.964425770308</v>
      </c>
      <c r="R38" s="39" t="n">
        <f aca="false">H38-Q38</f>
        <v>-473.964425770308</v>
      </c>
      <c r="S38" s="100" t="n">
        <f aca="false">MAX(0,R38*'Plan-Annahmen'!$B$82)</f>
        <v>0</v>
      </c>
      <c r="T38" s="67" t="n">
        <f aca="false">R38-S38</f>
        <v>-473.964425770308</v>
      </c>
      <c r="U38" s="67" t="n">
        <f aca="false">U37+T38</f>
        <v>-734.549941097935</v>
      </c>
      <c r="V38" s="100" t="n">
        <f aca="false">V37+'Plan-Kosten'!O$59+IF(A38=$O$35,'Plan-Kosten'!$F$73,0)</f>
        <v>0</v>
      </c>
      <c r="W38" s="39" t="n">
        <f aca="false">U38-V38</f>
        <v>-734.549941097935</v>
      </c>
      <c r="X38" s="35" t="n">
        <f aca="false">IF(R38&gt;0,1,0)</f>
        <v>0</v>
      </c>
      <c r="Y38" s="78" t="n">
        <f aca="false">'Plan-Kunden'!P38</f>
        <v>43</v>
      </c>
      <c r="Z38" s="105" t="n">
        <f aca="false">'Plan-Kunden'!Q38</f>
        <v>0</v>
      </c>
      <c r="AA38" s="105" t="n">
        <f aca="false">IF(D38&gt;='Plan-Phase B'!$C$22,1,0)</f>
        <v>0</v>
      </c>
      <c r="AB38" s="105" t="n">
        <f aca="false">IF(D38&gt;='Plan-Phase B'!$D$22,1,0)</f>
        <v>0</v>
      </c>
      <c r="AC38" s="105" t="n">
        <f aca="false">IF(D38&gt;='Plan-Phase B'!$E$22,1,0)</f>
        <v>0</v>
      </c>
      <c r="AD38" s="35" t="n">
        <f aca="false">IF(AND(W38&gt;=0,A38&gt;$K$35),1,0)</f>
        <v>0</v>
      </c>
      <c r="AE38" s="35" t="n">
        <f aca="false">IF(A38&gt;=$O$35,1,0)</f>
        <v>0</v>
      </c>
    </row>
    <row r="39" customFormat="false" ht="15" hidden="false" customHeight="true" outlineLevel="0" collapsed="false">
      <c r="A39" s="35" t="n">
        <v>3</v>
      </c>
      <c r="B39" s="73" t="n">
        <f aca="false">'Plan-Kunden'!B39</f>
        <v>46327</v>
      </c>
      <c r="C39" s="78" t="n">
        <f aca="false">'Plan-Kunden'!E39</f>
        <v>0</v>
      </c>
      <c r="D39" s="78" t="n">
        <f aca="false">'Plan-Kunden'!K39</f>
        <v>0</v>
      </c>
      <c r="E39" s="78" t="n">
        <f aca="false">'Plan-Kunden'!I39</f>
        <v>0</v>
      </c>
      <c r="F39" s="78" t="n">
        <f aca="false">'Plan-Kunden'!J39</f>
        <v>0</v>
      </c>
      <c r="G39" s="104" t="n">
        <f aca="false">D39*'Plan-Annahmen'!$B$21</f>
        <v>0</v>
      </c>
      <c r="H39" s="100" t="n">
        <f aca="false">E39*'Plan-Annahmen'!$B$14+F39*'Plan-Annahmen'!$B$15</f>
        <v>0</v>
      </c>
      <c r="I39" s="100" t="n">
        <f aca="false">H39*('Plan-Annahmen'!$B$52+'Plan-Annahmen'!$B$53)</f>
        <v>0</v>
      </c>
      <c r="J39" s="100" t="n">
        <f aca="false">E39*('Plan-Annahmen'!$B$14*'Plan-Annahmen'!$B$18+'Plan-Annahmen'!$B$19)+F39*('Plan-Annahmen'!$B$15*'Plan-Annahmen'!$B$18+'Plan-Annahmen'!$B$19)</f>
        <v>0</v>
      </c>
      <c r="K39" s="100" t="n">
        <f aca="false">G39*'Plan-Annahmen'!$B$17/100</f>
        <v>0</v>
      </c>
      <c r="L39" s="100" t="n">
        <f aca="false">'Plan-Kunden'!D39*'Plan-Annahmen'!$B$15*'Plan-Annahmen'!$B$50</f>
        <v>0</v>
      </c>
      <c r="M39" s="100" t="n">
        <f aca="false">'Plan-Kosten'!P$61</f>
        <v>232.297759103641</v>
      </c>
      <c r="N39" s="100" t="n">
        <f aca="false">IF(A39&gt;=$O$35,'Plan-Kosten'!$F$71,0)</f>
        <v>0</v>
      </c>
      <c r="O39" s="100" t="n">
        <f aca="false">'Plan-Kosten'!P$58</f>
        <v>1500</v>
      </c>
      <c r="P39" s="100" t="n">
        <f aca="false">IF(A39=$O$35,'Plan-Kosten'!$F$72,0)</f>
        <v>0</v>
      </c>
      <c r="Q39" s="67" t="n">
        <f aca="false">I39+J39+K39+L39+M39+N39+O39+P39</f>
        <v>1732.29775910364</v>
      </c>
      <c r="R39" s="39" t="n">
        <f aca="false">H39-Q39</f>
        <v>-1732.29775910364</v>
      </c>
      <c r="S39" s="100" t="n">
        <f aca="false">MAX(0,R39*'Plan-Annahmen'!$B$82)</f>
        <v>0</v>
      </c>
      <c r="T39" s="67" t="n">
        <f aca="false">R39-S39</f>
        <v>-1732.29775910364</v>
      </c>
      <c r="U39" s="67" t="n">
        <f aca="false">U38+T39</f>
        <v>-2466.84770020158</v>
      </c>
      <c r="V39" s="100" t="n">
        <f aca="false">V38+'Plan-Kosten'!P$59+IF(A39=$O$35,'Plan-Kosten'!$F$73,0)</f>
        <v>0</v>
      </c>
      <c r="W39" s="39" t="n">
        <f aca="false">U39-V39</f>
        <v>-2466.84770020158</v>
      </c>
      <c r="X39" s="35" t="n">
        <f aca="false">IF(R39&gt;0,1,0)</f>
        <v>0</v>
      </c>
      <c r="Y39" s="78" t="n">
        <f aca="false">'Plan-Kunden'!P39</f>
        <v>30</v>
      </c>
      <c r="Z39" s="105" t="n">
        <f aca="false">'Plan-Kunden'!Q39</f>
        <v>0</v>
      </c>
      <c r="AA39" s="105" t="n">
        <f aca="false">IF(D39&gt;='Plan-Phase B'!$C$22,1,0)</f>
        <v>0</v>
      </c>
      <c r="AB39" s="105" t="n">
        <f aca="false">IF(D39&gt;='Plan-Phase B'!$D$22,1,0)</f>
        <v>0</v>
      </c>
      <c r="AC39" s="105" t="n">
        <f aca="false">IF(D39&gt;='Plan-Phase B'!$E$22,1,0)</f>
        <v>0</v>
      </c>
      <c r="AD39" s="35" t="n">
        <f aca="false">IF(AND(W39&gt;=0,A39&gt;$K$35),1,0)</f>
        <v>0</v>
      </c>
      <c r="AE39" s="35" t="n">
        <f aca="false">IF(A39&gt;=$O$35,1,0)</f>
        <v>0</v>
      </c>
    </row>
    <row r="40" customFormat="false" ht="15" hidden="false" customHeight="true" outlineLevel="0" collapsed="false">
      <c r="A40" s="35" t="n">
        <v>4</v>
      </c>
      <c r="B40" s="73" t="n">
        <f aca="false">'Plan-Kunden'!B40</f>
        <v>46357</v>
      </c>
      <c r="C40" s="78" t="n">
        <f aca="false">'Plan-Kunden'!E40</f>
        <v>1</v>
      </c>
      <c r="D40" s="78" t="n">
        <f aca="false">'Plan-Kunden'!K40</f>
        <v>1</v>
      </c>
      <c r="E40" s="78" t="n">
        <f aca="false">'Plan-Kunden'!I40</f>
        <v>1</v>
      </c>
      <c r="F40" s="78" t="n">
        <f aca="false">'Plan-Kunden'!J40</f>
        <v>0</v>
      </c>
      <c r="G40" s="104" t="n">
        <f aca="false">D40*'Plan-Annahmen'!$B$21</f>
        <v>8</v>
      </c>
      <c r="H40" s="100" t="n">
        <f aca="false">E40*'Plan-Annahmen'!$B$14+F40*'Plan-Annahmen'!$B$15</f>
        <v>29</v>
      </c>
      <c r="I40" s="100" t="n">
        <f aca="false">H40*('Plan-Annahmen'!$B$52+'Plan-Annahmen'!$B$53)</f>
        <v>0.87</v>
      </c>
      <c r="J40" s="100" t="n">
        <f aca="false">E40*('Plan-Annahmen'!$B$14*'Plan-Annahmen'!$B$18+'Plan-Annahmen'!$B$19)+F40*('Plan-Annahmen'!$B$15*'Plan-Annahmen'!$B$18+'Plan-Annahmen'!$B$19)</f>
        <v>0.685</v>
      </c>
      <c r="K40" s="100" t="n">
        <f aca="false">G40*'Plan-Annahmen'!$B$17/100</f>
        <v>0.2</v>
      </c>
      <c r="L40" s="100" t="n">
        <f aca="false">'Plan-Kunden'!D40*'Plan-Annahmen'!$B$15*'Plan-Annahmen'!$B$50</f>
        <v>0</v>
      </c>
      <c r="M40" s="100" t="n">
        <f aca="false">'Plan-Kosten'!Q$61</f>
        <v>252.297759103641</v>
      </c>
      <c r="N40" s="100" t="n">
        <f aca="false">IF(A40&gt;=$O$35,'Plan-Kosten'!$F$71,0)</f>
        <v>0</v>
      </c>
      <c r="O40" s="100" t="n">
        <f aca="false">'Plan-Kosten'!Q$58</f>
        <v>290</v>
      </c>
      <c r="P40" s="100" t="n">
        <f aca="false">IF(A40=$O$35,'Plan-Kosten'!$F$72,0)</f>
        <v>0</v>
      </c>
      <c r="Q40" s="67" t="n">
        <f aca="false">I40+J40+K40+L40+M40+N40+O40+P40</f>
        <v>544.052759103641</v>
      </c>
      <c r="R40" s="39" t="n">
        <f aca="false">H40-Q40</f>
        <v>-515.052759103641</v>
      </c>
      <c r="S40" s="100" t="n">
        <f aca="false">MAX(0,R40*'Plan-Annahmen'!$B$82)</f>
        <v>0</v>
      </c>
      <c r="T40" s="67" t="n">
        <f aca="false">R40-S40</f>
        <v>-515.052759103641</v>
      </c>
      <c r="U40" s="67" t="n">
        <f aca="false">U39+T40</f>
        <v>-2981.90045930522</v>
      </c>
      <c r="V40" s="100" t="n">
        <f aca="false">V39+'Plan-Kosten'!Q$59+IF(A40=$O$35,'Plan-Kosten'!$F$73,0)</f>
        <v>0</v>
      </c>
      <c r="W40" s="39" t="n">
        <f aca="false">U40-V40</f>
        <v>-2981.90045930522</v>
      </c>
      <c r="X40" s="35" t="n">
        <f aca="false">IF(R40&gt;0,1,0)</f>
        <v>0</v>
      </c>
      <c r="Y40" s="78" t="n">
        <f aca="false">'Plan-Kunden'!P40</f>
        <v>41.3</v>
      </c>
      <c r="Z40" s="105" t="n">
        <f aca="false">'Plan-Kunden'!Q40</f>
        <v>0</v>
      </c>
      <c r="AA40" s="105" t="n">
        <f aca="false">IF(D40&gt;='Plan-Phase B'!$C$22,1,0)</f>
        <v>0</v>
      </c>
      <c r="AB40" s="105" t="n">
        <f aca="false">IF(D40&gt;='Plan-Phase B'!$D$22,1,0)</f>
        <v>0</v>
      </c>
      <c r="AC40" s="105" t="n">
        <f aca="false">IF(D40&gt;='Plan-Phase B'!$E$22,1,0)</f>
        <v>0</v>
      </c>
      <c r="AD40" s="35" t="n">
        <f aca="false">IF(AND(W40&gt;=0,A40&gt;$K$35),1,0)</f>
        <v>0</v>
      </c>
      <c r="AE40" s="35" t="n">
        <f aca="false">IF(A40&gt;=$O$35,1,0)</f>
        <v>0</v>
      </c>
    </row>
    <row r="41" customFormat="false" ht="15" hidden="false" customHeight="true" outlineLevel="0" collapsed="false">
      <c r="A41" s="35" t="n">
        <v>5</v>
      </c>
      <c r="B41" s="73" t="n">
        <f aca="false">'Plan-Kunden'!B41</f>
        <v>46388</v>
      </c>
      <c r="C41" s="78" t="n">
        <f aca="false">'Plan-Kunden'!E41</f>
        <v>1.5</v>
      </c>
      <c r="D41" s="78" t="n">
        <f aca="false">'Plan-Kunden'!K41</f>
        <v>2.485</v>
      </c>
      <c r="E41" s="78" t="n">
        <f aca="false">'Plan-Kunden'!I41</f>
        <v>2.485</v>
      </c>
      <c r="F41" s="78" t="n">
        <f aca="false">'Plan-Kunden'!J41</f>
        <v>0</v>
      </c>
      <c r="G41" s="104" t="n">
        <f aca="false">D41*'Plan-Annahmen'!$B$21</f>
        <v>19.88</v>
      </c>
      <c r="H41" s="100" t="n">
        <f aca="false">E41*'Plan-Annahmen'!$B$14+F41*'Plan-Annahmen'!$B$15</f>
        <v>72.065</v>
      </c>
      <c r="I41" s="100" t="n">
        <f aca="false">H41*('Plan-Annahmen'!$B$52+'Plan-Annahmen'!$B$53)</f>
        <v>2.16195</v>
      </c>
      <c r="J41" s="100" t="n">
        <f aca="false">E41*('Plan-Annahmen'!$B$14*'Plan-Annahmen'!$B$18+'Plan-Annahmen'!$B$19)+F41*('Plan-Annahmen'!$B$15*'Plan-Annahmen'!$B$18+'Plan-Annahmen'!$B$19)</f>
        <v>1.702225</v>
      </c>
      <c r="K41" s="100" t="n">
        <f aca="false">G41*'Plan-Annahmen'!$B$17/100</f>
        <v>0.497</v>
      </c>
      <c r="L41" s="100" t="n">
        <f aca="false">'Plan-Kunden'!D41*'Plan-Annahmen'!$B$15*'Plan-Annahmen'!$B$50</f>
        <v>0</v>
      </c>
      <c r="M41" s="100" t="n">
        <f aca="false">'Plan-Kosten'!R$61</f>
        <v>252.297759103641</v>
      </c>
      <c r="N41" s="100" t="n">
        <f aca="false">IF(A41&gt;=$O$35,'Plan-Kosten'!$F$71,0)</f>
        <v>0</v>
      </c>
      <c r="O41" s="100" t="n">
        <f aca="false">'Plan-Kosten'!R$58</f>
        <v>0</v>
      </c>
      <c r="P41" s="100" t="n">
        <f aca="false">IF(A41=$O$35,'Plan-Kosten'!$F$72,0)</f>
        <v>0</v>
      </c>
      <c r="Q41" s="67" t="n">
        <f aca="false">I41+J41+K41+L41+M41+N41+O41+P41</f>
        <v>256.658934103641</v>
      </c>
      <c r="R41" s="39" t="n">
        <f aca="false">H41-Q41</f>
        <v>-184.593934103641</v>
      </c>
      <c r="S41" s="100" t="n">
        <f aca="false">MAX(0,R41*'Plan-Annahmen'!$B$82)</f>
        <v>0</v>
      </c>
      <c r="T41" s="67" t="n">
        <f aca="false">R41-S41</f>
        <v>-184.593934103641</v>
      </c>
      <c r="U41" s="67" t="n">
        <f aca="false">U40+T41</f>
        <v>-3166.49439340886</v>
      </c>
      <c r="V41" s="100" t="n">
        <f aca="false">V40+'Plan-Kosten'!R$59+IF(A41=$O$35,'Plan-Kosten'!$F$73,0)</f>
        <v>1000</v>
      </c>
      <c r="W41" s="39" t="n">
        <f aca="false">U41-V41</f>
        <v>-4166.49439340886</v>
      </c>
      <c r="X41" s="35" t="n">
        <f aca="false">IF(R41&gt;0,1,0)</f>
        <v>0</v>
      </c>
      <c r="Y41" s="78" t="n">
        <f aca="false">'Plan-Kunden'!P41</f>
        <v>43.2455</v>
      </c>
      <c r="Z41" s="105" t="n">
        <f aca="false">'Plan-Kunden'!Q41</f>
        <v>0</v>
      </c>
      <c r="AA41" s="105" t="n">
        <f aca="false">IF(D41&gt;='Plan-Phase B'!$C$22,1,0)</f>
        <v>0</v>
      </c>
      <c r="AB41" s="105" t="n">
        <f aca="false">IF(D41&gt;='Plan-Phase B'!$D$22,1,0)</f>
        <v>0</v>
      </c>
      <c r="AC41" s="105" t="n">
        <f aca="false">IF(D41&gt;='Plan-Phase B'!$E$22,1,0)</f>
        <v>0</v>
      </c>
      <c r="AD41" s="35" t="n">
        <f aca="false">IF(AND(W41&gt;=0,A41&gt;$K$35),1,0)</f>
        <v>0</v>
      </c>
      <c r="AE41" s="35" t="n">
        <f aca="false">IF(A41&gt;=$O$35,1,0)</f>
        <v>0</v>
      </c>
    </row>
    <row r="42" customFormat="false" ht="15" hidden="false" customHeight="true" outlineLevel="0" collapsed="false">
      <c r="A42" s="35" t="n">
        <v>6</v>
      </c>
      <c r="B42" s="73" t="n">
        <f aca="false">'Plan-Kunden'!B42</f>
        <v>46419</v>
      </c>
      <c r="C42" s="78" t="n">
        <f aca="false">'Plan-Kunden'!E42</f>
        <v>2.5</v>
      </c>
      <c r="D42" s="78" t="n">
        <f aca="false">'Plan-Kunden'!K42</f>
        <v>4.947725</v>
      </c>
      <c r="E42" s="78" t="n">
        <f aca="false">'Plan-Kunden'!I42</f>
        <v>4.947725</v>
      </c>
      <c r="F42" s="78" t="n">
        <f aca="false">'Plan-Kunden'!J42</f>
        <v>0</v>
      </c>
      <c r="G42" s="104" t="n">
        <f aca="false">D42*'Plan-Annahmen'!$B$21</f>
        <v>39.5818</v>
      </c>
      <c r="H42" s="100" t="n">
        <f aca="false">E42*'Plan-Annahmen'!$B$14+F42*'Plan-Annahmen'!$B$15</f>
        <v>143.484025</v>
      </c>
      <c r="I42" s="100" t="n">
        <f aca="false">H42*('Plan-Annahmen'!$B$52+'Plan-Annahmen'!$B$53)</f>
        <v>4.30452075</v>
      </c>
      <c r="J42" s="100" t="n">
        <f aca="false">E42*('Plan-Annahmen'!$B$14*'Plan-Annahmen'!$B$18+'Plan-Annahmen'!$B$19)+F42*('Plan-Annahmen'!$B$15*'Plan-Annahmen'!$B$18+'Plan-Annahmen'!$B$19)</f>
        <v>3.389191625</v>
      </c>
      <c r="K42" s="100" t="n">
        <f aca="false">G42*'Plan-Annahmen'!$B$17/100</f>
        <v>0.989545</v>
      </c>
      <c r="L42" s="100" t="n">
        <f aca="false">'Plan-Kunden'!D42*'Plan-Annahmen'!$B$15*'Plan-Annahmen'!$B$50</f>
        <v>0</v>
      </c>
      <c r="M42" s="100" t="n">
        <f aca="false">'Plan-Kosten'!S$61</f>
        <v>252.297759103641</v>
      </c>
      <c r="N42" s="100" t="n">
        <f aca="false">IF(A42&gt;=$O$35,'Plan-Kosten'!$F$71,0)</f>
        <v>0</v>
      </c>
      <c r="O42" s="100" t="n">
        <f aca="false">'Plan-Kosten'!S$58</f>
        <v>0</v>
      </c>
      <c r="P42" s="100" t="n">
        <f aca="false">IF(A42=$O$35,'Plan-Kosten'!$F$72,0)</f>
        <v>0</v>
      </c>
      <c r="Q42" s="67" t="n">
        <f aca="false">I42+J42+K42+L42+M42+N42+O42+P42</f>
        <v>260.981016478641</v>
      </c>
      <c r="R42" s="39" t="n">
        <f aca="false">H42-Q42</f>
        <v>-117.496991478641</v>
      </c>
      <c r="S42" s="100" t="n">
        <f aca="false">MAX(0,R42*'Plan-Annahmen'!$B$82)</f>
        <v>0</v>
      </c>
      <c r="T42" s="67" t="n">
        <f aca="false">R42-S42</f>
        <v>-117.496991478641</v>
      </c>
      <c r="U42" s="67" t="n">
        <f aca="false">U41+T42</f>
        <v>-3283.9913848875</v>
      </c>
      <c r="V42" s="100" t="n">
        <f aca="false">V41+'Plan-Kosten'!S$59+IF(A42=$O$35,'Plan-Kosten'!$F$73,0)</f>
        <v>1000</v>
      </c>
      <c r="W42" s="39" t="n">
        <f aca="false">U42-V42</f>
        <v>-4283.9913848875</v>
      </c>
      <c r="X42" s="35" t="n">
        <f aca="false">IF(R42&gt;0,1,0)</f>
        <v>0</v>
      </c>
      <c r="Y42" s="78" t="n">
        <f aca="false">'Plan-Kunden'!P42</f>
        <v>44.9843175</v>
      </c>
      <c r="Z42" s="105" t="n">
        <f aca="false">'Plan-Kunden'!Q42</f>
        <v>0</v>
      </c>
      <c r="AA42" s="105" t="n">
        <f aca="false">IF(D42&gt;='Plan-Phase B'!$C$22,1,0)</f>
        <v>0</v>
      </c>
      <c r="AB42" s="105" t="n">
        <f aca="false">IF(D42&gt;='Plan-Phase B'!$D$22,1,0)</f>
        <v>0</v>
      </c>
      <c r="AC42" s="105" t="n">
        <f aca="false">IF(D42&gt;='Plan-Phase B'!$E$22,1,0)</f>
        <v>0</v>
      </c>
      <c r="AD42" s="35" t="n">
        <f aca="false">IF(AND(W42&gt;=0,A42&gt;$K$35),1,0)</f>
        <v>0</v>
      </c>
      <c r="AE42" s="35" t="n">
        <f aca="false">IF(A42&gt;=$O$35,1,0)</f>
        <v>0</v>
      </c>
    </row>
    <row r="43" customFormat="false" ht="15" hidden="false" customHeight="true" outlineLevel="0" collapsed="false">
      <c r="A43" s="35" t="n">
        <v>7</v>
      </c>
      <c r="B43" s="73" t="n">
        <f aca="false">'Plan-Kunden'!B43</f>
        <v>46447</v>
      </c>
      <c r="C43" s="78" t="n">
        <f aca="false">'Plan-Kunden'!E43</f>
        <v>2.00833333333333</v>
      </c>
      <c r="D43" s="78" t="n">
        <f aca="false">'Plan-Kunden'!K43</f>
        <v>6.88184245833333</v>
      </c>
      <c r="E43" s="78" t="n">
        <f aca="false">'Plan-Kunden'!I43</f>
        <v>6.88184245833333</v>
      </c>
      <c r="F43" s="78" t="n">
        <f aca="false">'Plan-Kunden'!J43</f>
        <v>0</v>
      </c>
      <c r="G43" s="104" t="n">
        <f aca="false">D43*'Plan-Annahmen'!$B$21</f>
        <v>55.0547396666667</v>
      </c>
      <c r="H43" s="100" t="n">
        <f aca="false">E43*'Plan-Annahmen'!$B$14+F43*'Plan-Annahmen'!$B$15</f>
        <v>199.573431291667</v>
      </c>
      <c r="I43" s="100" t="n">
        <f aca="false">H43*('Plan-Annahmen'!$B$52+'Plan-Annahmen'!$B$53)</f>
        <v>5.98720293875</v>
      </c>
      <c r="J43" s="100" t="n">
        <f aca="false">E43*('Plan-Annahmen'!$B$14*'Plan-Annahmen'!$B$18+'Plan-Annahmen'!$B$19)+F43*('Plan-Annahmen'!$B$15*'Plan-Annahmen'!$B$18+'Plan-Annahmen'!$B$19)</f>
        <v>4.71406208395833</v>
      </c>
      <c r="K43" s="100" t="n">
        <f aca="false">G43*'Plan-Annahmen'!$B$17/100</f>
        <v>1.37636849166667</v>
      </c>
      <c r="L43" s="100" t="n">
        <f aca="false">'Plan-Kunden'!D43*'Plan-Annahmen'!$B$15*'Plan-Annahmen'!$B$50</f>
        <v>0</v>
      </c>
      <c r="M43" s="100" t="n">
        <f aca="false">'Plan-Kosten'!T$61</f>
        <v>288.432212885154</v>
      </c>
      <c r="N43" s="100" t="n">
        <f aca="false">IF(A43&gt;=$O$35,'Plan-Kosten'!$F$71,0)</f>
        <v>0</v>
      </c>
      <c r="O43" s="100" t="n">
        <f aca="false">'Plan-Kosten'!T$58</f>
        <v>0</v>
      </c>
      <c r="P43" s="100" t="n">
        <f aca="false">IF(A43=$O$35,'Plan-Kosten'!$F$72,0)</f>
        <v>0</v>
      </c>
      <c r="Q43" s="67" t="n">
        <f aca="false">I43+J43+K43+L43+M43+N43+O43+P43</f>
        <v>300.509846399529</v>
      </c>
      <c r="R43" s="39" t="n">
        <f aca="false">H43-Q43</f>
        <v>-100.936415107862</v>
      </c>
      <c r="S43" s="100" t="n">
        <f aca="false">MAX(0,R43*'Plan-Annahmen'!$B$82)</f>
        <v>0</v>
      </c>
      <c r="T43" s="67" t="n">
        <f aca="false">R43-S43</f>
        <v>-100.936415107862</v>
      </c>
      <c r="U43" s="67" t="n">
        <f aca="false">U42+T43</f>
        <v>-3384.92779999536</v>
      </c>
      <c r="V43" s="100" t="n">
        <f aca="false">V42+'Plan-Kosten'!T$59+IF(A43=$O$35,'Plan-Kosten'!$F$73,0)</f>
        <v>1000</v>
      </c>
      <c r="W43" s="39" t="n">
        <f aca="false">U43-V43</f>
        <v>-4384.92779999536</v>
      </c>
      <c r="X43" s="35" t="n">
        <f aca="false">IF(R43&gt;0,1,0)</f>
        <v>0</v>
      </c>
      <c r="Y43" s="78" t="n">
        <f aca="false">'Plan-Kunden'!P43</f>
        <v>45.5728860708333</v>
      </c>
      <c r="Z43" s="105" t="n">
        <f aca="false">'Plan-Kunden'!Q43</f>
        <v>0</v>
      </c>
      <c r="AA43" s="105" t="n">
        <f aca="false">IF(D43&gt;='Plan-Phase B'!$C$22,1,0)</f>
        <v>0</v>
      </c>
      <c r="AB43" s="105" t="n">
        <f aca="false">IF(D43&gt;='Plan-Phase B'!$D$22,1,0)</f>
        <v>0</v>
      </c>
      <c r="AC43" s="105" t="n">
        <f aca="false">IF(D43&gt;='Plan-Phase B'!$E$22,1,0)</f>
        <v>0</v>
      </c>
      <c r="AD43" s="35" t="n">
        <f aca="false">IF(AND(W43&gt;=0,A43&gt;$K$35),1,0)</f>
        <v>0</v>
      </c>
      <c r="AE43" s="35" t="n">
        <f aca="false">IF(A43&gt;=$O$35,1,0)</f>
        <v>0</v>
      </c>
    </row>
    <row r="44" customFormat="false" ht="15" hidden="false" customHeight="true" outlineLevel="0" collapsed="false">
      <c r="A44" s="35" t="n">
        <v>8</v>
      </c>
      <c r="B44" s="73" t="n">
        <f aca="false">'Plan-Kunden'!B44</f>
        <v>46478</v>
      </c>
      <c r="C44" s="78" t="n">
        <f aca="false">'Plan-Kunden'!E44</f>
        <v>2.02070833333333</v>
      </c>
      <c r="D44" s="78" t="n">
        <f aca="false">'Plan-Kunden'!K44</f>
        <v>8.79932315479167</v>
      </c>
      <c r="E44" s="78" t="n">
        <f aca="false">'Plan-Kunden'!I44</f>
        <v>8.79932315479167</v>
      </c>
      <c r="F44" s="78" t="n">
        <f aca="false">'Plan-Kunden'!J44</f>
        <v>0</v>
      </c>
      <c r="G44" s="104" t="n">
        <f aca="false">D44*'Plan-Annahmen'!$B$21</f>
        <v>70.3945852383333</v>
      </c>
      <c r="H44" s="100" t="n">
        <f aca="false">E44*'Plan-Annahmen'!$B$14+F44*'Plan-Annahmen'!$B$15</f>
        <v>255.180371488958</v>
      </c>
      <c r="I44" s="100" t="n">
        <f aca="false">H44*('Plan-Annahmen'!$B$52+'Plan-Annahmen'!$B$53)</f>
        <v>7.65541114466875</v>
      </c>
      <c r="J44" s="100" t="n">
        <f aca="false">E44*('Plan-Annahmen'!$B$14*'Plan-Annahmen'!$B$18+'Plan-Annahmen'!$B$19)+F44*('Plan-Annahmen'!$B$15*'Plan-Annahmen'!$B$18+'Plan-Annahmen'!$B$19)</f>
        <v>6.02753636103229</v>
      </c>
      <c r="K44" s="100" t="n">
        <f aca="false">G44*'Plan-Annahmen'!$B$17/100</f>
        <v>1.75986463095833</v>
      </c>
      <c r="L44" s="100" t="n">
        <f aca="false">'Plan-Kunden'!D44*'Plan-Annahmen'!$B$15*'Plan-Annahmen'!$B$50</f>
        <v>0</v>
      </c>
      <c r="M44" s="100" t="n">
        <f aca="false">'Plan-Kosten'!U$61</f>
        <v>388.432212885154</v>
      </c>
      <c r="N44" s="100" t="n">
        <f aca="false">IF(A44&gt;=$O$35,'Plan-Kosten'!$F$71,0)</f>
        <v>0</v>
      </c>
      <c r="O44" s="100" t="n">
        <f aca="false">'Plan-Kosten'!U$58</f>
        <v>0</v>
      </c>
      <c r="P44" s="100" t="n">
        <f aca="false">IF(A44=$O$35,'Plan-Kosten'!$F$72,0)</f>
        <v>0</v>
      </c>
      <c r="Q44" s="67" t="n">
        <f aca="false">I44+J44+K44+L44+M44+N44+O44+P44</f>
        <v>403.875025021813</v>
      </c>
      <c r="R44" s="39" t="n">
        <f aca="false">H44-Q44</f>
        <v>-148.694653532855</v>
      </c>
      <c r="S44" s="100" t="n">
        <f aca="false">MAX(0,R44*'Plan-Annahmen'!$B$82)</f>
        <v>0</v>
      </c>
      <c r="T44" s="67" t="n">
        <f aca="false">R44-S44</f>
        <v>-148.694653532855</v>
      </c>
      <c r="U44" s="67" t="n">
        <f aca="false">U43+T44</f>
        <v>-3533.62245352822</v>
      </c>
      <c r="V44" s="100" t="n">
        <f aca="false">V43+'Plan-Kosten'!U$59+IF(A44=$O$35,'Plan-Kosten'!$F$73,0)</f>
        <v>1000</v>
      </c>
      <c r="W44" s="39" t="n">
        <f aca="false">U44-V44</f>
        <v>-4533.62245352822</v>
      </c>
      <c r="X44" s="35" t="n">
        <f aca="false">IF(R44&gt;0,1,0)</f>
        <v>0</v>
      </c>
      <c r="Y44" s="78" t="n">
        <f aca="false">'Plan-Kunden'!P44</f>
        <v>50.1605052797708</v>
      </c>
      <c r="Z44" s="105" t="n">
        <f aca="false">'Plan-Kunden'!Q44</f>
        <v>0</v>
      </c>
      <c r="AA44" s="105" t="n">
        <f aca="false">IF(D44&gt;='Plan-Phase B'!$C$22,1,0)</f>
        <v>0</v>
      </c>
      <c r="AB44" s="105" t="n">
        <f aca="false">IF(D44&gt;='Plan-Phase B'!$D$22,1,0)</f>
        <v>0</v>
      </c>
      <c r="AC44" s="105" t="n">
        <f aca="false">IF(D44&gt;='Plan-Phase B'!$E$22,1,0)</f>
        <v>0</v>
      </c>
      <c r="AD44" s="35" t="n">
        <f aca="false">IF(AND(W44&gt;=0,A44&gt;$K$35),1,0)</f>
        <v>0</v>
      </c>
      <c r="AE44" s="35" t="n">
        <f aca="false">IF(A44&gt;=$O$35,1,0)</f>
        <v>0</v>
      </c>
    </row>
    <row r="45" customFormat="false" ht="15" hidden="false" customHeight="true" outlineLevel="0" collapsed="false">
      <c r="A45" s="35" t="n">
        <v>9</v>
      </c>
      <c r="B45" s="73" t="n">
        <f aca="false">'Plan-Kunden'!B45</f>
        <v>46508</v>
      </c>
      <c r="C45" s="78" t="n">
        <f aca="false">'Plan-Kunden'!E45</f>
        <v>1.29123104166667</v>
      </c>
      <c r="D45" s="78" t="n">
        <f aca="false">'Plan-Kunden'!K45</f>
        <v>9.95856434913646</v>
      </c>
      <c r="E45" s="78" t="n">
        <f aca="false">'Plan-Kunden'!I45</f>
        <v>9.95856434913646</v>
      </c>
      <c r="F45" s="78" t="n">
        <f aca="false">'Plan-Kunden'!J45</f>
        <v>0</v>
      </c>
      <c r="G45" s="104" t="n">
        <f aca="false">D45*'Plan-Annahmen'!$B$21</f>
        <v>79.6685147930917</v>
      </c>
      <c r="H45" s="100" t="n">
        <f aca="false">E45*'Plan-Annahmen'!$B$14+F45*'Plan-Annahmen'!$B$15</f>
        <v>288.798366124957</v>
      </c>
      <c r="I45" s="100" t="n">
        <f aca="false">H45*('Plan-Annahmen'!$B$52+'Plan-Annahmen'!$B$53)</f>
        <v>8.66395098374872</v>
      </c>
      <c r="J45" s="100" t="n">
        <f aca="false">E45*('Plan-Annahmen'!$B$14*'Plan-Annahmen'!$B$18+'Plan-Annahmen'!$B$19)+F45*('Plan-Annahmen'!$B$15*'Plan-Annahmen'!$B$18+'Plan-Annahmen'!$B$19)</f>
        <v>6.82161657915847</v>
      </c>
      <c r="K45" s="100" t="n">
        <f aca="false">G45*'Plan-Annahmen'!$B$17/100</f>
        <v>1.99171286982729</v>
      </c>
      <c r="L45" s="100" t="n">
        <f aca="false">'Plan-Kunden'!D45*'Plan-Annahmen'!$B$15*'Plan-Annahmen'!$B$50</f>
        <v>0</v>
      </c>
      <c r="M45" s="100" t="n">
        <f aca="false">'Plan-Kosten'!V$61</f>
        <v>288.432212885154</v>
      </c>
      <c r="N45" s="100" t="n">
        <f aca="false">IF(A45&gt;=$O$35,'Plan-Kosten'!$F$71,0)</f>
        <v>0</v>
      </c>
      <c r="O45" s="100" t="n">
        <f aca="false">'Plan-Kosten'!V$58</f>
        <v>0</v>
      </c>
      <c r="P45" s="100" t="n">
        <f aca="false">IF(A45=$O$35,'Plan-Kosten'!$F$72,0)</f>
        <v>0</v>
      </c>
      <c r="Q45" s="67" t="n">
        <f aca="false">I45+J45+K45+L45+M45+N45+O45+P45</f>
        <v>305.909493317889</v>
      </c>
      <c r="R45" s="39" t="n">
        <f aca="false">H45-Q45</f>
        <v>-17.1111271929313</v>
      </c>
      <c r="S45" s="100" t="n">
        <f aca="false">MAX(0,R45*'Plan-Annahmen'!$B$82)</f>
        <v>0</v>
      </c>
      <c r="T45" s="67" t="n">
        <f aca="false">R45-S45</f>
        <v>-17.1111271929313</v>
      </c>
      <c r="U45" s="67" t="n">
        <f aca="false">U44+T45</f>
        <v>-3550.73358072115</v>
      </c>
      <c r="V45" s="100" t="n">
        <f aca="false">V44+'Plan-Kosten'!V$59+IF(A45=$O$35,'Plan-Kosten'!$F$73,0)</f>
        <v>1000</v>
      </c>
      <c r="W45" s="39" t="n">
        <f aca="false">U45-V45</f>
        <v>-4550.73358072115</v>
      </c>
      <c r="X45" s="35" t="n">
        <f aca="false">IF(R45&gt;0,1,0)</f>
        <v>0</v>
      </c>
      <c r="Y45" s="78" t="n">
        <f aca="false">'Plan-Kunden'!P45</f>
        <v>49.7788003464076</v>
      </c>
      <c r="Z45" s="105" t="n">
        <f aca="false">'Plan-Kunden'!Q45</f>
        <v>0</v>
      </c>
      <c r="AA45" s="105" t="n">
        <f aca="false">IF(D45&gt;='Plan-Phase B'!$C$22,1,0)</f>
        <v>0</v>
      </c>
      <c r="AB45" s="105" t="n">
        <f aca="false">IF(D45&gt;='Plan-Phase B'!$D$22,1,0)</f>
        <v>0</v>
      </c>
      <c r="AC45" s="105" t="n">
        <f aca="false">IF(D45&gt;='Plan-Phase B'!$E$22,1,0)</f>
        <v>0</v>
      </c>
      <c r="AD45" s="35" t="n">
        <f aca="false">IF(AND(W45&gt;=0,A45&gt;$K$35),1,0)</f>
        <v>0</v>
      </c>
      <c r="AE45" s="35" t="n">
        <f aca="false">IF(A45&gt;=$O$35,1,0)</f>
        <v>0</v>
      </c>
    </row>
    <row r="46" customFormat="false" ht="15" hidden="false" customHeight="true" outlineLevel="0" collapsed="false">
      <c r="A46" s="35" t="n">
        <v>10</v>
      </c>
      <c r="B46" s="73" t="n">
        <f aca="false">'Plan-Kunden'!B46</f>
        <v>46539</v>
      </c>
      <c r="C46" s="78" t="n">
        <f aca="false">'Plan-Kunden'!E46</f>
        <v>1.30734868715278</v>
      </c>
      <c r="D46" s="78" t="n">
        <f aca="false">'Plan-Kunden'!K46</f>
        <v>11.1165345710522</v>
      </c>
      <c r="E46" s="78" t="n">
        <f aca="false">'Plan-Kunden'!I46</f>
        <v>11.1165345710522</v>
      </c>
      <c r="F46" s="78" t="n">
        <f aca="false">'Plan-Kunden'!J46</f>
        <v>0</v>
      </c>
      <c r="G46" s="104" t="n">
        <f aca="false">D46*'Plan-Annahmen'!$B$21</f>
        <v>88.9322765684175</v>
      </c>
      <c r="H46" s="100" t="n">
        <f aca="false">E46*'Plan-Annahmen'!$B$14+F46*'Plan-Annahmen'!$B$15</f>
        <v>322.379502560513</v>
      </c>
      <c r="I46" s="100" t="n">
        <f aca="false">H46*('Plan-Annahmen'!$B$52+'Plan-Annahmen'!$B$53)</f>
        <v>9.6713850768154</v>
      </c>
      <c r="J46" s="100" t="n">
        <f aca="false">E46*('Plan-Annahmen'!$B$14*'Plan-Annahmen'!$B$18+'Plan-Annahmen'!$B$19)+F46*('Plan-Annahmen'!$B$15*'Plan-Annahmen'!$B$18+'Plan-Annahmen'!$B$19)</f>
        <v>7.61482618117075</v>
      </c>
      <c r="K46" s="100" t="n">
        <f aca="false">G46*'Plan-Annahmen'!$B$17/100</f>
        <v>2.22330691421044</v>
      </c>
      <c r="L46" s="100" t="n">
        <f aca="false">'Plan-Kunden'!D46*'Plan-Annahmen'!$B$15*'Plan-Annahmen'!$B$50</f>
        <v>0</v>
      </c>
      <c r="M46" s="100" t="n">
        <f aca="false">'Plan-Kosten'!W$61</f>
        <v>386.682212885154</v>
      </c>
      <c r="N46" s="100" t="n">
        <f aca="false">IF(A46&gt;=$O$35,'Plan-Kosten'!$F$71,0)</f>
        <v>0</v>
      </c>
      <c r="O46" s="100" t="n">
        <f aca="false">'Plan-Kosten'!W$58</f>
        <v>21.5</v>
      </c>
      <c r="P46" s="100" t="n">
        <f aca="false">IF(A46=$O$35,'Plan-Kosten'!$F$72,0)</f>
        <v>0</v>
      </c>
      <c r="Q46" s="67" t="n">
        <f aca="false">I46+J46+K46+L46+M46+N46+O46+P46</f>
        <v>427.691731057351</v>
      </c>
      <c r="R46" s="39" t="n">
        <f aca="false">H46-Q46</f>
        <v>-105.312228496837</v>
      </c>
      <c r="S46" s="100" t="n">
        <f aca="false">MAX(0,R46*'Plan-Annahmen'!$B$82)</f>
        <v>0</v>
      </c>
      <c r="T46" s="67" t="n">
        <f aca="false">R46-S46</f>
        <v>-105.312228496837</v>
      </c>
      <c r="U46" s="67" t="n">
        <f aca="false">U45+T46</f>
        <v>-3656.04580921799</v>
      </c>
      <c r="V46" s="100" t="n">
        <f aca="false">V45+'Plan-Kosten'!W$59+IF(A46=$O$35,'Plan-Kosten'!$F$73,0)</f>
        <v>1000</v>
      </c>
      <c r="W46" s="39" t="n">
        <f aca="false">U46-V46</f>
        <v>-4656.04580921799</v>
      </c>
      <c r="X46" s="35" t="n">
        <f aca="false">IF(R46&gt;0,1,0)</f>
        <v>0</v>
      </c>
      <c r="Y46" s="78" t="n">
        <f aca="false">'Plan-Kunden'!P46</f>
        <v>49.1423090584684</v>
      </c>
      <c r="Z46" s="105" t="n">
        <f aca="false">'Plan-Kunden'!Q46</f>
        <v>0</v>
      </c>
      <c r="AA46" s="105" t="n">
        <f aca="false">IF(D46&gt;='Plan-Phase B'!$C$22,1,0)</f>
        <v>0</v>
      </c>
      <c r="AB46" s="105" t="n">
        <f aca="false">IF(D46&gt;='Plan-Phase B'!$D$22,1,0)</f>
        <v>0</v>
      </c>
      <c r="AC46" s="105" t="n">
        <f aca="false">IF(D46&gt;='Plan-Phase B'!$E$22,1,0)</f>
        <v>0</v>
      </c>
      <c r="AD46" s="35" t="n">
        <f aca="false">IF(AND(W46&gt;=0,A46&gt;$K$35),1,0)</f>
        <v>0</v>
      </c>
      <c r="AE46" s="35" t="n">
        <f aca="false">IF(A46&gt;=$O$35,1,0)</f>
        <v>0</v>
      </c>
    </row>
    <row r="47" customFormat="false" ht="15" hidden="false" customHeight="true" outlineLevel="0" collapsed="false">
      <c r="A47" s="35" t="n">
        <v>11</v>
      </c>
      <c r="B47" s="73" t="n">
        <f aca="false">'Plan-Kunden'!B47</f>
        <v>46569</v>
      </c>
      <c r="C47" s="78" t="n">
        <f aca="false">'Plan-Kunden'!E47</f>
        <v>2.3233276929566</v>
      </c>
      <c r="D47" s="78" t="n">
        <f aca="false">'Plan-Kunden'!K47</f>
        <v>13.273114245443</v>
      </c>
      <c r="E47" s="78" t="n">
        <f aca="false">'Plan-Kunden'!I47</f>
        <v>13.273114245443</v>
      </c>
      <c r="F47" s="78" t="n">
        <f aca="false">'Plan-Kunden'!J47</f>
        <v>0</v>
      </c>
      <c r="G47" s="104" t="n">
        <f aca="false">D47*'Plan-Annahmen'!$B$21</f>
        <v>106.184913963544</v>
      </c>
      <c r="H47" s="100" t="n">
        <f aca="false">E47*'Plan-Annahmen'!$B$14+F47*'Plan-Annahmen'!$B$15</f>
        <v>384.920313117847</v>
      </c>
      <c r="I47" s="100" t="n">
        <f aca="false">H47*('Plan-Annahmen'!$B$52+'Plan-Annahmen'!$B$53)</f>
        <v>11.5476093935354</v>
      </c>
      <c r="J47" s="100" t="n">
        <f aca="false">E47*('Plan-Annahmen'!$B$14*'Plan-Annahmen'!$B$18+'Plan-Annahmen'!$B$19)+F47*('Plan-Annahmen'!$B$15*'Plan-Annahmen'!$B$18+'Plan-Annahmen'!$B$19)</f>
        <v>9.09208325812846</v>
      </c>
      <c r="K47" s="100" t="n">
        <f aca="false">G47*'Plan-Annahmen'!$B$17/100</f>
        <v>2.6546228490886</v>
      </c>
      <c r="L47" s="100" t="n">
        <f aca="false">'Plan-Kunden'!D47*'Plan-Annahmen'!$B$15*'Plan-Annahmen'!$B$50</f>
        <v>0</v>
      </c>
      <c r="M47" s="100" t="n">
        <f aca="false">'Plan-Kosten'!X$61</f>
        <v>286.682212885154</v>
      </c>
      <c r="N47" s="100" t="n">
        <f aca="false">IF(A47&gt;=$O$35,'Plan-Kosten'!$F$71,0)</f>
        <v>0</v>
      </c>
      <c r="O47" s="100" t="n">
        <f aca="false">'Plan-Kosten'!X$58</f>
        <v>0</v>
      </c>
      <c r="P47" s="100" t="n">
        <f aca="false">IF(A47=$O$35,'Plan-Kosten'!$F$72,0)</f>
        <v>0</v>
      </c>
      <c r="Q47" s="67" t="n">
        <f aca="false">I47+J47+K47+L47+M47+N47+O47+P47</f>
        <v>309.976528385907</v>
      </c>
      <c r="R47" s="39" t="n">
        <f aca="false">H47-Q47</f>
        <v>74.9437847319405</v>
      </c>
      <c r="S47" s="100" t="n">
        <f aca="false">MAX(0,R47*'Plan-Annahmen'!$B$82)</f>
        <v>23.1103227169333</v>
      </c>
      <c r="T47" s="67" t="n">
        <f aca="false">R47-S47</f>
        <v>51.8334620150072</v>
      </c>
      <c r="U47" s="67" t="n">
        <f aca="false">U46+T47</f>
        <v>-3604.21234720298</v>
      </c>
      <c r="V47" s="100" t="n">
        <f aca="false">V46+'Plan-Kosten'!X$59+IF(A47=$O$35,'Plan-Kosten'!$F$73,0)</f>
        <v>1000</v>
      </c>
      <c r="W47" s="39" t="n">
        <f aca="false">U47-V47</f>
        <v>-4604.21234720298</v>
      </c>
      <c r="X47" s="35" t="n">
        <f aca="false">IF(R47&gt;0,1,0)</f>
        <v>1</v>
      </c>
      <c r="Y47" s="78" t="n">
        <f aca="false">'Plan-Kunden'!P47</f>
        <v>50.8052619665895</v>
      </c>
      <c r="Z47" s="105" t="n">
        <f aca="false">'Plan-Kunden'!Q47</f>
        <v>0</v>
      </c>
      <c r="AA47" s="105" t="n">
        <f aca="false">IF(D47&gt;='Plan-Phase B'!$C$22,1,0)</f>
        <v>0</v>
      </c>
      <c r="AB47" s="105" t="n">
        <f aca="false">IF(D47&gt;='Plan-Phase B'!$D$22,1,0)</f>
        <v>0</v>
      </c>
      <c r="AC47" s="105" t="n">
        <f aca="false">IF(D47&gt;='Plan-Phase B'!$E$22,1,0)</f>
        <v>0</v>
      </c>
      <c r="AD47" s="35" t="n">
        <f aca="false">IF(AND(W47&gt;=0,A47&gt;$K$35),1,0)</f>
        <v>0</v>
      </c>
      <c r="AE47" s="35" t="n">
        <f aca="false">IF(A47&gt;=$O$35,1,0)</f>
        <v>0</v>
      </c>
    </row>
    <row r="48" customFormat="false" ht="15" hidden="false" customHeight="true" outlineLevel="0" collapsed="false">
      <c r="A48" s="35" t="n">
        <v>12</v>
      </c>
      <c r="B48" s="73" t="n">
        <f aca="false">'Plan-Kunden'!B48</f>
        <v>46600</v>
      </c>
      <c r="C48" s="78" t="n">
        <f aca="false">'Plan-Kunden'!E48</f>
        <v>2.0829880362428</v>
      </c>
      <c r="D48" s="78" t="n">
        <f aca="false">'Plan-Kunden'!K48</f>
        <v>15.1570055680042</v>
      </c>
      <c r="E48" s="78" t="n">
        <f aca="false">'Plan-Kunden'!I48</f>
        <v>15.1570055680042</v>
      </c>
      <c r="F48" s="78" t="n">
        <f aca="false">'Plan-Kunden'!J48</f>
        <v>0</v>
      </c>
      <c r="G48" s="104" t="n">
        <f aca="false">D48*'Plan-Annahmen'!$B$21</f>
        <v>121.256044544033</v>
      </c>
      <c r="H48" s="100" t="n">
        <f aca="false">E48*'Plan-Annahmen'!$B$14+F48*'Plan-Annahmen'!$B$15</f>
        <v>439.553161472121</v>
      </c>
      <c r="I48" s="100" t="n">
        <f aca="false">H48*('Plan-Annahmen'!$B$52+'Plan-Annahmen'!$B$53)</f>
        <v>13.1865948441636</v>
      </c>
      <c r="J48" s="100" t="n">
        <f aca="false">E48*('Plan-Annahmen'!$B$14*'Plan-Annahmen'!$B$18+'Plan-Annahmen'!$B$19)+F48*('Plan-Annahmen'!$B$15*'Plan-Annahmen'!$B$18+'Plan-Annahmen'!$B$19)</f>
        <v>10.3825488140828</v>
      </c>
      <c r="K48" s="100" t="n">
        <f aca="false">G48*'Plan-Annahmen'!$B$17/100</f>
        <v>3.03140111360083</v>
      </c>
      <c r="L48" s="100" t="n">
        <f aca="false">'Plan-Kunden'!D48*'Plan-Annahmen'!$B$15*'Plan-Annahmen'!$B$50</f>
        <v>0</v>
      </c>
      <c r="M48" s="100" t="n">
        <f aca="false">'Plan-Kosten'!Y$61</f>
        <v>386.682212885154</v>
      </c>
      <c r="N48" s="100" t="n">
        <f aca="false">IF(A48&gt;=$O$35,'Plan-Kosten'!$F$71,0)</f>
        <v>0</v>
      </c>
      <c r="O48" s="100" t="n">
        <f aca="false">'Plan-Kosten'!Y$58</f>
        <v>0</v>
      </c>
      <c r="P48" s="100" t="n">
        <f aca="false">IF(A48=$O$35,'Plan-Kosten'!$F$72,0)</f>
        <v>0</v>
      </c>
      <c r="Q48" s="67" t="n">
        <f aca="false">I48+J48+K48+L48+M48+N48+O48+P48</f>
        <v>413.282757657001</v>
      </c>
      <c r="R48" s="39" t="n">
        <f aca="false">H48-Q48</f>
        <v>26.2704038151193</v>
      </c>
      <c r="S48" s="100" t="n">
        <f aca="false">MAX(0,R48*'Plan-Annahmen'!$B$82)</f>
        <v>8.10097211187164</v>
      </c>
      <c r="T48" s="67" t="n">
        <f aca="false">R48-S48</f>
        <v>18.1694317032476</v>
      </c>
      <c r="U48" s="67" t="n">
        <f aca="false">U47+T48</f>
        <v>-3586.04291549973</v>
      </c>
      <c r="V48" s="100" t="n">
        <f aca="false">V47+'Plan-Kosten'!Y$59+IF(A48=$O$35,'Plan-Kosten'!$F$73,0)</f>
        <v>1000</v>
      </c>
      <c r="W48" s="39" t="n">
        <f aca="false">U48-V48</f>
        <v>-4586.04291549973</v>
      </c>
      <c r="X48" s="35" t="n">
        <f aca="false">IF(R48&gt;0,1,0)</f>
        <v>1</v>
      </c>
      <c r="Y48" s="78" t="n">
        <f aca="false">'Plan-Kunden'!P48</f>
        <v>51.1300897066441</v>
      </c>
      <c r="Z48" s="105" t="n">
        <f aca="false">'Plan-Kunden'!Q48</f>
        <v>0</v>
      </c>
      <c r="AA48" s="105" t="n">
        <f aca="false">IF(D48&gt;='Plan-Phase B'!$C$22,1,0)</f>
        <v>0</v>
      </c>
      <c r="AB48" s="105" t="n">
        <f aca="false">IF(D48&gt;='Plan-Phase B'!$D$22,1,0)</f>
        <v>0</v>
      </c>
      <c r="AC48" s="105" t="n">
        <f aca="false">IF(D48&gt;='Plan-Phase B'!$E$22,1,0)</f>
        <v>0</v>
      </c>
      <c r="AD48" s="35" t="n">
        <f aca="false">IF(AND(W48&gt;=0,A48&gt;$K$35),1,0)</f>
        <v>0</v>
      </c>
      <c r="AE48" s="35" t="n">
        <f aca="false">IF(A48&gt;=$O$35,1,0)</f>
        <v>0</v>
      </c>
    </row>
    <row r="49" customFormat="false" ht="15" hidden="false" customHeight="true" outlineLevel="0" collapsed="false">
      <c r="A49" s="35" t="n">
        <v>13</v>
      </c>
      <c r="B49" s="73" t="n">
        <f aca="false">'Plan-Kunden'!B49</f>
        <v>46631</v>
      </c>
      <c r="C49" s="78" t="n">
        <f aca="false">'Plan-Kunden'!E49</f>
        <v>2.0926377880921</v>
      </c>
      <c r="D49" s="78" t="n">
        <f aca="false">'Plan-Kunden'!K49</f>
        <v>17.0222882725762</v>
      </c>
      <c r="E49" s="78" t="n">
        <f aca="false">'Plan-Kunden'!I49</f>
        <v>17.0222882725762</v>
      </c>
      <c r="F49" s="78" t="n">
        <f aca="false">'Plan-Kunden'!J49</f>
        <v>0</v>
      </c>
      <c r="G49" s="104" t="n">
        <f aca="false">D49*'Plan-Annahmen'!$B$21</f>
        <v>136.17830618061</v>
      </c>
      <c r="H49" s="100" t="n">
        <f aca="false">E49*'Plan-Annahmen'!$B$14+F49*'Plan-Annahmen'!$B$15</f>
        <v>493.64635990471</v>
      </c>
      <c r="I49" s="100" t="n">
        <f aca="false">H49*('Plan-Annahmen'!$B$52+'Plan-Annahmen'!$B$53)</f>
        <v>14.8093907971413</v>
      </c>
      <c r="J49" s="100" t="n">
        <f aca="false">E49*('Plan-Annahmen'!$B$14*'Plan-Annahmen'!$B$18+'Plan-Annahmen'!$B$19)+F49*('Plan-Annahmen'!$B$15*'Plan-Annahmen'!$B$18+'Plan-Annahmen'!$B$19)</f>
        <v>11.6602674667147</v>
      </c>
      <c r="K49" s="100" t="n">
        <f aca="false">G49*'Plan-Annahmen'!$B$17/100</f>
        <v>3.40445765451524</v>
      </c>
      <c r="L49" s="100" t="n">
        <f aca="false">'Plan-Kunden'!D49*'Plan-Annahmen'!$B$15*'Plan-Annahmen'!$B$50</f>
        <v>0</v>
      </c>
      <c r="M49" s="100" t="n">
        <f aca="false">'Plan-Kosten'!Z$61</f>
        <v>298.364455875808</v>
      </c>
      <c r="N49" s="100" t="n">
        <f aca="false">IF(A49&gt;=$O$35,'Plan-Kosten'!$F$71,0)</f>
        <v>0</v>
      </c>
      <c r="O49" s="100" t="n">
        <f aca="false">'Plan-Kosten'!Z$58</f>
        <v>0</v>
      </c>
      <c r="P49" s="100" t="n">
        <f aca="false">IF(A49=$O$35,'Plan-Kosten'!$F$72,0)</f>
        <v>0</v>
      </c>
      <c r="Q49" s="67" t="n">
        <f aca="false">I49+J49+K49+L49+M49+N49+O49+P49</f>
        <v>328.23857179418</v>
      </c>
      <c r="R49" s="39" t="n">
        <f aca="false">H49-Q49</f>
        <v>165.40778811053</v>
      </c>
      <c r="S49" s="100" t="n">
        <f aca="false">MAX(0,R49*'Plan-Annahmen'!$B$82)</f>
        <v>51.0065961680648</v>
      </c>
      <c r="T49" s="67" t="n">
        <f aca="false">R49-S49</f>
        <v>114.401191942465</v>
      </c>
      <c r="U49" s="67" t="n">
        <f aca="false">U48+T49</f>
        <v>-3471.64172355727</v>
      </c>
      <c r="V49" s="100" t="n">
        <f aca="false">V48+'Plan-Kosten'!Z$59+IF(A49=$O$35,'Plan-Kosten'!$F$73,0)</f>
        <v>1000</v>
      </c>
      <c r="W49" s="39" t="n">
        <f aca="false">U49-V49</f>
        <v>-4471.64172355727</v>
      </c>
      <c r="X49" s="35" t="n">
        <f aca="false">IF(R49&gt;0,1,0)</f>
        <v>1</v>
      </c>
      <c r="Y49" s="78" t="n">
        <f aca="false">'Plan-Kunden'!P49</f>
        <v>51.699324269865</v>
      </c>
      <c r="Z49" s="105" t="n">
        <f aca="false">'Plan-Kunden'!Q49</f>
        <v>0</v>
      </c>
      <c r="AA49" s="105" t="n">
        <f aca="false">IF(D49&gt;='Plan-Phase B'!$C$22,1,0)</f>
        <v>0</v>
      </c>
      <c r="AB49" s="105" t="n">
        <f aca="false">IF(D49&gt;='Plan-Phase B'!$D$22,1,0)</f>
        <v>0</v>
      </c>
      <c r="AC49" s="105" t="n">
        <f aca="false">IF(D49&gt;='Plan-Phase B'!$E$22,1,0)</f>
        <v>0</v>
      </c>
      <c r="AD49" s="35" t="n">
        <f aca="false">IF(AND(W49&gt;=0,A49&gt;$K$35),1,0)</f>
        <v>0</v>
      </c>
      <c r="AE49" s="35" t="n">
        <f aca="false">IF(A49&gt;=$O$35,1,0)</f>
        <v>0</v>
      </c>
    </row>
    <row r="50" customFormat="false" ht="15" hidden="false" customHeight="true" outlineLevel="0" collapsed="false">
      <c r="A50" s="35" t="n">
        <v>14</v>
      </c>
      <c r="B50" s="73" t="n">
        <f aca="false">'Plan-Kunden'!B50</f>
        <v>46661</v>
      </c>
      <c r="C50" s="78" t="n">
        <f aca="false">'Plan-Kunden'!E50</f>
        <v>2.61060928537869</v>
      </c>
      <c r="D50" s="78" t="n">
        <f aca="false">'Plan-Kunden'!K50</f>
        <v>19.3775632338662</v>
      </c>
      <c r="E50" s="78" t="n">
        <f aca="false">'Plan-Kunden'!I50</f>
        <v>19.3775632338662</v>
      </c>
      <c r="F50" s="78" t="n">
        <f aca="false">'Plan-Kunden'!J50</f>
        <v>0</v>
      </c>
      <c r="G50" s="104" t="n">
        <f aca="false">D50*'Plan-Annahmen'!$B$21</f>
        <v>155.02050587093</v>
      </c>
      <c r="H50" s="100" t="n">
        <f aca="false">E50*'Plan-Annahmen'!$B$14+F50*'Plan-Annahmen'!$B$15</f>
        <v>561.949333782121</v>
      </c>
      <c r="I50" s="100" t="n">
        <f aca="false">H50*('Plan-Annahmen'!$B$52+'Plan-Annahmen'!$B$53)</f>
        <v>16.8584800134636</v>
      </c>
      <c r="J50" s="100" t="n">
        <f aca="false">E50*('Plan-Annahmen'!$B$14*'Plan-Annahmen'!$B$18+'Plan-Annahmen'!$B$19)+F50*('Plan-Annahmen'!$B$15*'Plan-Annahmen'!$B$18+'Plan-Annahmen'!$B$19)</f>
        <v>13.2736308151984</v>
      </c>
      <c r="K50" s="100" t="n">
        <f aca="false">G50*'Plan-Annahmen'!$B$17/100</f>
        <v>3.87551264677325</v>
      </c>
      <c r="L50" s="100" t="n">
        <f aca="false">'Plan-Kunden'!D50*'Plan-Annahmen'!$B$15*'Plan-Annahmen'!$B$50</f>
        <v>0</v>
      </c>
      <c r="M50" s="100" t="n">
        <f aca="false">'Plan-Kosten'!AA$61</f>
        <v>398.364455875808</v>
      </c>
      <c r="N50" s="100" t="n">
        <f aca="false">IF(A50&gt;=$O$35,'Plan-Kosten'!$F$71,0)</f>
        <v>0</v>
      </c>
      <c r="O50" s="100" t="n">
        <f aca="false">'Plan-Kosten'!AA$58</f>
        <v>0</v>
      </c>
      <c r="P50" s="100" t="n">
        <f aca="false">IF(A50=$O$35,'Plan-Kosten'!$F$72,0)</f>
        <v>0</v>
      </c>
      <c r="Q50" s="67" t="n">
        <f aca="false">I50+J50+K50+L50+M50+N50+O50+P50</f>
        <v>432.372079351244</v>
      </c>
      <c r="R50" s="39" t="n">
        <f aca="false">H50-Q50</f>
        <v>129.577254430878</v>
      </c>
      <c r="S50" s="100" t="n">
        <f aca="false">MAX(0,R50*'Plan-Annahmen'!$B$82)</f>
        <v>39.9575785688268</v>
      </c>
      <c r="T50" s="67" t="n">
        <f aca="false">R50-S50</f>
        <v>89.6196758620508</v>
      </c>
      <c r="U50" s="67" t="n">
        <f aca="false">U49+T50</f>
        <v>-3382.02204769522</v>
      </c>
      <c r="V50" s="100" t="n">
        <f aca="false">V49+'Plan-Kosten'!AA$59+IF(A50=$O$35,'Plan-Kosten'!$F$73,0)</f>
        <v>1000</v>
      </c>
      <c r="W50" s="39" t="n">
        <f aca="false">U50-V50</f>
        <v>-4382.02204769522</v>
      </c>
      <c r="X50" s="35" t="n">
        <f aca="false">IF(R50&gt;0,1,0)</f>
        <v>1</v>
      </c>
      <c r="Y50" s="78" t="n">
        <f aca="false">'Plan-Kunden'!P50</f>
        <v>52.9238782555386</v>
      </c>
      <c r="Z50" s="105" t="n">
        <f aca="false">'Plan-Kunden'!Q50</f>
        <v>0</v>
      </c>
      <c r="AA50" s="105" t="n">
        <f aca="false">IF(D50&gt;='Plan-Phase B'!$C$22,1,0)</f>
        <v>0</v>
      </c>
      <c r="AB50" s="105" t="n">
        <f aca="false">IF(D50&gt;='Plan-Phase B'!$D$22,1,0)</f>
        <v>0</v>
      </c>
      <c r="AC50" s="105" t="n">
        <f aca="false">IF(D50&gt;='Plan-Phase B'!$E$22,1,0)</f>
        <v>0</v>
      </c>
      <c r="AD50" s="35" t="n">
        <f aca="false">IF(AND(W50&gt;=0,A50&gt;$K$35),1,0)</f>
        <v>0</v>
      </c>
      <c r="AE50" s="35" t="n">
        <f aca="false">IF(A50&gt;=$O$35,1,0)</f>
        <v>0</v>
      </c>
    </row>
    <row r="51" customFormat="false" ht="15" hidden="false" customHeight="true" outlineLevel="0" collapsed="false">
      <c r="A51" s="35" t="n">
        <v>15</v>
      </c>
      <c r="B51" s="73" t="n">
        <f aca="false">'Plan-Kunden'!B51</f>
        <v>46692</v>
      </c>
      <c r="C51" s="78" t="n">
        <f aca="false">'Plan-Kunden'!E51</f>
        <v>2.12630837973337</v>
      </c>
      <c r="D51" s="78" t="n">
        <f aca="false">'Plan-Kunden'!K51</f>
        <v>21.2132081650916</v>
      </c>
      <c r="E51" s="78" t="n">
        <f aca="false">'Plan-Kunden'!I51</f>
        <v>21.2132081650916</v>
      </c>
      <c r="F51" s="78" t="n">
        <f aca="false">'Plan-Kunden'!J51</f>
        <v>0</v>
      </c>
      <c r="G51" s="104" t="n">
        <f aca="false">D51*'Plan-Annahmen'!$B$21</f>
        <v>169.705665320733</v>
      </c>
      <c r="H51" s="100" t="n">
        <f aca="false">E51*'Plan-Annahmen'!$B$14+F51*'Plan-Annahmen'!$B$15</f>
        <v>615.183036787657</v>
      </c>
      <c r="I51" s="100" t="n">
        <f aca="false">H51*('Plan-Annahmen'!$B$52+'Plan-Annahmen'!$B$53)</f>
        <v>18.4554911036297</v>
      </c>
      <c r="J51" s="100" t="n">
        <f aca="false">E51*('Plan-Annahmen'!$B$14*'Plan-Annahmen'!$B$18+'Plan-Annahmen'!$B$19)+F51*('Plan-Annahmen'!$B$15*'Plan-Annahmen'!$B$18+'Plan-Annahmen'!$B$19)</f>
        <v>14.5310475930878</v>
      </c>
      <c r="K51" s="100" t="n">
        <f aca="false">G51*'Plan-Annahmen'!$B$17/100</f>
        <v>4.24264163301833</v>
      </c>
      <c r="L51" s="100" t="n">
        <f aca="false">'Plan-Kunden'!D51*'Plan-Annahmen'!$B$15*'Plan-Annahmen'!$B$50</f>
        <v>0</v>
      </c>
      <c r="M51" s="100" t="n">
        <f aca="false">'Plan-Kosten'!AB$61</f>
        <v>298.364455875808</v>
      </c>
      <c r="N51" s="100" t="n">
        <f aca="false">IF(A51&gt;=$O$35,'Plan-Kosten'!$F$71,0)</f>
        <v>210</v>
      </c>
      <c r="O51" s="100" t="n">
        <f aca="false">'Plan-Kosten'!AB$58</f>
        <v>0</v>
      </c>
      <c r="P51" s="100" t="n">
        <f aca="false">IF(A51=$O$35,'Plan-Kosten'!$F$72,0)</f>
        <v>980</v>
      </c>
      <c r="Q51" s="67" t="n">
        <f aca="false">I51+J51+K51+L51+M51+N51+O51+P51</f>
        <v>1525.59363620554</v>
      </c>
      <c r="R51" s="39" t="n">
        <f aca="false">H51-Q51</f>
        <v>-910.410599417887</v>
      </c>
      <c r="S51" s="100" t="n">
        <f aca="false">MAX(0,R51*'Plan-Annahmen'!$B$82)</f>
        <v>0</v>
      </c>
      <c r="T51" s="67" t="n">
        <f aca="false">R51-S51</f>
        <v>-910.410599417887</v>
      </c>
      <c r="U51" s="67" t="n">
        <f aca="false">U50+T51</f>
        <v>-4292.4326471131</v>
      </c>
      <c r="V51" s="100" t="n">
        <f aca="false">V50+'Plan-Kosten'!AB$59+IF(A51=$O$35,'Plan-Kosten'!$F$73,0)</f>
        <v>2000</v>
      </c>
      <c r="W51" s="39" t="n">
        <f aca="false">U51-V51</f>
        <v>-6292.4326471131</v>
      </c>
      <c r="X51" s="35" t="n">
        <f aca="false">IF(R51&gt;0,1,0)</f>
        <v>0</v>
      </c>
      <c r="Y51" s="78" t="n">
        <f aca="false">'Plan-Kunden'!P51</f>
        <v>52.9902708292609</v>
      </c>
      <c r="Z51" s="105" t="n">
        <f aca="false">'Plan-Kunden'!Q51</f>
        <v>0</v>
      </c>
      <c r="AA51" s="105" t="n">
        <f aca="false">IF(D51&gt;='Plan-Phase B'!$C$22,1,0)</f>
        <v>0</v>
      </c>
      <c r="AB51" s="105" t="n">
        <f aca="false">IF(D51&gt;='Plan-Phase B'!$D$22,1,0)</f>
        <v>0</v>
      </c>
      <c r="AC51" s="105" t="n">
        <f aca="false">IF(D51&gt;='Plan-Phase B'!$E$22,1,0)</f>
        <v>0</v>
      </c>
      <c r="AD51" s="35" t="n">
        <f aca="false">IF(AND(W51&gt;=0,A51&gt;$K$35),1,0)</f>
        <v>0</v>
      </c>
      <c r="AE51" s="35" t="n">
        <f aca="false">IF(A51&gt;=$O$35,1,0)</f>
        <v>1</v>
      </c>
    </row>
    <row r="52" customFormat="false" ht="15" hidden="false" customHeight="true" outlineLevel="0" collapsed="false">
      <c r="A52" s="35" t="n">
        <v>16</v>
      </c>
      <c r="B52" s="73" t="n">
        <f aca="false">'Plan-Kunden'!B52</f>
        <v>46722</v>
      </c>
      <c r="C52" s="78" t="n">
        <f aca="false">'Plan-Kunden'!E52</f>
        <v>2.39185240227147</v>
      </c>
      <c r="D52" s="78" t="n">
        <f aca="false">'Plan-Kunden'!K52</f>
        <v>23.2868624448867</v>
      </c>
      <c r="E52" s="78" t="n">
        <f aca="false">'Plan-Kunden'!I52</f>
        <v>23.0315174647256</v>
      </c>
      <c r="F52" s="78" t="n">
        <f aca="false">'Plan-Kunden'!J52</f>
        <v>0.255344980161141</v>
      </c>
      <c r="G52" s="104" t="n">
        <f aca="false">D52*'Plan-Annahmen'!$B$21</f>
        <v>186.294899559094</v>
      </c>
      <c r="H52" s="100" t="n">
        <f aca="false">E52*'Plan-Annahmen'!$B$14+F52*'Plan-Annahmen'!$B$15</f>
        <v>680.425910504938</v>
      </c>
      <c r="I52" s="100" t="n">
        <f aca="false">H52*('Plan-Annahmen'!$B$52+'Plan-Annahmen'!$B$53)</f>
        <v>20.4127773151481</v>
      </c>
      <c r="J52" s="100" t="n">
        <f aca="false">E52*('Plan-Annahmen'!$B$14*'Plan-Annahmen'!$B$18+'Plan-Annahmen'!$B$19)+F52*('Plan-Annahmen'!$B$15*'Plan-Annahmen'!$B$18+'Plan-Annahmen'!$B$19)</f>
        <v>16.0281042687957</v>
      </c>
      <c r="K52" s="100" t="n">
        <f aca="false">G52*'Plan-Annahmen'!$B$17/100</f>
        <v>4.65737248897734</v>
      </c>
      <c r="L52" s="100" t="n">
        <f aca="false">'Plan-Kunden'!D52*'Plan-Annahmen'!$B$15*'Plan-Annahmen'!$B$50</f>
        <v>0</v>
      </c>
      <c r="M52" s="100" t="n">
        <f aca="false">'Plan-Kosten'!AC$61</f>
        <v>398.364455875808</v>
      </c>
      <c r="N52" s="100" t="n">
        <f aca="false">IF(A52&gt;=$O$35,'Plan-Kosten'!$F$71,0)</f>
        <v>210</v>
      </c>
      <c r="O52" s="100" t="n">
        <f aca="false">'Plan-Kosten'!AC$58</f>
        <v>0</v>
      </c>
      <c r="P52" s="100" t="n">
        <f aca="false">IF(A52=$O$35,'Plan-Kosten'!$F$72,0)</f>
        <v>0</v>
      </c>
      <c r="Q52" s="67" t="n">
        <f aca="false">I52+J52+K52+L52+M52+N52+O52+P52</f>
        <v>649.46270994873</v>
      </c>
      <c r="R52" s="39" t="n">
        <f aca="false">H52-Q52</f>
        <v>30.963200556208</v>
      </c>
      <c r="S52" s="100" t="n">
        <f aca="false">MAX(0,R52*'Plan-Annahmen'!$B$82)</f>
        <v>9.54808407078118</v>
      </c>
      <c r="T52" s="67" t="n">
        <f aca="false">R52-S52</f>
        <v>21.4151164854268</v>
      </c>
      <c r="U52" s="67" t="n">
        <f aca="false">U51+T52</f>
        <v>-4271.01753062768</v>
      </c>
      <c r="V52" s="100" t="n">
        <f aca="false">V51+'Plan-Kosten'!AC$59+IF(A52=$O$35,'Plan-Kosten'!$F$73,0)</f>
        <v>2000</v>
      </c>
      <c r="W52" s="39" t="n">
        <f aca="false">U52-V52</f>
        <v>-6271.01753062768</v>
      </c>
      <c r="X52" s="35" t="n">
        <f aca="false">IF(R52&gt;0,1,0)</f>
        <v>1</v>
      </c>
      <c r="Y52" s="78" t="n">
        <f aca="false">'Plan-Kunden'!P52</f>
        <v>53.8779111357375</v>
      </c>
      <c r="Z52" s="105" t="n">
        <f aca="false">'Plan-Kunden'!Q52</f>
        <v>0</v>
      </c>
      <c r="AA52" s="105" t="n">
        <f aca="false">IF(D52&gt;='Plan-Phase B'!$C$22,1,0)</f>
        <v>0</v>
      </c>
      <c r="AB52" s="105" t="n">
        <f aca="false">IF(D52&gt;='Plan-Phase B'!$D$22,1,0)</f>
        <v>0</v>
      </c>
      <c r="AC52" s="105" t="n">
        <f aca="false">IF(D52&gt;='Plan-Phase B'!$E$22,1,0)</f>
        <v>0</v>
      </c>
      <c r="AD52" s="35" t="n">
        <f aca="false">IF(AND(W52&gt;=0,A52&gt;$K$35),1,0)</f>
        <v>0</v>
      </c>
      <c r="AE52" s="35" t="n">
        <f aca="false">IF(A52&gt;=$O$35,1,0)</f>
        <v>1</v>
      </c>
    </row>
    <row r="53" customFormat="false" ht="15" hidden="false" customHeight="true" outlineLevel="0" collapsed="false">
      <c r="A53" s="35" t="n">
        <v>17</v>
      </c>
      <c r="B53" s="73" t="n">
        <f aca="false">'Plan-Kunden'!B53</f>
        <v>46753</v>
      </c>
      <c r="C53" s="78" t="n">
        <f aca="false">'Plan-Kunden'!E53</f>
        <v>3.41147969361555</v>
      </c>
      <c r="D53" s="78" t="n">
        <f aca="false">'Plan-Kunden'!K53</f>
        <v>26.3426555773249</v>
      </c>
      <c r="E53" s="78" t="n">
        <f aca="false">'Plan-Kunden'!I53</f>
        <v>22.6860447027547</v>
      </c>
      <c r="F53" s="78" t="n">
        <f aca="false">'Plan-Kunden'!J53</f>
        <v>3.65661087457025</v>
      </c>
      <c r="G53" s="104" t="n">
        <f aca="false">D53*'Plan-Annahmen'!$B$21</f>
        <v>210.7412446186</v>
      </c>
      <c r="H53" s="100" t="n">
        <f aca="false">E53*'Plan-Annahmen'!$B$14+F53*'Plan-Annahmen'!$B$15</f>
        <v>837.069229233828</v>
      </c>
      <c r="I53" s="100" t="n">
        <f aca="false">H53*('Plan-Annahmen'!$B$52+'Plan-Annahmen'!$B$53)</f>
        <v>25.1120768770148</v>
      </c>
      <c r="J53" s="100" t="n">
        <f aca="false">E53*('Plan-Annahmen'!$B$14*'Plan-Annahmen'!$B$18+'Plan-Annahmen'!$B$19)+F53*('Plan-Annahmen'!$B$15*'Plan-Annahmen'!$B$18+'Plan-Annahmen'!$B$19)</f>
        <v>19.1417023328387</v>
      </c>
      <c r="K53" s="100" t="n">
        <f aca="false">G53*'Plan-Annahmen'!$B$17/100</f>
        <v>5.26853111546499</v>
      </c>
      <c r="L53" s="100" t="n">
        <f aca="false">'Plan-Kunden'!D53*'Plan-Annahmen'!$B$15*'Plan-Annahmen'!$B$50</f>
        <v>0</v>
      </c>
      <c r="M53" s="100" t="n">
        <f aca="false">'Plan-Kosten'!AD$61</f>
        <v>298.364455875808</v>
      </c>
      <c r="N53" s="100" t="n">
        <f aca="false">IF(A53&gt;=$O$35,'Plan-Kosten'!$F$71,0)</f>
        <v>210</v>
      </c>
      <c r="O53" s="100" t="n">
        <f aca="false">'Plan-Kosten'!AD$58</f>
        <v>0</v>
      </c>
      <c r="P53" s="100" t="n">
        <f aca="false">IF(A53=$O$35,'Plan-Kosten'!$F$72,0)</f>
        <v>0</v>
      </c>
      <c r="Q53" s="67" t="n">
        <f aca="false">I53+J53+K53+L53+M53+N53+O53+P53</f>
        <v>557.886766201127</v>
      </c>
      <c r="R53" s="39" t="n">
        <f aca="false">H53-Q53</f>
        <v>279.182463032701</v>
      </c>
      <c r="S53" s="100" t="n">
        <f aca="false">MAX(0,R53*'Plan-Annahmen'!$B$82)</f>
        <v>86.0911527309646</v>
      </c>
      <c r="T53" s="67" t="n">
        <f aca="false">R53-S53</f>
        <v>193.091310301737</v>
      </c>
      <c r="U53" s="67" t="n">
        <f aca="false">U52+T53</f>
        <v>-4077.92622032594</v>
      </c>
      <c r="V53" s="100" t="n">
        <f aca="false">V52+'Plan-Kosten'!AD$59+IF(A53=$O$35,'Plan-Kosten'!$F$73,0)</f>
        <v>2000</v>
      </c>
      <c r="W53" s="39" t="n">
        <f aca="false">U53-V53</f>
        <v>-6077.92622032594</v>
      </c>
      <c r="X53" s="35" t="n">
        <f aca="false">IF(R53&gt;0,1,0)</f>
        <v>1</v>
      </c>
      <c r="Y53" s="78" t="n">
        <f aca="false">'Plan-Kunden'!P53</f>
        <v>55.814276366813</v>
      </c>
      <c r="Z53" s="105" t="n">
        <f aca="false">'Plan-Kunden'!Q53</f>
        <v>0</v>
      </c>
      <c r="AA53" s="105" t="n">
        <f aca="false">IF(D53&gt;='Plan-Phase B'!$C$22,1,0)</f>
        <v>0</v>
      </c>
      <c r="AB53" s="105" t="n">
        <f aca="false">IF(D53&gt;='Plan-Phase B'!$D$22,1,0)</f>
        <v>0</v>
      </c>
      <c r="AC53" s="105" t="n">
        <f aca="false">IF(D53&gt;='Plan-Phase B'!$E$22,1,0)</f>
        <v>0</v>
      </c>
      <c r="AD53" s="35" t="n">
        <f aca="false">IF(AND(W53&gt;=0,A53&gt;$K$35),1,0)</f>
        <v>0</v>
      </c>
      <c r="AE53" s="35" t="n">
        <f aca="false">IF(A53&gt;=$O$35,1,0)</f>
        <v>1</v>
      </c>
    </row>
    <row r="54" customFormat="false" ht="15" hidden="false" customHeight="true" outlineLevel="0" collapsed="false">
      <c r="A54" s="35" t="n">
        <v>18</v>
      </c>
      <c r="B54" s="73" t="n">
        <f aca="false">'Plan-Kunden'!B54</f>
        <v>46784</v>
      </c>
      <c r="C54" s="78" t="n">
        <f aca="false">'Plan-Kunden'!E54</f>
        <v>2.9267767347091</v>
      </c>
      <c r="D54" s="78" t="n">
        <f aca="false">'Plan-Kunden'!K54</f>
        <v>28.7828772065099</v>
      </c>
      <c r="E54" s="78" t="n">
        <f aca="false">'Plan-Kunden'!I54</f>
        <v>22.3457540322134</v>
      </c>
      <c r="F54" s="78" t="n">
        <f aca="false">'Plan-Kunden'!J54</f>
        <v>6.43712317429653</v>
      </c>
      <c r="G54" s="104" t="n">
        <f aca="false">D54*'Plan-Annahmen'!$B$21</f>
        <v>230.263017652079</v>
      </c>
      <c r="H54" s="100" t="n">
        <f aca="false">E54*'Plan-Annahmen'!$B$14+F54*'Plan-Annahmen'!$B$15</f>
        <v>963.445902474718</v>
      </c>
      <c r="I54" s="100" t="n">
        <f aca="false">H54*('Plan-Annahmen'!$B$52+'Plan-Annahmen'!$B$53)</f>
        <v>28.9033770742415</v>
      </c>
      <c r="J54" s="100" t="n">
        <f aca="false">E54*('Plan-Annahmen'!$B$14*'Plan-Annahmen'!$B$18+'Plan-Annahmen'!$B$19)+F54*('Plan-Annahmen'!$B$15*'Plan-Annahmen'!$B$18+'Plan-Annahmen'!$B$19)</f>
        <v>21.6474078387482</v>
      </c>
      <c r="K54" s="100" t="n">
        <f aca="false">G54*'Plan-Annahmen'!$B$17/100</f>
        <v>5.75657544130198</v>
      </c>
      <c r="L54" s="100" t="n">
        <f aca="false">'Plan-Kunden'!D54*'Plan-Annahmen'!$B$15*'Plan-Annahmen'!$B$50</f>
        <v>0</v>
      </c>
      <c r="M54" s="100" t="n">
        <f aca="false">'Plan-Kosten'!AE$61</f>
        <v>398.364455875808</v>
      </c>
      <c r="N54" s="100" t="n">
        <f aca="false">IF(A54&gt;=$O$35,'Plan-Kosten'!$F$71,0)</f>
        <v>210</v>
      </c>
      <c r="O54" s="100" t="n">
        <f aca="false">'Plan-Kosten'!AE$58</f>
        <v>0</v>
      </c>
      <c r="P54" s="100" t="n">
        <f aca="false">IF(A54=$O$35,'Plan-Kosten'!$F$72,0)</f>
        <v>0</v>
      </c>
      <c r="Q54" s="67" t="n">
        <f aca="false">I54+J54+K54+L54+M54+N54+O54+P54</f>
        <v>664.6718162301</v>
      </c>
      <c r="R54" s="39" t="n">
        <f aca="false">H54-Q54</f>
        <v>298.774086244618</v>
      </c>
      <c r="S54" s="100" t="n">
        <f aca="false">MAX(0,R54*'Plan-Annahmen'!$B$82)</f>
        <v>92.1325974831267</v>
      </c>
      <c r="T54" s="67" t="n">
        <f aca="false">R54-S54</f>
        <v>206.641488761491</v>
      </c>
      <c r="U54" s="67" t="n">
        <f aca="false">U53+T54</f>
        <v>-3871.28473156445</v>
      </c>
      <c r="V54" s="100" t="n">
        <f aca="false">V53+'Plan-Kosten'!AE$59+IF(A54=$O$35,'Plan-Kosten'!$F$73,0)</f>
        <v>2000</v>
      </c>
      <c r="W54" s="39" t="n">
        <f aca="false">U54-V54</f>
        <v>-5871.28473156445</v>
      </c>
      <c r="X54" s="35" t="n">
        <f aca="false">IF(R54&gt;0,1,0)</f>
        <v>1</v>
      </c>
      <c r="Y54" s="78" t="n">
        <f aca="false">'Plan-Kunden'!P54</f>
        <v>56.0616398966621</v>
      </c>
      <c r="Z54" s="105" t="n">
        <f aca="false">'Plan-Kunden'!Q54</f>
        <v>0</v>
      </c>
      <c r="AA54" s="105" t="n">
        <f aca="false">IF(D54&gt;='Plan-Phase B'!$C$22,1,0)</f>
        <v>0</v>
      </c>
      <c r="AB54" s="105" t="n">
        <f aca="false">IF(D54&gt;='Plan-Phase B'!$D$22,1,0)</f>
        <v>0</v>
      </c>
      <c r="AC54" s="105" t="n">
        <f aca="false">IF(D54&gt;='Plan-Phase B'!$E$22,1,0)</f>
        <v>0</v>
      </c>
      <c r="AD54" s="35" t="n">
        <f aca="false">IF(AND(W54&gt;=0,A54&gt;$K$35),1,0)</f>
        <v>0</v>
      </c>
      <c r="AE54" s="35" t="n">
        <f aca="false">IF(A54&gt;=$O$35,1,0)</f>
        <v>1</v>
      </c>
    </row>
    <row r="55" customFormat="false" ht="15" hidden="false" customHeight="true" outlineLevel="0" collapsed="false">
      <c r="A55" s="35" t="n">
        <v>19</v>
      </c>
      <c r="B55" s="73" t="n">
        <f aca="false">'Plan-Kunden'!B55</f>
        <v>46813</v>
      </c>
      <c r="C55" s="78" t="n">
        <f aca="false">'Plan-Kunden'!E55</f>
        <v>3.44405718704072</v>
      </c>
      <c r="D55" s="78" t="n">
        <f aca="false">'Plan-Kunden'!K55</f>
        <v>31.6342631560956</v>
      </c>
      <c r="E55" s="78" t="n">
        <f aca="false">'Plan-Kunden'!I55</f>
        <v>22.0105677217302</v>
      </c>
      <c r="F55" s="78" t="n">
        <f aca="false">'Plan-Kunden'!J55</f>
        <v>9.6236954343654</v>
      </c>
      <c r="G55" s="104" t="n">
        <f aca="false">D55*'Plan-Annahmen'!$B$21</f>
        <v>253.074105248764</v>
      </c>
      <c r="H55" s="100" t="n">
        <f aca="false">E55*'Plan-Annahmen'!$B$14+F55*'Plan-Annahmen'!$B$15</f>
        <v>1109.86754021408</v>
      </c>
      <c r="I55" s="100" t="n">
        <f aca="false">H55*('Plan-Annahmen'!$B$52+'Plan-Annahmen'!$B$53)</f>
        <v>33.2960262064224</v>
      </c>
      <c r="J55" s="100" t="n">
        <f aca="false">E55*('Plan-Annahmen'!$B$14*'Plan-Annahmen'!$B$18+'Plan-Annahmen'!$B$19)+F55*('Plan-Annahmen'!$B$15*'Plan-Annahmen'!$B$18+'Plan-Annahmen'!$B$19)</f>
        <v>24.5565788922351</v>
      </c>
      <c r="K55" s="100" t="n">
        <f aca="false">G55*'Plan-Annahmen'!$B$17/100</f>
        <v>6.32685263121911</v>
      </c>
      <c r="L55" s="100" t="n">
        <f aca="false">'Plan-Kunden'!D55*'Plan-Annahmen'!$B$15*'Plan-Annahmen'!$B$50</f>
        <v>0</v>
      </c>
      <c r="M55" s="100" t="n">
        <f aca="false">'Plan-Kosten'!AF$61</f>
        <v>298.364455875808</v>
      </c>
      <c r="N55" s="100" t="n">
        <f aca="false">IF(A55&gt;=$O$35,'Plan-Kosten'!$F$71,0)</f>
        <v>210</v>
      </c>
      <c r="O55" s="100" t="n">
        <f aca="false">'Plan-Kosten'!AF$58</f>
        <v>0</v>
      </c>
      <c r="P55" s="100" t="n">
        <f aca="false">IF(A55=$O$35,'Plan-Kosten'!$F$72,0)</f>
        <v>0</v>
      </c>
      <c r="Q55" s="67" t="n">
        <f aca="false">I55+J55+K55+L55+M55+N55+O55+P55</f>
        <v>572.543913605685</v>
      </c>
      <c r="R55" s="39" t="n">
        <f aca="false">H55-Q55</f>
        <v>537.323626608394</v>
      </c>
      <c r="S55" s="100" t="n">
        <f aca="false">MAX(0,R55*'Plan-Annahmen'!$B$82)</f>
        <v>165.69382582917</v>
      </c>
      <c r="T55" s="67" t="n">
        <f aca="false">R55-S55</f>
        <v>371.629800779224</v>
      </c>
      <c r="U55" s="67" t="n">
        <f aca="false">U54+T55</f>
        <v>-3499.65493078522</v>
      </c>
      <c r="V55" s="100" t="n">
        <f aca="false">V54+'Plan-Kosten'!AF$59+IF(A55=$O$35,'Plan-Kosten'!$F$73,0)</f>
        <v>2000</v>
      </c>
      <c r="W55" s="39" t="n">
        <f aca="false">U55-V55</f>
        <v>-5499.65493078523</v>
      </c>
      <c r="X55" s="35" t="n">
        <f aca="false">IF(R55&gt;0,1,0)</f>
        <v>1</v>
      </c>
      <c r="Y55" s="78" t="n">
        <f aca="false">'Plan-Kunden'!P55</f>
        <v>57.4343361338694</v>
      </c>
      <c r="Z55" s="105" t="n">
        <f aca="false">'Plan-Kunden'!Q55</f>
        <v>0</v>
      </c>
      <c r="AA55" s="105" t="n">
        <f aca="false">IF(D55&gt;='Plan-Phase B'!$C$22,1,0)</f>
        <v>0</v>
      </c>
      <c r="AB55" s="105" t="n">
        <f aca="false">IF(D55&gt;='Plan-Phase B'!$D$22,1,0)</f>
        <v>0</v>
      </c>
      <c r="AC55" s="105" t="n">
        <f aca="false">IF(D55&gt;='Plan-Phase B'!$E$22,1,0)</f>
        <v>0</v>
      </c>
      <c r="AD55" s="35" t="n">
        <f aca="false">IF(AND(W55&gt;=0,A55&gt;$K$35),1,0)</f>
        <v>0</v>
      </c>
      <c r="AE55" s="35" t="n">
        <f aca="false">IF(A55&gt;=$O$35,1,0)</f>
        <v>1</v>
      </c>
    </row>
    <row r="56" customFormat="false" ht="15" hidden="false" customHeight="true" outlineLevel="0" collapsed="false">
      <c r="A56" s="35" t="n">
        <v>20</v>
      </c>
      <c r="B56" s="73" t="n">
        <f aca="false">'Plan-Kunden'!B56</f>
        <v>46844</v>
      </c>
      <c r="C56" s="78" t="n">
        <f aca="false">'Plan-Kunden'!E56</f>
        <v>4.21952212981104</v>
      </c>
      <c r="D56" s="78" t="n">
        <f aca="false">'Plan-Kunden'!K56</f>
        <v>35.138678952706</v>
      </c>
      <c r="E56" s="78" t="n">
        <f aca="false">'Plan-Kunden'!I56</f>
        <v>21.6804092059042</v>
      </c>
      <c r="F56" s="78" t="n">
        <f aca="false">'Plan-Kunden'!J56</f>
        <v>13.4582697468018</v>
      </c>
      <c r="G56" s="104" t="n">
        <f aca="false">D56*'Plan-Annahmen'!$B$21</f>
        <v>281.109431621648</v>
      </c>
      <c r="H56" s="100" t="n">
        <f aca="false">E56*'Plan-Annahmen'!$B$14+F56*'Plan-Annahmen'!$B$15</f>
        <v>1288.18708456451</v>
      </c>
      <c r="I56" s="100" t="n">
        <f aca="false">H56*('Plan-Annahmen'!$B$52+'Plan-Annahmen'!$B$53)</f>
        <v>38.6456125369353</v>
      </c>
      <c r="J56" s="100" t="n">
        <f aca="false">E56*('Plan-Annahmen'!$B$14*'Plan-Annahmen'!$B$18+'Plan-Annahmen'!$B$19)+F56*('Plan-Annahmen'!$B$15*'Plan-Annahmen'!$B$18+'Plan-Annahmen'!$B$19)</f>
        <v>28.1074760066442</v>
      </c>
      <c r="K56" s="100" t="n">
        <f aca="false">G56*'Plan-Annahmen'!$B$17/100</f>
        <v>7.02773579054121</v>
      </c>
      <c r="L56" s="100" t="n">
        <f aca="false">'Plan-Kunden'!D56*'Plan-Annahmen'!$B$15*'Plan-Annahmen'!$B$50</f>
        <v>0</v>
      </c>
      <c r="M56" s="100" t="n">
        <f aca="false">'Plan-Kosten'!AG$61</f>
        <v>398.364455875808</v>
      </c>
      <c r="N56" s="100" t="n">
        <f aca="false">IF(A56&gt;=$O$35,'Plan-Kosten'!$F$71,0)</f>
        <v>210</v>
      </c>
      <c r="O56" s="100" t="n">
        <f aca="false">'Plan-Kosten'!AG$58</f>
        <v>0</v>
      </c>
      <c r="P56" s="100" t="n">
        <f aca="false">IF(A56=$O$35,'Plan-Kosten'!$F$72,0)</f>
        <v>0</v>
      </c>
      <c r="Q56" s="67" t="n">
        <f aca="false">I56+J56+K56+L56+M56+N56+O56+P56</f>
        <v>682.145280209929</v>
      </c>
      <c r="R56" s="39" t="n">
        <f aca="false">H56-Q56</f>
        <v>606.041804354582</v>
      </c>
      <c r="S56" s="100" t="n">
        <f aca="false">MAX(0,R56*'Plan-Annahmen'!$B$82)</f>
        <v>186.884365777403</v>
      </c>
      <c r="T56" s="67" t="n">
        <f aca="false">R56-S56</f>
        <v>419.157438577179</v>
      </c>
      <c r="U56" s="67" t="n">
        <f aca="false">U55+T56</f>
        <v>-3080.49749220805</v>
      </c>
      <c r="V56" s="100" t="n">
        <f aca="false">V55+'Plan-Kosten'!AG$59+IF(A56=$O$35,'Plan-Kosten'!$F$73,0)</f>
        <v>2000</v>
      </c>
      <c r="W56" s="39" t="n">
        <f aca="false">U56-V56</f>
        <v>-5080.49749220805</v>
      </c>
      <c r="X56" s="35" t="n">
        <f aca="false">IF(R56&gt;0,1,0)</f>
        <v>1</v>
      </c>
      <c r="Y56" s="78" t="n">
        <f aca="false">'Plan-Kunden'!P56</f>
        <v>59.2611258156229</v>
      </c>
      <c r="Z56" s="105" t="n">
        <f aca="false">'Plan-Kunden'!Q56</f>
        <v>0</v>
      </c>
      <c r="AA56" s="105" t="n">
        <f aca="false">IF(D56&gt;='Plan-Phase B'!$C$22,1,0)</f>
        <v>0</v>
      </c>
      <c r="AB56" s="105" t="n">
        <f aca="false">IF(D56&gt;='Plan-Phase B'!$D$22,1,0)</f>
        <v>0</v>
      </c>
      <c r="AC56" s="105" t="n">
        <f aca="false">IF(D56&gt;='Plan-Phase B'!$E$22,1,0)</f>
        <v>0</v>
      </c>
      <c r="AD56" s="35" t="n">
        <f aca="false">IF(AND(W56&gt;=0,A56&gt;$K$35),1,0)</f>
        <v>0</v>
      </c>
      <c r="AE56" s="35" t="n">
        <f aca="false">IF(A56&gt;=$O$35,1,0)</f>
        <v>1</v>
      </c>
    </row>
    <row r="57" customFormat="false" ht="15" hidden="false" customHeight="true" outlineLevel="0" collapsed="false">
      <c r="A57" s="35" t="n">
        <v>21</v>
      </c>
      <c r="B57" s="73" t="n">
        <f aca="false">'Plan-Kunden'!B57</f>
        <v>46874</v>
      </c>
      <c r="C57" s="78" t="n">
        <f aca="false">'Plan-Kunden'!E57</f>
        <v>3.73985731005425</v>
      </c>
      <c r="D57" s="78" t="n">
        <f aca="false">'Plan-Kunden'!K57</f>
        <v>38.0149993347996</v>
      </c>
      <c r="E57" s="78" t="n">
        <f aca="false">'Plan-Kunden'!I57</f>
        <v>21.3552030678156</v>
      </c>
      <c r="F57" s="78" t="n">
        <f aca="false">'Plan-Kunden'!J57</f>
        <v>16.659796266984</v>
      </c>
      <c r="G57" s="104" t="n">
        <f aca="false">D57*'Plan-Annahmen'!$B$21</f>
        <v>304.119994678397</v>
      </c>
      <c r="H57" s="100" t="n">
        <f aca="false">E57*'Plan-Annahmen'!$B$14+F57*'Plan-Annahmen'!$B$15</f>
        <v>1435.63090604887</v>
      </c>
      <c r="I57" s="100" t="n">
        <f aca="false">H57*('Plan-Annahmen'!$B$52+'Plan-Annahmen'!$B$53)</f>
        <v>43.0689271814661</v>
      </c>
      <c r="J57" s="100" t="n">
        <f aca="false">E57*('Plan-Annahmen'!$B$14*'Plan-Annahmen'!$B$18+'Plan-Annahmen'!$B$19)+F57*('Plan-Annahmen'!$B$15*'Plan-Annahmen'!$B$18+'Plan-Annahmen'!$B$19)</f>
        <v>31.038213424433</v>
      </c>
      <c r="K57" s="100" t="n">
        <f aca="false">G57*'Plan-Annahmen'!$B$17/100</f>
        <v>7.60299986695993</v>
      </c>
      <c r="L57" s="100" t="n">
        <f aca="false">'Plan-Kunden'!D57*'Plan-Annahmen'!$B$15*'Plan-Annahmen'!$B$50</f>
        <v>0</v>
      </c>
      <c r="M57" s="100" t="n">
        <f aca="false">'Plan-Kosten'!AH$61</f>
        <v>298.364455875808</v>
      </c>
      <c r="N57" s="100" t="n">
        <f aca="false">IF(A57&gt;=$O$35,'Plan-Kosten'!$F$71,0)</f>
        <v>210</v>
      </c>
      <c r="O57" s="100" t="n">
        <f aca="false">'Plan-Kosten'!AH$58</f>
        <v>0</v>
      </c>
      <c r="P57" s="100" t="n">
        <f aca="false">IF(A57=$O$35,'Plan-Kosten'!$F$72,0)</f>
        <v>0</v>
      </c>
      <c r="Q57" s="67" t="n">
        <f aca="false">I57+J57+K57+L57+M57+N57+O57+P57</f>
        <v>590.074596348667</v>
      </c>
      <c r="R57" s="39" t="n">
        <f aca="false">H57-Q57</f>
        <v>845.556309700203</v>
      </c>
      <c r="S57" s="100" t="n">
        <f aca="false">MAX(0,R57*'Plan-Annahmen'!$B$82)</f>
        <v>260.743159187991</v>
      </c>
      <c r="T57" s="67" t="n">
        <f aca="false">R57-S57</f>
        <v>584.813150512212</v>
      </c>
      <c r="U57" s="67" t="n">
        <f aca="false">U56+T57</f>
        <v>-2495.68434169583</v>
      </c>
      <c r="V57" s="100" t="n">
        <f aca="false">V56+'Plan-Kosten'!AH$59+IF(A57=$O$35,'Plan-Kosten'!$F$73,0)</f>
        <v>2000</v>
      </c>
      <c r="W57" s="39" t="n">
        <f aca="false">U57-V57</f>
        <v>-4495.68434169583</v>
      </c>
      <c r="X57" s="35" t="n">
        <f aca="false">IF(R57&gt;0,1,0)</f>
        <v>1</v>
      </c>
      <c r="Y57" s="78" t="n">
        <f aca="false">'Plan-Kunden'!P57</f>
        <v>59.6443571104941</v>
      </c>
      <c r="Z57" s="105" t="n">
        <f aca="false">'Plan-Kunden'!Q57</f>
        <v>0</v>
      </c>
      <c r="AA57" s="105" t="n">
        <f aca="false">IF(D57&gt;='Plan-Phase B'!$C$22,1,0)</f>
        <v>1</v>
      </c>
      <c r="AB57" s="105" t="n">
        <f aca="false">IF(D57&gt;='Plan-Phase B'!$D$22,1,0)</f>
        <v>0</v>
      </c>
      <c r="AC57" s="105" t="n">
        <f aca="false">IF(D57&gt;='Plan-Phase B'!$E$22,1,0)</f>
        <v>0</v>
      </c>
      <c r="AD57" s="35" t="n">
        <f aca="false">IF(AND(W57&gt;=0,A57&gt;$K$35),1,0)</f>
        <v>0</v>
      </c>
      <c r="AE57" s="35" t="n">
        <f aca="false">IF(A57&gt;=$O$35,1,0)</f>
        <v>1</v>
      </c>
    </row>
    <row r="58" customFormat="false" ht="15" hidden="false" customHeight="true" outlineLevel="0" collapsed="false">
      <c r="A58" s="35" t="n">
        <v>22</v>
      </c>
      <c r="B58" s="73" t="n">
        <f aca="false">'Plan-Kunden'!B58</f>
        <v>46905</v>
      </c>
      <c r="C58" s="78" t="n">
        <f aca="false">'Plan-Kunden'!E58</f>
        <v>3.76361885963413</v>
      </c>
      <c r="D58" s="78" t="n">
        <f aca="false">'Plan-Kunden'!K58</f>
        <v>40.7918982977372</v>
      </c>
      <c r="E58" s="78" t="n">
        <f aca="false">'Plan-Kunden'!I58</f>
        <v>21.0348750217984</v>
      </c>
      <c r="F58" s="78" t="n">
        <f aca="false">'Plan-Kunden'!J58</f>
        <v>19.7570232759388</v>
      </c>
      <c r="G58" s="104" t="n">
        <f aca="false">D58*'Plan-Annahmen'!$B$21</f>
        <v>326.335186381897</v>
      </c>
      <c r="H58" s="100" t="n">
        <f aca="false">E58*'Plan-Annahmen'!$B$14+F58*'Plan-Annahmen'!$B$15</f>
        <v>1578.10551615315</v>
      </c>
      <c r="I58" s="100" t="n">
        <f aca="false">H58*('Plan-Annahmen'!$B$52+'Plan-Annahmen'!$B$53)</f>
        <v>47.3431654845946</v>
      </c>
      <c r="J58" s="100" t="n">
        <f aca="false">E58*('Plan-Annahmen'!$B$14*'Plan-Annahmen'!$B$18+'Plan-Annahmen'!$B$19)+F58*('Plan-Annahmen'!$B$15*'Plan-Annahmen'!$B$18+'Plan-Annahmen'!$B$19)</f>
        <v>33.8695573167316</v>
      </c>
      <c r="K58" s="100" t="n">
        <f aca="false">G58*'Plan-Annahmen'!$B$17/100</f>
        <v>8.15837965954744</v>
      </c>
      <c r="L58" s="100" t="n">
        <f aca="false">'Plan-Kunden'!D58*'Plan-Annahmen'!$B$15*'Plan-Annahmen'!$B$50</f>
        <v>0</v>
      </c>
      <c r="M58" s="100" t="n">
        <f aca="false">'Plan-Kosten'!AI$61</f>
        <v>398.364455875808</v>
      </c>
      <c r="N58" s="100" t="n">
        <f aca="false">IF(A58&gt;=$O$35,'Plan-Kosten'!$F$71,0)</f>
        <v>210</v>
      </c>
      <c r="O58" s="100" t="n">
        <f aca="false">'Plan-Kosten'!AI$58</f>
        <v>0</v>
      </c>
      <c r="P58" s="100" t="n">
        <f aca="false">IF(A58=$O$35,'Plan-Kosten'!$F$72,0)</f>
        <v>0</v>
      </c>
      <c r="Q58" s="67" t="n">
        <f aca="false">I58+J58+K58+L58+M58+N58+O58+P58</f>
        <v>697.735558336682</v>
      </c>
      <c r="R58" s="39" t="n">
        <f aca="false">H58-Q58</f>
        <v>880.369957816472</v>
      </c>
      <c r="S58" s="100" t="n">
        <f aca="false">MAX(0,R58*'Plan-Annahmen'!$B$82)</f>
        <v>271.478601036817</v>
      </c>
      <c r="T58" s="67" t="n">
        <f aca="false">R58-S58</f>
        <v>608.891356779654</v>
      </c>
      <c r="U58" s="67" t="n">
        <f aca="false">U57+T58</f>
        <v>-1886.79298491618</v>
      </c>
      <c r="V58" s="100" t="n">
        <f aca="false">V57+'Plan-Kosten'!AI$59+IF(A58=$O$35,'Plan-Kosten'!$F$73,0)</f>
        <v>2000</v>
      </c>
      <c r="W58" s="39" t="n">
        <f aca="false">U58-V58</f>
        <v>-3886.79298491618</v>
      </c>
      <c r="X58" s="35" t="n">
        <f aca="false">IF(R58&gt;0,1,0)</f>
        <v>1</v>
      </c>
      <c r="Y58" s="78" t="n">
        <f aca="false">'Plan-Kunden'!P58</f>
        <v>60.5011883489553</v>
      </c>
      <c r="Z58" s="105" t="n">
        <f aca="false">'Plan-Kunden'!Q58</f>
        <v>0</v>
      </c>
      <c r="AA58" s="105" t="n">
        <f aca="false">IF(D58&gt;='Plan-Phase B'!$C$22,1,0)</f>
        <v>1</v>
      </c>
      <c r="AB58" s="105" t="n">
        <f aca="false">IF(D58&gt;='Plan-Phase B'!$D$22,1,0)</f>
        <v>0</v>
      </c>
      <c r="AC58" s="105" t="n">
        <f aca="false">IF(D58&gt;='Plan-Phase B'!$E$22,1,0)</f>
        <v>0</v>
      </c>
      <c r="AD58" s="35" t="n">
        <f aca="false">IF(AND(W58&gt;=0,A58&gt;$K$35),1,0)</f>
        <v>0</v>
      </c>
      <c r="AE58" s="35" t="n">
        <f aca="false">IF(A58&gt;=$O$35,1,0)</f>
        <v>1</v>
      </c>
    </row>
    <row r="59" customFormat="false" ht="15" hidden="false" customHeight="true" outlineLevel="0" collapsed="false">
      <c r="A59" s="35" t="n">
        <v>23</v>
      </c>
      <c r="B59" s="73" t="n">
        <f aca="false">'Plan-Kunden'!B59</f>
        <v>46935</v>
      </c>
      <c r="C59" s="78" t="n">
        <f aca="false">'Plan-Kunden'!E59</f>
        <v>4.29282232460588</v>
      </c>
      <c r="D59" s="78" t="n">
        <f aca="false">'Plan-Kunden'!K59</f>
        <v>43.9789165659785</v>
      </c>
      <c r="E59" s="78" t="n">
        <f aca="false">'Plan-Kunden'!I59</f>
        <v>20.7193518964714</v>
      </c>
      <c r="F59" s="78" t="n">
        <f aca="false">'Plan-Kunden'!J59</f>
        <v>23.2595646695071</v>
      </c>
      <c r="G59" s="104" t="n">
        <f aca="false">D59*'Plan-Annahmen'!$B$21</f>
        <v>351.831332527828</v>
      </c>
      <c r="H59" s="100" t="n">
        <f aca="false">E59*'Plan-Annahmen'!$B$14+F59*'Plan-Annahmen'!$B$15</f>
        <v>1740.57987380352</v>
      </c>
      <c r="I59" s="100" t="n">
        <f aca="false">H59*('Plan-Annahmen'!$B$52+'Plan-Annahmen'!$B$53)</f>
        <v>52.2173962141056</v>
      </c>
      <c r="J59" s="100" t="n">
        <f aca="false">E59*('Plan-Annahmen'!$B$14*'Plan-Annahmen'!$B$18+'Plan-Annahmen'!$B$19)+F59*('Plan-Annahmen'!$B$15*'Plan-Annahmen'!$B$18+'Plan-Annahmen'!$B$19)</f>
        <v>37.1034272485474</v>
      </c>
      <c r="K59" s="100" t="n">
        <f aca="false">G59*'Plan-Annahmen'!$B$17/100</f>
        <v>8.79578331319571</v>
      </c>
      <c r="L59" s="100" t="n">
        <f aca="false">'Plan-Kunden'!D59*'Plan-Annahmen'!$B$15*'Plan-Annahmen'!$B$50</f>
        <v>0</v>
      </c>
      <c r="M59" s="100" t="n">
        <f aca="false">'Plan-Kosten'!AJ$61</f>
        <v>298.364455875808</v>
      </c>
      <c r="N59" s="100" t="n">
        <f aca="false">IF(A59&gt;=$O$35,'Plan-Kosten'!$F$71,0)</f>
        <v>210</v>
      </c>
      <c r="O59" s="100" t="n">
        <f aca="false">'Plan-Kosten'!AJ$58</f>
        <v>0</v>
      </c>
      <c r="P59" s="100" t="n">
        <f aca="false">IF(A59=$O$35,'Plan-Kosten'!$F$72,0)</f>
        <v>0</v>
      </c>
      <c r="Q59" s="67" t="n">
        <f aca="false">I59+J59+K59+L59+M59+N59+O59+P59</f>
        <v>606.481062651657</v>
      </c>
      <c r="R59" s="39" t="n">
        <f aca="false">H59-Q59</f>
        <v>1134.09881115186</v>
      </c>
      <c r="S59" s="100" t="n">
        <f aca="false">MAX(0,R59*'Plan-Annahmen'!$B$82)</f>
        <v>349.720655453362</v>
      </c>
      <c r="T59" s="67" t="n">
        <f aca="false">R59-S59</f>
        <v>784.3781556985</v>
      </c>
      <c r="U59" s="67" t="n">
        <f aca="false">U58+T59</f>
        <v>-1102.41482921768</v>
      </c>
      <c r="V59" s="100" t="n">
        <f aca="false">V58+'Plan-Kosten'!AJ$59+IF(A59=$O$35,'Plan-Kosten'!$F$73,0)</f>
        <v>2000</v>
      </c>
      <c r="W59" s="39" t="n">
        <f aca="false">U59-V59</f>
        <v>-3102.41482921768</v>
      </c>
      <c r="X59" s="35" t="n">
        <f aca="false">IF(R59&gt;0,1,0)</f>
        <v>1</v>
      </c>
      <c r="Y59" s="78" t="n">
        <f aca="false">'Plan-Kunden'!P59</f>
        <v>61.9864972943995</v>
      </c>
      <c r="Z59" s="105" t="n">
        <f aca="false">'Plan-Kunden'!Q59</f>
        <v>0</v>
      </c>
      <c r="AA59" s="105" t="n">
        <f aca="false">IF(D59&gt;='Plan-Phase B'!$C$22,1,0)</f>
        <v>1</v>
      </c>
      <c r="AB59" s="105" t="n">
        <f aca="false">IF(D59&gt;='Plan-Phase B'!$D$22,1,0)</f>
        <v>0</v>
      </c>
      <c r="AC59" s="105" t="n">
        <f aca="false">IF(D59&gt;='Plan-Phase B'!$E$22,1,0)</f>
        <v>0</v>
      </c>
      <c r="AD59" s="35" t="n">
        <f aca="false">IF(AND(W59&gt;=0,A59&gt;$K$35),1,0)</f>
        <v>0</v>
      </c>
      <c r="AE59" s="35" t="n">
        <f aca="false">IF(A59&gt;=$O$35,1,0)</f>
        <v>1</v>
      </c>
    </row>
    <row r="60" customFormat="false" ht="15" hidden="false" customHeight="true" outlineLevel="0" collapsed="false">
      <c r="A60" s="35" t="n">
        <v>24</v>
      </c>
      <c r="B60" s="73" t="n">
        <f aca="false">'Plan-Kunden'!B60</f>
        <v>46966</v>
      </c>
      <c r="C60" s="78" t="n">
        <f aca="false">'Plan-Kunden'!E60</f>
        <v>3.81679166112333</v>
      </c>
      <c r="D60" s="78" t="n">
        <f aca="false">'Plan-Kunden'!K60</f>
        <v>46.5545353618745</v>
      </c>
      <c r="E60" s="78" t="n">
        <f aca="false">'Plan-Kunden'!I60</f>
        <v>20.4085616180244</v>
      </c>
      <c r="F60" s="78" t="n">
        <f aca="false">'Plan-Kunden'!J60</f>
        <v>26.1459737438501</v>
      </c>
      <c r="G60" s="104" t="n">
        <f aca="false">D60*'Plan-Annahmen'!$B$21</f>
        <v>372.436282894996</v>
      </c>
      <c r="H60" s="100" t="n">
        <f aca="false">E60*'Plan-Annahmen'!$B$14+F60*'Plan-Annahmen'!$B$15</f>
        <v>1873.00100037136</v>
      </c>
      <c r="I60" s="100" t="n">
        <f aca="false">H60*('Plan-Annahmen'!$B$52+'Plan-Annahmen'!$B$53)</f>
        <v>56.1900300111409</v>
      </c>
      <c r="J60" s="100" t="n">
        <f aca="false">E60*('Plan-Annahmen'!$B$14*'Plan-Annahmen'!$B$18+'Plan-Annahmen'!$B$19)+F60*('Plan-Annahmen'!$B$15*'Plan-Annahmen'!$B$18+'Plan-Annahmen'!$B$19)</f>
        <v>39.7336488460391</v>
      </c>
      <c r="K60" s="100" t="n">
        <f aca="false">G60*'Plan-Annahmen'!$B$17/100</f>
        <v>9.3109070723749</v>
      </c>
      <c r="L60" s="100" t="n">
        <f aca="false">'Plan-Kunden'!D60*'Plan-Annahmen'!$B$15*'Plan-Annahmen'!$B$50</f>
        <v>0</v>
      </c>
      <c r="M60" s="100" t="n">
        <f aca="false">'Plan-Kosten'!AK$61</f>
        <v>398.364455875808</v>
      </c>
      <c r="N60" s="100" t="n">
        <f aca="false">IF(A60&gt;=$O$35,'Plan-Kosten'!$F$71,0)</f>
        <v>210</v>
      </c>
      <c r="O60" s="100" t="n">
        <f aca="false">'Plan-Kosten'!AK$58</f>
        <v>0</v>
      </c>
      <c r="P60" s="100" t="n">
        <f aca="false">IF(A60=$O$35,'Plan-Kosten'!$F$72,0)</f>
        <v>0</v>
      </c>
      <c r="Q60" s="67" t="n">
        <f aca="false">I60+J60+K60+L60+M60+N60+O60+P60</f>
        <v>713.599041805363</v>
      </c>
      <c r="R60" s="39" t="n">
        <f aca="false">H60-Q60</f>
        <v>1159.401958566</v>
      </c>
      <c r="S60" s="100" t="n">
        <f aca="false">MAX(0,R60*'Plan-Annahmen'!$B$82)</f>
        <v>357.523355898589</v>
      </c>
      <c r="T60" s="67" t="n">
        <f aca="false">R60-S60</f>
        <v>801.878602667412</v>
      </c>
      <c r="U60" s="67" t="n">
        <f aca="false">U59+T60</f>
        <v>-300.536226550267</v>
      </c>
      <c r="V60" s="100" t="n">
        <f aca="false">V59+'Plan-Kosten'!AK$59+IF(A60=$O$35,'Plan-Kosten'!$F$73,0)</f>
        <v>2000</v>
      </c>
      <c r="W60" s="39" t="n">
        <f aca="false">U60-V60</f>
        <v>-2300.53622655027</v>
      </c>
      <c r="X60" s="35" t="n">
        <f aca="false">IF(R60&gt;0,1,0)</f>
        <v>1</v>
      </c>
      <c r="Y60" s="78" t="n">
        <f aca="false">'Plan-Kunden'!P60</f>
        <v>62.2831522696857</v>
      </c>
      <c r="Z60" s="105" t="n">
        <f aca="false">'Plan-Kunden'!Q60</f>
        <v>0</v>
      </c>
      <c r="AA60" s="105" t="n">
        <f aca="false">IF(D60&gt;='Plan-Phase B'!$C$22,1,0)</f>
        <v>1</v>
      </c>
      <c r="AB60" s="105" t="n">
        <f aca="false">IF(D60&gt;='Plan-Phase B'!$D$22,1,0)</f>
        <v>1</v>
      </c>
      <c r="AC60" s="105" t="n">
        <f aca="false">IF(D60&gt;='Plan-Phase B'!$E$22,1,0)</f>
        <v>0</v>
      </c>
      <c r="AD60" s="35" t="n">
        <f aca="false">IF(AND(W60&gt;=0,A60&gt;$K$35),1,0)</f>
        <v>0</v>
      </c>
      <c r="AE60" s="35" t="n">
        <f aca="false">IF(A60&gt;=$O$35,1,0)</f>
        <v>1</v>
      </c>
    </row>
    <row r="61" customFormat="false" ht="15" hidden="false" customHeight="true" outlineLevel="0" collapsed="false">
      <c r="A61" s="14" t="s">
        <v>734</v>
      </c>
      <c r="B61" s="15"/>
      <c r="C61" s="15"/>
      <c r="D61" s="15"/>
      <c r="E61" s="15"/>
      <c r="F61" s="15"/>
      <c r="G61" s="15"/>
      <c r="H61" s="17" t="n">
        <f aca="false">SUM(H37:H60)</f>
        <v>15312.0458648995</v>
      </c>
      <c r="I61" s="17" t="n">
        <f aca="false">SUM(I37:I60)</f>
        <v>459.361375946986</v>
      </c>
      <c r="J61" s="17" t="n">
        <f aca="false">SUM(J37:J60)</f>
        <v>341.120151952545</v>
      </c>
      <c r="K61" s="17" t="n">
        <f aca="false">SUM(K37:K60)</f>
        <v>89.1515711832416</v>
      </c>
      <c r="L61" s="17" t="n">
        <f aca="false">SUM(L37:L60)</f>
        <v>0</v>
      </c>
      <c r="M61" s="17" t="n">
        <f aca="false">SUM(M37:M60)</f>
        <v>7764.45772533312</v>
      </c>
      <c r="N61" s="17" t="n">
        <f aca="false">SUM(N37:N60)</f>
        <v>2100</v>
      </c>
      <c r="O61" s="17" t="n">
        <f aca="false">SUM(O37:O60)</f>
        <v>1976.5</v>
      </c>
      <c r="P61" s="17" t="n">
        <f aca="false">SUM(P37:P60)</f>
        <v>980</v>
      </c>
      <c r="Q61" s="17" t="n">
        <f aca="false">SUM(Q37:Q60)</f>
        <v>13710.5908244159</v>
      </c>
      <c r="R61" s="17" t="n">
        <f aca="false">SUM(R37:R60)</f>
        <v>1601.45504048363</v>
      </c>
      <c r="S61" s="17" t="n">
        <f aca="false">SUM(S37:S60)</f>
        <v>1901.9912670339</v>
      </c>
      <c r="T61" s="17" t="n">
        <f aca="false">SUM(T37:T60)</f>
        <v>-300.536226550266</v>
      </c>
      <c r="U61" s="15"/>
      <c r="V61" s="15"/>
      <c r="W61" s="15"/>
      <c r="X61" s="15"/>
      <c r="Y61" s="15"/>
      <c r="Z61" s="15"/>
      <c r="AA61" s="15"/>
      <c r="AB61" s="15"/>
      <c r="AC61" s="15"/>
      <c r="AD61" s="15"/>
      <c r="AE61" s="15"/>
    </row>
    <row r="64" customFormat="false" ht="15" hidden="false" customHeight="true" outlineLevel="0" collapsed="false">
      <c r="A64" s="49" t="s">
        <v>514</v>
      </c>
      <c r="H64" s="72" t="s">
        <v>705</v>
      </c>
      <c r="K64" s="49" t="n">
        <f aca="false">MATCH(MIN(W66:W89),W66:W89,0)</f>
        <v>10</v>
      </c>
      <c r="M64" s="72" t="s">
        <v>706</v>
      </c>
      <c r="O64" s="103" t="n">
        <f aca="false">'Plan-Kunden'!$S$90</f>
        <v>10</v>
      </c>
    </row>
    <row r="65" customFormat="false" ht="39" hidden="false" customHeight="true" outlineLevel="0" collapsed="false">
      <c r="A65" s="4" t="s">
        <v>492</v>
      </c>
      <c r="B65" s="4" t="s">
        <v>493</v>
      </c>
      <c r="C65" s="4" t="s">
        <v>707</v>
      </c>
      <c r="D65" s="4" t="s">
        <v>708</v>
      </c>
      <c r="E65" s="4" t="s">
        <v>709</v>
      </c>
      <c r="F65" s="4" t="s">
        <v>710</v>
      </c>
      <c r="G65" s="4" t="s">
        <v>353</v>
      </c>
      <c r="H65" s="4" t="s">
        <v>711</v>
      </c>
      <c r="I65" s="4" t="s">
        <v>712</v>
      </c>
      <c r="J65" s="4" t="s">
        <v>713</v>
      </c>
      <c r="K65" s="4" t="s">
        <v>714</v>
      </c>
      <c r="L65" s="4" t="s">
        <v>715</v>
      </c>
      <c r="M65" s="4" t="s">
        <v>716</v>
      </c>
      <c r="N65" s="4" t="s">
        <v>717</v>
      </c>
      <c r="O65" s="4" t="s">
        <v>718</v>
      </c>
      <c r="P65" s="4" t="s">
        <v>719</v>
      </c>
      <c r="Q65" s="4" t="s">
        <v>720</v>
      </c>
      <c r="R65" s="4" t="s">
        <v>721</v>
      </c>
      <c r="S65" s="4" t="s">
        <v>722</v>
      </c>
      <c r="T65" s="4" t="s">
        <v>723</v>
      </c>
      <c r="U65" s="4" t="s">
        <v>724</v>
      </c>
      <c r="V65" s="4" t="s">
        <v>725</v>
      </c>
      <c r="W65" s="4" t="s">
        <v>726</v>
      </c>
      <c r="X65" s="4" t="s">
        <v>727</v>
      </c>
      <c r="Y65" s="4" t="s">
        <v>507</v>
      </c>
      <c r="Z65" s="4" t="s">
        <v>728</v>
      </c>
      <c r="AA65" s="4" t="s">
        <v>729</v>
      </c>
      <c r="AB65" s="4" t="s">
        <v>730</v>
      </c>
      <c r="AC65" s="4" t="s">
        <v>731</v>
      </c>
      <c r="AD65" s="4" t="s">
        <v>732</v>
      </c>
      <c r="AE65" s="4" t="s">
        <v>733</v>
      </c>
    </row>
    <row r="66" customFormat="false" ht="15" hidden="false" customHeight="true" outlineLevel="0" collapsed="false">
      <c r="A66" s="35" t="n">
        <v>1</v>
      </c>
      <c r="B66" s="73" t="n">
        <f aca="false">'Plan-Kunden'!B66</f>
        <v>46266</v>
      </c>
      <c r="C66" s="78" t="n">
        <f aca="false">'Plan-Kunden'!E66</f>
        <v>0</v>
      </c>
      <c r="D66" s="78" t="n">
        <f aca="false">'Plan-Kunden'!K66</f>
        <v>0</v>
      </c>
      <c r="E66" s="78" t="n">
        <f aca="false">'Plan-Kunden'!I66</f>
        <v>0</v>
      </c>
      <c r="F66" s="78" t="n">
        <f aca="false">'Plan-Kunden'!J66</f>
        <v>0</v>
      </c>
      <c r="G66" s="104" t="n">
        <f aca="false">D66*'Plan-Annahmen'!$B$21</f>
        <v>0</v>
      </c>
      <c r="H66" s="100" t="n">
        <f aca="false">E66*'Plan-Annahmen'!$B$14+F66*'Plan-Annahmen'!$B$15</f>
        <v>0</v>
      </c>
      <c r="I66" s="100" t="n">
        <f aca="false">H66*('Plan-Annahmen'!$B$52+'Plan-Annahmen'!$B$53)</f>
        <v>0</v>
      </c>
      <c r="J66" s="100" t="n">
        <f aca="false">E66*('Plan-Annahmen'!$B$14*'Plan-Annahmen'!$B$18+'Plan-Annahmen'!$B$19)+F66*('Plan-Annahmen'!$B$15*'Plan-Annahmen'!$B$18+'Plan-Annahmen'!$B$19)</f>
        <v>0</v>
      </c>
      <c r="K66" s="100" t="n">
        <f aca="false">G66*'Plan-Annahmen'!$B$17/100</f>
        <v>0</v>
      </c>
      <c r="L66" s="100" t="n">
        <f aca="false">'Plan-Kunden'!D66*'Plan-Annahmen'!$B$15*'Plan-Annahmen'!$B$50</f>
        <v>0</v>
      </c>
      <c r="M66" s="100" t="n">
        <f aca="false">'Plan-Kosten'!N$61</f>
        <v>110.585515327626</v>
      </c>
      <c r="N66" s="100" t="n">
        <f aca="false">IF(A66&gt;=$O$64,'Plan-Kosten'!$F$71,0)</f>
        <v>0</v>
      </c>
      <c r="O66" s="100" t="n">
        <f aca="false">'Plan-Kosten'!N$58</f>
        <v>150</v>
      </c>
      <c r="P66" s="100" t="n">
        <f aca="false">IF(A66=$O$64,'Plan-Kosten'!$F$72,0)</f>
        <v>0</v>
      </c>
      <c r="Q66" s="67" t="n">
        <f aca="false">I66+J66+K66+L66+M66+N66+O66+P66</f>
        <v>260.585515327626</v>
      </c>
      <c r="R66" s="39" t="n">
        <f aca="false">H66-Q66</f>
        <v>-260.585515327626</v>
      </c>
      <c r="S66" s="100" t="n">
        <f aca="false">MAX(0,R66*'Plan-Annahmen'!$B$82)</f>
        <v>0</v>
      </c>
      <c r="T66" s="67" t="n">
        <f aca="false">R66-S66</f>
        <v>-260.585515327626</v>
      </c>
      <c r="U66" s="67" t="n">
        <f aca="false">T66</f>
        <v>-260.585515327626</v>
      </c>
      <c r="V66" s="100" t="n">
        <f aca="false">'Plan-Kosten'!N$59+IF(A66=$O$64,'Plan-Kosten'!$F$73,0)</f>
        <v>0</v>
      </c>
      <c r="W66" s="39" t="n">
        <f aca="false">U66-V66</f>
        <v>-260.585515327626</v>
      </c>
      <c r="X66" s="35" t="n">
        <f aca="false">IF(R66&gt;0,1,0)</f>
        <v>0</v>
      </c>
      <c r="Y66" s="78" t="n">
        <f aca="false">'Plan-Kunden'!P66</f>
        <v>29</v>
      </c>
      <c r="Z66" s="105" t="n">
        <f aca="false">'Plan-Kunden'!Q66</f>
        <v>0</v>
      </c>
      <c r="AA66" s="105" t="n">
        <f aca="false">IF(D66&gt;='Plan-Phase B'!$C$22,1,0)</f>
        <v>0</v>
      </c>
      <c r="AB66" s="105" t="n">
        <f aca="false">IF(D66&gt;='Plan-Phase B'!$D$22,1,0)</f>
        <v>0</v>
      </c>
      <c r="AC66" s="105" t="n">
        <f aca="false">IF(D66&gt;='Plan-Phase B'!$E$22,1,0)</f>
        <v>0</v>
      </c>
      <c r="AD66" s="35" t="n">
        <f aca="false">IF(AND(W66&gt;=0,A66&gt;$K$64),1,0)</f>
        <v>0</v>
      </c>
      <c r="AE66" s="35" t="n">
        <f aca="false">IF(A66&gt;=$O$64,1,0)</f>
        <v>0</v>
      </c>
    </row>
    <row r="67" customFormat="false" ht="15" hidden="false" customHeight="true" outlineLevel="0" collapsed="false">
      <c r="A67" s="35" t="n">
        <v>2</v>
      </c>
      <c r="B67" s="73" t="n">
        <f aca="false">'Plan-Kunden'!B67</f>
        <v>46296</v>
      </c>
      <c r="C67" s="78" t="n">
        <f aca="false">'Plan-Kunden'!E67</f>
        <v>0</v>
      </c>
      <c r="D67" s="78" t="n">
        <f aca="false">'Plan-Kunden'!K67</f>
        <v>0</v>
      </c>
      <c r="E67" s="78" t="n">
        <f aca="false">'Plan-Kunden'!I67</f>
        <v>0</v>
      </c>
      <c r="F67" s="78" t="n">
        <f aca="false">'Plan-Kunden'!J67</f>
        <v>0</v>
      </c>
      <c r="G67" s="104" t="n">
        <f aca="false">D67*'Plan-Annahmen'!$B$21</f>
        <v>0</v>
      </c>
      <c r="H67" s="100" t="n">
        <f aca="false">E67*'Plan-Annahmen'!$B$14+F67*'Plan-Annahmen'!$B$15</f>
        <v>0</v>
      </c>
      <c r="I67" s="100" t="n">
        <f aca="false">H67*('Plan-Annahmen'!$B$52+'Plan-Annahmen'!$B$53)</f>
        <v>0</v>
      </c>
      <c r="J67" s="100" t="n">
        <f aca="false">E67*('Plan-Annahmen'!$B$14*'Plan-Annahmen'!$B$18+'Plan-Annahmen'!$B$19)+F67*('Plan-Annahmen'!$B$15*'Plan-Annahmen'!$B$18+'Plan-Annahmen'!$B$19)</f>
        <v>0</v>
      </c>
      <c r="K67" s="100" t="n">
        <f aca="false">G67*'Plan-Annahmen'!$B$17/100</f>
        <v>0</v>
      </c>
      <c r="L67" s="100" t="n">
        <f aca="false">'Plan-Kunden'!D67*'Plan-Annahmen'!$B$15*'Plan-Annahmen'!$B$50</f>
        <v>0</v>
      </c>
      <c r="M67" s="100" t="n">
        <f aca="false">'Plan-Kosten'!O$61</f>
        <v>458.964425770308</v>
      </c>
      <c r="N67" s="100" t="n">
        <f aca="false">IF(A67&gt;=$O$64,'Plan-Kosten'!$F$71,0)</f>
        <v>0</v>
      </c>
      <c r="O67" s="100" t="n">
        <f aca="false">'Plan-Kosten'!O$58</f>
        <v>15</v>
      </c>
      <c r="P67" s="100" t="n">
        <f aca="false">IF(A67=$O$64,'Plan-Kosten'!$F$72,0)</f>
        <v>0</v>
      </c>
      <c r="Q67" s="67" t="n">
        <f aca="false">I67+J67+K67+L67+M67+N67+O67+P67</f>
        <v>473.964425770308</v>
      </c>
      <c r="R67" s="39" t="n">
        <f aca="false">H67-Q67</f>
        <v>-473.964425770308</v>
      </c>
      <c r="S67" s="100" t="n">
        <f aca="false">MAX(0,R67*'Plan-Annahmen'!$B$82)</f>
        <v>0</v>
      </c>
      <c r="T67" s="67" t="n">
        <f aca="false">R67-S67</f>
        <v>-473.964425770308</v>
      </c>
      <c r="U67" s="67" t="n">
        <f aca="false">U66+T67</f>
        <v>-734.549941097935</v>
      </c>
      <c r="V67" s="100" t="n">
        <f aca="false">V66+'Plan-Kosten'!O$59+IF(A67=$O$64,'Plan-Kosten'!$F$73,0)</f>
        <v>0</v>
      </c>
      <c r="W67" s="39" t="n">
        <f aca="false">U67-V67</f>
        <v>-734.549941097935</v>
      </c>
      <c r="X67" s="35" t="n">
        <f aca="false">IF(R67&gt;0,1,0)</f>
        <v>0</v>
      </c>
      <c r="Y67" s="78" t="n">
        <f aca="false">'Plan-Kunden'!P67</f>
        <v>43</v>
      </c>
      <c r="Z67" s="105" t="n">
        <f aca="false">'Plan-Kunden'!Q67</f>
        <v>0</v>
      </c>
      <c r="AA67" s="105" t="n">
        <f aca="false">IF(D67&gt;='Plan-Phase B'!$C$22,1,0)</f>
        <v>0</v>
      </c>
      <c r="AB67" s="105" t="n">
        <f aca="false">IF(D67&gt;='Plan-Phase B'!$D$22,1,0)</f>
        <v>0</v>
      </c>
      <c r="AC67" s="105" t="n">
        <f aca="false">IF(D67&gt;='Plan-Phase B'!$E$22,1,0)</f>
        <v>0</v>
      </c>
      <c r="AD67" s="35" t="n">
        <f aca="false">IF(AND(W67&gt;=0,A67&gt;$K$64),1,0)</f>
        <v>0</v>
      </c>
      <c r="AE67" s="35" t="n">
        <f aca="false">IF(A67&gt;=$O$64,1,0)</f>
        <v>0</v>
      </c>
    </row>
    <row r="68" customFormat="false" ht="15" hidden="false" customHeight="true" outlineLevel="0" collapsed="false">
      <c r="A68" s="35" t="n">
        <v>3</v>
      </c>
      <c r="B68" s="73" t="n">
        <f aca="false">'Plan-Kunden'!B68</f>
        <v>46327</v>
      </c>
      <c r="C68" s="78" t="n">
        <f aca="false">'Plan-Kunden'!E68</f>
        <v>0</v>
      </c>
      <c r="D68" s="78" t="n">
        <f aca="false">'Plan-Kunden'!K68</f>
        <v>0</v>
      </c>
      <c r="E68" s="78" t="n">
        <f aca="false">'Plan-Kunden'!I68</f>
        <v>0</v>
      </c>
      <c r="F68" s="78" t="n">
        <f aca="false">'Plan-Kunden'!J68</f>
        <v>0</v>
      </c>
      <c r="G68" s="104" t="n">
        <f aca="false">D68*'Plan-Annahmen'!$B$21</f>
        <v>0</v>
      </c>
      <c r="H68" s="100" t="n">
        <f aca="false">E68*'Plan-Annahmen'!$B$14+F68*'Plan-Annahmen'!$B$15</f>
        <v>0</v>
      </c>
      <c r="I68" s="100" t="n">
        <f aca="false">H68*('Plan-Annahmen'!$B$52+'Plan-Annahmen'!$B$53)</f>
        <v>0</v>
      </c>
      <c r="J68" s="100" t="n">
        <f aca="false">E68*('Plan-Annahmen'!$B$14*'Plan-Annahmen'!$B$18+'Plan-Annahmen'!$B$19)+F68*('Plan-Annahmen'!$B$15*'Plan-Annahmen'!$B$18+'Plan-Annahmen'!$B$19)</f>
        <v>0</v>
      </c>
      <c r="K68" s="100" t="n">
        <f aca="false">G68*'Plan-Annahmen'!$B$17/100</f>
        <v>0</v>
      </c>
      <c r="L68" s="100" t="n">
        <f aca="false">'Plan-Kunden'!D68*'Plan-Annahmen'!$B$15*'Plan-Annahmen'!$B$50</f>
        <v>0</v>
      </c>
      <c r="M68" s="100" t="n">
        <f aca="false">'Plan-Kosten'!P$61</f>
        <v>232.297759103641</v>
      </c>
      <c r="N68" s="100" t="n">
        <f aca="false">IF(A68&gt;=$O$64,'Plan-Kosten'!$F$71,0)</f>
        <v>0</v>
      </c>
      <c r="O68" s="100" t="n">
        <f aca="false">'Plan-Kosten'!P$58</f>
        <v>1500</v>
      </c>
      <c r="P68" s="100" t="n">
        <f aca="false">IF(A68=$O$64,'Plan-Kosten'!$F$72,0)</f>
        <v>0</v>
      </c>
      <c r="Q68" s="67" t="n">
        <f aca="false">I68+J68+K68+L68+M68+N68+O68+P68</f>
        <v>1732.29775910364</v>
      </c>
      <c r="R68" s="39" t="n">
        <f aca="false">H68-Q68</f>
        <v>-1732.29775910364</v>
      </c>
      <c r="S68" s="100" t="n">
        <f aca="false">MAX(0,R68*'Plan-Annahmen'!$B$82)</f>
        <v>0</v>
      </c>
      <c r="T68" s="67" t="n">
        <f aca="false">R68-S68</f>
        <v>-1732.29775910364</v>
      </c>
      <c r="U68" s="67" t="n">
        <f aca="false">U67+T68</f>
        <v>-2466.84770020158</v>
      </c>
      <c r="V68" s="100" t="n">
        <f aca="false">V67+'Plan-Kosten'!P$59+IF(A68=$O$64,'Plan-Kosten'!$F$73,0)</f>
        <v>0</v>
      </c>
      <c r="W68" s="39" t="n">
        <f aca="false">U68-V68</f>
        <v>-2466.84770020158</v>
      </c>
      <c r="X68" s="35" t="n">
        <f aca="false">IF(R68&gt;0,1,0)</f>
        <v>0</v>
      </c>
      <c r="Y68" s="78" t="n">
        <f aca="false">'Plan-Kunden'!P68</f>
        <v>30</v>
      </c>
      <c r="Z68" s="105" t="n">
        <f aca="false">'Plan-Kunden'!Q68</f>
        <v>0</v>
      </c>
      <c r="AA68" s="105" t="n">
        <f aca="false">IF(D68&gt;='Plan-Phase B'!$C$22,1,0)</f>
        <v>0</v>
      </c>
      <c r="AB68" s="105" t="n">
        <f aca="false">IF(D68&gt;='Plan-Phase B'!$D$22,1,0)</f>
        <v>0</v>
      </c>
      <c r="AC68" s="105" t="n">
        <f aca="false">IF(D68&gt;='Plan-Phase B'!$E$22,1,0)</f>
        <v>0</v>
      </c>
      <c r="AD68" s="35" t="n">
        <f aca="false">IF(AND(W68&gt;=0,A68&gt;$K$64),1,0)</f>
        <v>0</v>
      </c>
      <c r="AE68" s="35" t="n">
        <f aca="false">IF(A68&gt;=$O$64,1,0)</f>
        <v>0</v>
      </c>
    </row>
    <row r="69" customFormat="false" ht="15" hidden="false" customHeight="true" outlineLevel="0" collapsed="false">
      <c r="A69" s="35" t="n">
        <v>4</v>
      </c>
      <c r="B69" s="73" t="n">
        <f aca="false">'Plan-Kunden'!B69</f>
        <v>46357</v>
      </c>
      <c r="C69" s="78" t="n">
        <f aca="false">'Plan-Kunden'!E69</f>
        <v>1</v>
      </c>
      <c r="D69" s="78" t="n">
        <f aca="false">'Plan-Kunden'!K69</f>
        <v>1</v>
      </c>
      <c r="E69" s="78" t="n">
        <f aca="false">'Plan-Kunden'!I69</f>
        <v>1</v>
      </c>
      <c r="F69" s="78" t="n">
        <f aca="false">'Plan-Kunden'!J69</f>
        <v>0</v>
      </c>
      <c r="G69" s="104" t="n">
        <f aca="false">D69*'Plan-Annahmen'!$B$21</f>
        <v>8</v>
      </c>
      <c r="H69" s="100" t="n">
        <f aca="false">E69*'Plan-Annahmen'!$B$14+F69*'Plan-Annahmen'!$B$15</f>
        <v>29</v>
      </c>
      <c r="I69" s="100" t="n">
        <f aca="false">H69*('Plan-Annahmen'!$B$52+'Plan-Annahmen'!$B$53)</f>
        <v>0.87</v>
      </c>
      <c r="J69" s="100" t="n">
        <f aca="false">E69*('Plan-Annahmen'!$B$14*'Plan-Annahmen'!$B$18+'Plan-Annahmen'!$B$19)+F69*('Plan-Annahmen'!$B$15*'Plan-Annahmen'!$B$18+'Plan-Annahmen'!$B$19)</f>
        <v>0.685</v>
      </c>
      <c r="K69" s="100" t="n">
        <f aca="false">G69*'Plan-Annahmen'!$B$17/100</f>
        <v>0.2</v>
      </c>
      <c r="L69" s="100" t="n">
        <f aca="false">'Plan-Kunden'!D69*'Plan-Annahmen'!$B$15*'Plan-Annahmen'!$B$50</f>
        <v>0</v>
      </c>
      <c r="M69" s="100" t="n">
        <f aca="false">'Plan-Kosten'!Q$61</f>
        <v>252.297759103641</v>
      </c>
      <c r="N69" s="100" t="n">
        <f aca="false">IF(A69&gt;=$O$64,'Plan-Kosten'!$F$71,0)</f>
        <v>0</v>
      </c>
      <c r="O69" s="100" t="n">
        <f aca="false">'Plan-Kosten'!Q$58</f>
        <v>290</v>
      </c>
      <c r="P69" s="100" t="n">
        <f aca="false">IF(A69=$O$64,'Plan-Kosten'!$F$72,0)</f>
        <v>0</v>
      </c>
      <c r="Q69" s="67" t="n">
        <f aca="false">I69+J69+K69+L69+M69+N69+O69+P69</f>
        <v>544.052759103641</v>
      </c>
      <c r="R69" s="39" t="n">
        <f aca="false">H69-Q69</f>
        <v>-515.052759103641</v>
      </c>
      <c r="S69" s="100" t="n">
        <f aca="false">MAX(0,R69*'Plan-Annahmen'!$B$82)</f>
        <v>0</v>
      </c>
      <c r="T69" s="67" t="n">
        <f aca="false">R69-S69</f>
        <v>-515.052759103641</v>
      </c>
      <c r="U69" s="67" t="n">
        <f aca="false">U68+T69</f>
        <v>-2981.90045930522</v>
      </c>
      <c r="V69" s="100" t="n">
        <f aca="false">V68+'Plan-Kosten'!Q$59+IF(A69=$O$64,'Plan-Kosten'!$F$73,0)</f>
        <v>0</v>
      </c>
      <c r="W69" s="39" t="n">
        <f aca="false">U69-V69</f>
        <v>-2981.90045930522</v>
      </c>
      <c r="X69" s="35" t="n">
        <f aca="false">IF(R69&gt;0,1,0)</f>
        <v>0</v>
      </c>
      <c r="Y69" s="78" t="n">
        <f aca="false">'Plan-Kunden'!P69</f>
        <v>41.3</v>
      </c>
      <c r="Z69" s="105" t="n">
        <f aca="false">'Plan-Kunden'!Q69</f>
        <v>0</v>
      </c>
      <c r="AA69" s="105" t="n">
        <f aca="false">IF(D69&gt;='Plan-Phase B'!$C$22,1,0)</f>
        <v>0</v>
      </c>
      <c r="AB69" s="105" t="n">
        <f aca="false">IF(D69&gt;='Plan-Phase B'!$D$22,1,0)</f>
        <v>0</v>
      </c>
      <c r="AC69" s="105" t="n">
        <f aca="false">IF(D69&gt;='Plan-Phase B'!$E$22,1,0)</f>
        <v>0</v>
      </c>
      <c r="AD69" s="35" t="n">
        <f aca="false">IF(AND(W69&gt;=0,A69&gt;$K$64),1,0)</f>
        <v>0</v>
      </c>
      <c r="AE69" s="35" t="n">
        <f aca="false">IF(A69&gt;=$O$64,1,0)</f>
        <v>0</v>
      </c>
    </row>
    <row r="70" customFormat="false" ht="15" hidden="false" customHeight="true" outlineLevel="0" collapsed="false">
      <c r="A70" s="35" t="n">
        <v>5</v>
      </c>
      <c r="B70" s="73" t="n">
        <f aca="false">'Plan-Kunden'!B70</f>
        <v>46388</v>
      </c>
      <c r="C70" s="78" t="n">
        <f aca="false">'Plan-Kunden'!E70</f>
        <v>2.5</v>
      </c>
      <c r="D70" s="78" t="n">
        <f aca="false">'Plan-Kunden'!K70</f>
        <v>3.49</v>
      </c>
      <c r="E70" s="78" t="n">
        <f aca="false">'Plan-Kunden'!I70</f>
        <v>3.49</v>
      </c>
      <c r="F70" s="78" t="n">
        <f aca="false">'Plan-Kunden'!J70</f>
        <v>0</v>
      </c>
      <c r="G70" s="104" t="n">
        <f aca="false">D70*'Plan-Annahmen'!$B$21</f>
        <v>27.92</v>
      </c>
      <c r="H70" s="100" t="n">
        <f aca="false">E70*'Plan-Annahmen'!$B$14+F70*'Plan-Annahmen'!$B$15</f>
        <v>101.21</v>
      </c>
      <c r="I70" s="100" t="n">
        <f aca="false">H70*('Plan-Annahmen'!$B$52+'Plan-Annahmen'!$B$53)</f>
        <v>3.0363</v>
      </c>
      <c r="J70" s="100" t="n">
        <f aca="false">E70*('Plan-Annahmen'!$B$14*'Plan-Annahmen'!$B$18+'Plan-Annahmen'!$B$19)+F70*('Plan-Annahmen'!$B$15*'Plan-Annahmen'!$B$18+'Plan-Annahmen'!$B$19)</f>
        <v>2.39065</v>
      </c>
      <c r="K70" s="100" t="n">
        <f aca="false">G70*'Plan-Annahmen'!$B$17/100</f>
        <v>0.698</v>
      </c>
      <c r="L70" s="100" t="n">
        <f aca="false">'Plan-Kunden'!D70*'Plan-Annahmen'!$B$15*'Plan-Annahmen'!$B$50</f>
        <v>0</v>
      </c>
      <c r="M70" s="100" t="n">
        <f aca="false">'Plan-Kosten'!R$61</f>
        <v>252.297759103641</v>
      </c>
      <c r="N70" s="100" t="n">
        <f aca="false">IF(A70&gt;=$O$64,'Plan-Kosten'!$F$71,0)</f>
        <v>0</v>
      </c>
      <c r="O70" s="100" t="n">
        <f aca="false">'Plan-Kosten'!R$58</f>
        <v>0</v>
      </c>
      <c r="P70" s="100" t="n">
        <f aca="false">IF(A70=$O$64,'Plan-Kosten'!$F$72,0)</f>
        <v>0</v>
      </c>
      <c r="Q70" s="67" t="n">
        <f aca="false">I70+J70+K70+L70+M70+N70+O70+P70</f>
        <v>258.422709103641</v>
      </c>
      <c r="R70" s="39" t="n">
        <f aca="false">H70-Q70</f>
        <v>-157.212709103641</v>
      </c>
      <c r="S70" s="100" t="n">
        <f aca="false">MAX(0,R70*'Plan-Annahmen'!$B$82)</f>
        <v>0</v>
      </c>
      <c r="T70" s="67" t="n">
        <f aca="false">R70-S70</f>
        <v>-157.212709103641</v>
      </c>
      <c r="U70" s="67" t="n">
        <f aca="false">U69+T70</f>
        <v>-3139.11316840886</v>
      </c>
      <c r="V70" s="100" t="n">
        <f aca="false">V69+'Plan-Kosten'!R$59+IF(A70=$O$64,'Plan-Kosten'!$F$73,0)</f>
        <v>1000</v>
      </c>
      <c r="W70" s="39" t="n">
        <f aca="false">U70-V70</f>
        <v>-4139.11316840886</v>
      </c>
      <c r="X70" s="35" t="n">
        <f aca="false">IF(R70&gt;0,1,0)</f>
        <v>0</v>
      </c>
      <c r="Y70" s="78" t="n">
        <f aca="false">'Plan-Kunden'!P70</f>
        <v>44.547</v>
      </c>
      <c r="Z70" s="105" t="n">
        <f aca="false">'Plan-Kunden'!Q70</f>
        <v>0</v>
      </c>
      <c r="AA70" s="105" t="n">
        <f aca="false">IF(D70&gt;='Plan-Phase B'!$C$22,1,0)</f>
        <v>0</v>
      </c>
      <c r="AB70" s="105" t="n">
        <f aca="false">IF(D70&gt;='Plan-Phase B'!$D$22,1,0)</f>
        <v>0</v>
      </c>
      <c r="AC70" s="105" t="n">
        <f aca="false">IF(D70&gt;='Plan-Phase B'!$E$22,1,0)</f>
        <v>0</v>
      </c>
      <c r="AD70" s="35" t="n">
        <f aca="false">IF(AND(W70&gt;=0,A70&gt;$K$64),1,0)</f>
        <v>0</v>
      </c>
      <c r="AE70" s="35" t="n">
        <f aca="false">IF(A70&gt;=$O$64,1,0)</f>
        <v>0</v>
      </c>
    </row>
    <row r="71" customFormat="false" ht="15" hidden="false" customHeight="true" outlineLevel="0" collapsed="false">
      <c r="A71" s="35" t="n">
        <v>6</v>
      </c>
      <c r="B71" s="73" t="n">
        <f aca="false">'Plan-Kunden'!B71</f>
        <v>46419</v>
      </c>
      <c r="C71" s="78" t="n">
        <f aca="false">'Plan-Kunden'!E71</f>
        <v>4.0175</v>
      </c>
      <c r="D71" s="78" t="n">
        <f aca="false">'Plan-Kunden'!K71</f>
        <v>7.4726</v>
      </c>
      <c r="E71" s="78" t="n">
        <f aca="false">'Plan-Kunden'!I71</f>
        <v>7.4726</v>
      </c>
      <c r="F71" s="78" t="n">
        <f aca="false">'Plan-Kunden'!J71</f>
        <v>0</v>
      </c>
      <c r="G71" s="104" t="n">
        <f aca="false">D71*'Plan-Annahmen'!$B$21</f>
        <v>59.7808</v>
      </c>
      <c r="H71" s="100" t="n">
        <f aca="false">E71*'Plan-Annahmen'!$B$14+F71*'Plan-Annahmen'!$B$15</f>
        <v>216.7054</v>
      </c>
      <c r="I71" s="100" t="n">
        <f aca="false">H71*('Plan-Annahmen'!$B$52+'Plan-Annahmen'!$B$53)</f>
        <v>6.501162</v>
      </c>
      <c r="J71" s="100" t="n">
        <f aca="false">E71*('Plan-Annahmen'!$B$14*'Plan-Annahmen'!$B$18+'Plan-Annahmen'!$B$19)+F71*('Plan-Annahmen'!$B$15*'Plan-Annahmen'!$B$18+'Plan-Annahmen'!$B$19)</f>
        <v>5.118731</v>
      </c>
      <c r="K71" s="100" t="n">
        <f aca="false">G71*'Plan-Annahmen'!$B$17/100</f>
        <v>1.49452</v>
      </c>
      <c r="L71" s="100" t="n">
        <f aca="false">'Plan-Kunden'!D71*'Plan-Annahmen'!$B$15*'Plan-Annahmen'!$B$50</f>
        <v>0</v>
      </c>
      <c r="M71" s="100" t="n">
        <f aca="false">'Plan-Kosten'!S$61</f>
        <v>252.297759103641</v>
      </c>
      <c r="N71" s="100" t="n">
        <f aca="false">IF(A71&gt;=$O$64,'Plan-Kosten'!$F$71,0)</f>
        <v>0</v>
      </c>
      <c r="O71" s="100" t="n">
        <f aca="false">'Plan-Kosten'!S$58</f>
        <v>0</v>
      </c>
      <c r="P71" s="100" t="n">
        <f aca="false">IF(A71=$O$64,'Plan-Kosten'!$F$72,0)</f>
        <v>0</v>
      </c>
      <c r="Q71" s="67" t="n">
        <f aca="false">I71+J71+K71+L71+M71+N71+O71+P71</f>
        <v>265.412172103641</v>
      </c>
      <c r="R71" s="39" t="n">
        <f aca="false">H71-Q71</f>
        <v>-48.7067721036414</v>
      </c>
      <c r="S71" s="100" t="n">
        <f aca="false">MAX(0,R71*'Plan-Annahmen'!$B$82)</f>
        <v>0</v>
      </c>
      <c r="T71" s="67" t="n">
        <f aca="false">R71-S71</f>
        <v>-48.7067721036414</v>
      </c>
      <c r="U71" s="67" t="n">
        <f aca="false">U70+T71</f>
        <v>-3187.8199405125</v>
      </c>
      <c r="V71" s="100" t="n">
        <f aca="false">V70+'Plan-Kosten'!S$59+IF(A71=$O$64,'Plan-Kosten'!$F$73,0)</f>
        <v>1000</v>
      </c>
      <c r="W71" s="39" t="n">
        <f aca="false">U71-V71</f>
        <v>-4187.8199405125</v>
      </c>
      <c r="X71" s="35" t="n">
        <f aca="false">IF(R71&gt;0,1,0)</f>
        <v>0</v>
      </c>
      <c r="Y71" s="78" t="n">
        <f aca="false">'Plan-Kunden'!P71</f>
        <v>47.25928</v>
      </c>
      <c r="Z71" s="105" t="n">
        <f aca="false">'Plan-Kunden'!Q71</f>
        <v>0</v>
      </c>
      <c r="AA71" s="105" t="n">
        <f aca="false">IF(D71&gt;='Plan-Phase B'!$C$22,1,0)</f>
        <v>0</v>
      </c>
      <c r="AB71" s="105" t="n">
        <f aca="false">IF(D71&gt;='Plan-Phase B'!$D$22,1,0)</f>
        <v>0</v>
      </c>
      <c r="AC71" s="105" t="n">
        <f aca="false">IF(D71&gt;='Plan-Phase B'!$E$22,1,0)</f>
        <v>0</v>
      </c>
      <c r="AD71" s="35" t="n">
        <f aca="false">IF(AND(W71&gt;=0,A71&gt;$K$64),1,0)</f>
        <v>0</v>
      </c>
      <c r="AE71" s="35" t="n">
        <f aca="false">IF(A71&gt;=$O$64,1,0)</f>
        <v>0</v>
      </c>
    </row>
    <row r="72" customFormat="false" ht="15" hidden="false" customHeight="true" outlineLevel="0" collapsed="false">
      <c r="A72" s="35" t="n">
        <v>7</v>
      </c>
      <c r="B72" s="73" t="n">
        <f aca="false">'Plan-Kunden'!B72</f>
        <v>46447</v>
      </c>
      <c r="C72" s="78" t="n">
        <f aca="false">'Plan-Kunden'!E72</f>
        <v>4.061075</v>
      </c>
      <c r="D72" s="78" t="n">
        <f aca="false">'Plan-Kunden'!K72</f>
        <v>11.458949</v>
      </c>
      <c r="E72" s="78" t="n">
        <f aca="false">'Plan-Kunden'!I72</f>
        <v>11.458949</v>
      </c>
      <c r="F72" s="78" t="n">
        <f aca="false">'Plan-Kunden'!J72</f>
        <v>0</v>
      </c>
      <c r="G72" s="104" t="n">
        <f aca="false">D72*'Plan-Annahmen'!$B$21</f>
        <v>91.671592</v>
      </c>
      <c r="H72" s="100" t="n">
        <f aca="false">E72*'Plan-Annahmen'!$B$14+F72*'Plan-Annahmen'!$B$15</f>
        <v>332.309521</v>
      </c>
      <c r="I72" s="100" t="n">
        <f aca="false">H72*('Plan-Annahmen'!$B$52+'Plan-Annahmen'!$B$53)</f>
        <v>9.96928563</v>
      </c>
      <c r="J72" s="100" t="n">
        <f aca="false">E72*('Plan-Annahmen'!$B$14*'Plan-Annahmen'!$B$18+'Plan-Annahmen'!$B$19)+F72*('Plan-Annahmen'!$B$15*'Plan-Annahmen'!$B$18+'Plan-Annahmen'!$B$19)</f>
        <v>7.849380065</v>
      </c>
      <c r="K72" s="100" t="n">
        <f aca="false">G72*'Plan-Annahmen'!$B$17/100</f>
        <v>2.2917898</v>
      </c>
      <c r="L72" s="100" t="n">
        <f aca="false">'Plan-Kunden'!D72*'Plan-Annahmen'!$B$15*'Plan-Annahmen'!$B$50</f>
        <v>0</v>
      </c>
      <c r="M72" s="100" t="n">
        <f aca="false">'Plan-Kosten'!T$61</f>
        <v>288.432212885154</v>
      </c>
      <c r="N72" s="100" t="n">
        <f aca="false">IF(A72&gt;=$O$64,'Plan-Kosten'!$F$71,0)</f>
        <v>0</v>
      </c>
      <c r="O72" s="100" t="n">
        <f aca="false">'Plan-Kosten'!T$58</f>
        <v>0</v>
      </c>
      <c r="P72" s="100" t="n">
        <f aca="false">IF(A72=$O$64,'Plan-Kosten'!$F$72,0)</f>
        <v>0</v>
      </c>
      <c r="Q72" s="67" t="n">
        <f aca="false">I72+J72+K72+L72+M72+N72+O72+P72</f>
        <v>308.542668380154</v>
      </c>
      <c r="R72" s="39" t="n">
        <f aca="false">H72-Q72</f>
        <v>23.766852619846</v>
      </c>
      <c r="S72" s="100" t="n">
        <f aca="false">MAX(0,R72*'Plan-Annahmen'!$B$82)</f>
        <v>7.32895510915318</v>
      </c>
      <c r="T72" s="67" t="n">
        <f aca="false">R72-S72</f>
        <v>16.4378975106928</v>
      </c>
      <c r="U72" s="67" t="n">
        <f aca="false">U71+T72</f>
        <v>-3171.38204300181</v>
      </c>
      <c r="V72" s="100" t="n">
        <f aca="false">V71+'Plan-Kosten'!T$59+IF(A72=$O$64,'Plan-Kosten'!$F$73,0)</f>
        <v>1000</v>
      </c>
      <c r="W72" s="39" t="n">
        <f aca="false">U72-V72</f>
        <v>-4171.38204300181</v>
      </c>
      <c r="X72" s="35" t="n">
        <f aca="false">IF(R72&gt;0,1,0)</f>
        <v>1</v>
      </c>
      <c r="Y72" s="78" t="n">
        <f aca="false">'Plan-Kunden'!P72</f>
        <v>48.9987597</v>
      </c>
      <c r="Z72" s="105" t="n">
        <f aca="false">'Plan-Kunden'!Q72</f>
        <v>0</v>
      </c>
      <c r="AA72" s="105" t="n">
        <f aca="false">IF(D72&gt;='Plan-Phase B'!$C$22,1,0)</f>
        <v>0</v>
      </c>
      <c r="AB72" s="105" t="n">
        <f aca="false">IF(D72&gt;='Plan-Phase B'!$D$22,1,0)</f>
        <v>0</v>
      </c>
      <c r="AC72" s="105" t="n">
        <f aca="false">IF(D72&gt;='Plan-Phase B'!$E$22,1,0)</f>
        <v>0</v>
      </c>
      <c r="AD72" s="35" t="n">
        <f aca="false">IF(AND(W72&gt;=0,A72&gt;$K$64),1,0)</f>
        <v>0</v>
      </c>
      <c r="AE72" s="35" t="n">
        <f aca="false">IF(A72&gt;=$O$64,1,0)</f>
        <v>0</v>
      </c>
    </row>
    <row r="73" customFormat="false" ht="15" hidden="false" customHeight="true" outlineLevel="0" collapsed="false">
      <c r="A73" s="35" t="n">
        <v>8</v>
      </c>
      <c r="B73" s="73" t="n">
        <f aca="false">'Plan-Kunden'!B73</f>
        <v>46478</v>
      </c>
      <c r="C73" s="78" t="n">
        <f aca="false">'Plan-Kunden'!E73</f>
        <v>3.1307705</v>
      </c>
      <c r="D73" s="78" t="n">
        <f aca="false">'Plan-Kunden'!K73</f>
        <v>14.47513001</v>
      </c>
      <c r="E73" s="78" t="n">
        <f aca="false">'Plan-Kunden'!I73</f>
        <v>14.47513001</v>
      </c>
      <c r="F73" s="78" t="n">
        <f aca="false">'Plan-Kunden'!J73</f>
        <v>0</v>
      </c>
      <c r="G73" s="104" t="n">
        <f aca="false">D73*'Plan-Annahmen'!$B$21</f>
        <v>115.80104008</v>
      </c>
      <c r="H73" s="100" t="n">
        <f aca="false">E73*'Plan-Annahmen'!$B$14+F73*'Plan-Annahmen'!$B$15</f>
        <v>419.77877029</v>
      </c>
      <c r="I73" s="100" t="n">
        <f aca="false">H73*('Plan-Annahmen'!$B$52+'Plan-Annahmen'!$B$53)</f>
        <v>12.5933631087</v>
      </c>
      <c r="J73" s="100" t="n">
        <f aca="false">E73*('Plan-Annahmen'!$B$14*'Plan-Annahmen'!$B$18+'Plan-Annahmen'!$B$19)+F73*('Plan-Annahmen'!$B$15*'Plan-Annahmen'!$B$18+'Plan-Annahmen'!$B$19)</f>
        <v>9.91546405685</v>
      </c>
      <c r="K73" s="100" t="n">
        <f aca="false">G73*'Plan-Annahmen'!$B$17/100</f>
        <v>2.895026002</v>
      </c>
      <c r="L73" s="100" t="n">
        <f aca="false">'Plan-Kunden'!D73*'Plan-Annahmen'!$B$15*'Plan-Annahmen'!$B$50</f>
        <v>0</v>
      </c>
      <c r="M73" s="100" t="n">
        <f aca="false">'Plan-Kosten'!U$61</f>
        <v>388.432212885154</v>
      </c>
      <c r="N73" s="100" t="n">
        <f aca="false">IF(A73&gt;=$O$64,'Plan-Kosten'!$F$71,0)</f>
        <v>0</v>
      </c>
      <c r="O73" s="100" t="n">
        <f aca="false">'Plan-Kosten'!U$58</f>
        <v>0</v>
      </c>
      <c r="P73" s="100" t="n">
        <f aca="false">IF(A73=$O$64,'Plan-Kosten'!$F$72,0)</f>
        <v>0</v>
      </c>
      <c r="Q73" s="67" t="n">
        <f aca="false">I73+J73+K73+L73+M73+N73+O73+P73</f>
        <v>413.836066052704</v>
      </c>
      <c r="R73" s="39" t="n">
        <f aca="false">H73-Q73</f>
        <v>5.94270423729597</v>
      </c>
      <c r="S73" s="100" t="n">
        <f aca="false">MAX(0,R73*'Plan-Annahmen'!$B$82)</f>
        <v>1.83254439612875</v>
      </c>
      <c r="T73" s="67" t="n">
        <f aca="false">R73-S73</f>
        <v>4.11015984116722</v>
      </c>
      <c r="U73" s="67" t="n">
        <f aca="false">U72+T73</f>
        <v>-3167.27188316064</v>
      </c>
      <c r="V73" s="100" t="n">
        <f aca="false">V72+'Plan-Kosten'!U$59+IF(A73=$O$64,'Plan-Kosten'!$F$73,0)</f>
        <v>1000</v>
      </c>
      <c r="W73" s="39" t="n">
        <f aca="false">U73-V73</f>
        <v>-4167.27188316064</v>
      </c>
      <c r="X73" s="35" t="n">
        <f aca="false">IF(R73&gt;0,1,0)</f>
        <v>1</v>
      </c>
      <c r="Y73" s="78" t="n">
        <f aca="false">'Plan-Kunden'!P73</f>
        <v>52.973309503</v>
      </c>
      <c r="Z73" s="105" t="n">
        <f aca="false">'Plan-Kunden'!Q73</f>
        <v>0</v>
      </c>
      <c r="AA73" s="105" t="n">
        <f aca="false">IF(D73&gt;='Plan-Phase B'!$C$22,1,0)</f>
        <v>0</v>
      </c>
      <c r="AB73" s="105" t="n">
        <f aca="false">IF(D73&gt;='Plan-Phase B'!$D$22,1,0)</f>
        <v>0</v>
      </c>
      <c r="AC73" s="105" t="n">
        <f aca="false">IF(D73&gt;='Plan-Phase B'!$E$22,1,0)</f>
        <v>0</v>
      </c>
      <c r="AD73" s="35" t="n">
        <f aca="false">IF(AND(W73&gt;=0,A73&gt;$K$64),1,0)</f>
        <v>0</v>
      </c>
      <c r="AE73" s="35" t="n">
        <f aca="false">IF(A73&gt;=$O$64,1,0)</f>
        <v>0</v>
      </c>
    </row>
    <row r="74" customFormat="false" ht="15" hidden="false" customHeight="true" outlineLevel="0" collapsed="false">
      <c r="A74" s="35" t="n">
        <v>9</v>
      </c>
      <c r="B74" s="73" t="n">
        <f aca="false">'Plan-Kunden'!B74</f>
        <v>46508</v>
      </c>
      <c r="C74" s="78" t="n">
        <f aca="false">'Plan-Kunden'!E74</f>
        <v>3.7005316075</v>
      </c>
      <c r="D74" s="78" t="n">
        <f aca="false">'Plan-Kunden'!K74</f>
        <v>18.0309103174</v>
      </c>
      <c r="E74" s="78" t="n">
        <f aca="false">'Plan-Kunden'!I74</f>
        <v>18.0309103174</v>
      </c>
      <c r="F74" s="78" t="n">
        <f aca="false">'Plan-Kunden'!J74</f>
        <v>0</v>
      </c>
      <c r="G74" s="104" t="n">
        <f aca="false">D74*'Plan-Annahmen'!$B$21</f>
        <v>144.2472825392</v>
      </c>
      <c r="H74" s="100" t="n">
        <f aca="false">E74*'Plan-Annahmen'!$B$14+F74*'Plan-Annahmen'!$B$15</f>
        <v>522.8963992046</v>
      </c>
      <c r="I74" s="100" t="n">
        <f aca="false">H74*('Plan-Annahmen'!$B$52+'Plan-Annahmen'!$B$53)</f>
        <v>15.686891976138</v>
      </c>
      <c r="J74" s="100" t="n">
        <f aca="false">E74*('Plan-Annahmen'!$B$14*'Plan-Annahmen'!$B$18+'Plan-Annahmen'!$B$19)+F74*('Plan-Annahmen'!$B$15*'Plan-Annahmen'!$B$18+'Plan-Annahmen'!$B$19)</f>
        <v>12.351173567419</v>
      </c>
      <c r="K74" s="100" t="n">
        <f aca="false">G74*'Plan-Annahmen'!$B$17/100</f>
        <v>3.60618206348</v>
      </c>
      <c r="L74" s="100" t="n">
        <f aca="false">'Plan-Kunden'!D74*'Plan-Annahmen'!$B$15*'Plan-Annahmen'!$B$50</f>
        <v>0</v>
      </c>
      <c r="M74" s="100" t="n">
        <f aca="false">'Plan-Kosten'!V$61</f>
        <v>288.432212885154</v>
      </c>
      <c r="N74" s="100" t="n">
        <f aca="false">IF(A74&gt;=$O$64,'Plan-Kosten'!$F$71,0)</f>
        <v>0</v>
      </c>
      <c r="O74" s="100" t="n">
        <f aca="false">'Plan-Kosten'!V$58</f>
        <v>0</v>
      </c>
      <c r="P74" s="100" t="n">
        <f aca="false">IF(A74=$O$64,'Plan-Kosten'!$F$72,0)</f>
        <v>0</v>
      </c>
      <c r="Q74" s="67" t="n">
        <f aca="false">I74+J74+K74+L74+M74+N74+O74+P74</f>
        <v>320.076460492191</v>
      </c>
      <c r="R74" s="39" t="n">
        <f aca="false">H74-Q74</f>
        <v>202.819938712409</v>
      </c>
      <c r="S74" s="100" t="n">
        <f aca="false">MAX(0,R74*'Plan-Annahmen'!$B$82)</f>
        <v>62.5433350322209</v>
      </c>
      <c r="T74" s="67" t="n">
        <f aca="false">R74-S74</f>
        <v>140.276603680188</v>
      </c>
      <c r="U74" s="67" t="n">
        <f aca="false">U73+T74</f>
        <v>-3026.99527948045</v>
      </c>
      <c r="V74" s="100" t="n">
        <f aca="false">V73+'Plan-Kosten'!V$59+IF(A74=$O$64,'Plan-Kosten'!$F$73,0)</f>
        <v>1000</v>
      </c>
      <c r="W74" s="39" t="n">
        <f aca="false">U74-V74</f>
        <v>-4026.99527948045</v>
      </c>
      <c r="X74" s="35" t="n">
        <f aca="false">IF(R74&gt;0,1,0)</f>
        <v>1</v>
      </c>
      <c r="Y74" s="78" t="n">
        <f aca="false">'Plan-Kunden'!P74</f>
        <v>54.60980470272</v>
      </c>
      <c r="Z74" s="105" t="n">
        <f aca="false">'Plan-Kunden'!Q74</f>
        <v>0</v>
      </c>
      <c r="AA74" s="105" t="n">
        <f aca="false">IF(D74&gt;='Plan-Phase B'!$C$22,1,0)</f>
        <v>0</v>
      </c>
      <c r="AB74" s="105" t="n">
        <f aca="false">IF(D74&gt;='Plan-Phase B'!$D$22,1,0)</f>
        <v>0</v>
      </c>
      <c r="AC74" s="105" t="n">
        <f aca="false">IF(D74&gt;='Plan-Phase B'!$E$22,1,0)</f>
        <v>0</v>
      </c>
      <c r="AD74" s="35" t="n">
        <f aca="false">IF(AND(W74&gt;=0,A74&gt;$K$64),1,0)</f>
        <v>0</v>
      </c>
      <c r="AE74" s="35" t="n">
        <f aca="false">IF(A74&gt;=$O$64,1,0)</f>
        <v>0</v>
      </c>
    </row>
    <row r="75" customFormat="false" ht="15" hidden="false" customHeight="true" outlineLevel="0" collapsed="false">
      <c r="A75" s="35" t="n">
        <v>10</v>
      </c>
      <c r="B75" s="73" t="n">
        <f aca="false">'Plan-Kunden'!B75</f>
        <v>46539</v>
      </c>
      <c r="C75" s="78" t="n">
        <f aca="false">'Plan-Kunden'!E75</f>
        <v>3.753314775175</v>
      </c>
      <c r="D75" s="78" t="n">
        <f aca="false">'Plan-Kunden'!K75</f>
        <v>21.603915989401</v>
      </c>
      <c r="E75" s="78" t="n">
        <f aca="false">'Plan-Kunden'!I75</f>
        <v>21.603915989401</v>
      </c>
      <c r="F75" s="78" t="n">
        <f aca="false">'Plan-Kunden'!J75</f>
        <v>0</v>
      </c>
      <c r="G75" s="104" t="n">
        <f aca="false">D75*'Plan-Annahmen'!$B$21</f>
        <v>172.831327915208</v>
      </c>
      <c r="H75" s="100" t="n">
        <f aca="false">E75*'Plan-Annahmen'!$B$14+F75*'Plan-Annahmen'!$B$15</f>
        <v>626.513563692629</v>
      </c>
      <c r="I75" s="100" t="n">
        <f aca="false">H75*('Plan-Annahmen'!$B$52+'Plan-Annahmen'!$B$53)</f>
        <v>18.7954069107789</v>
      </c>
      <c r="J75" s="100" t="n">
        <f aca="false">E75*('Plan-Annahmen'!$B$14*'Plan-Annahmen'!$B$18+'Plan-Annahmen'!$B$19)+F75*('Plan-Annahmen'!$B$15*'Plan-Annahmen'!$B$18+'Plan-Annahmen'!$B$19)</f>
        <v>14.7986824527397</v>
      </c>
      <c r="K75" s="100" t="n">
        <f aca="false">G75*'Plan-Annahmen'!$B$17/100</f>
        <v>4.3207831978802</v>
      </c>
      <c r="L75" s="100" t="n">
        <f aca="false">'Plan-Kunden'!D75*'Plan-Annahmen'!$B$15*'Plan-Annahmen'!$B$50</f>
        <v>0</v>
      </c>
      <c r="M75" s="100" t="n">
        <f aca="false">'Plan-Kosten'!W$61</f>
        <v>386.682212885154</v>
      </c>
      <c r="N75" s="100" t="n">
        <f aca="false">IF(A75&gt;=$O$64,'Plan-Kosten'!$F$71,0)</f>
        <v>210</v>
      </c>
      <c r="O75" s="100" t="n">
        <f aca="false">'Plan-Kosten'!W$58</f>
        <v>21.5</v>
      </c>
      <c r="P75" s="100" t="n">
        <f aca="false">IF(A75=$O$64,'Plan-Kosten'!$F$72,0)</f>
        <v>980</v>
      </c>
      <c r="Q75" s="67" t="n">
        <f aca="false">I75+J75+K75+L75+M75+N75+O75+P75</f>
        <v>1636.09708544655</v>
      </c>
      <c r="R75" s="39" t="n">
        <f aca="false">H75-Q75</f>
        <v>-1009.58352175392</v>
      </c>
      <c r="S75" s="100" t="n">
        <f aca="false">MAX(0,R75*'Plan-Annahmen'!$B$82)</f>
        <v>0</v>
      </c>
      <c r="T75" s="67" t="n">
        <f aca="false">R75-S75</f>
        <v>-1009.58352175392</v>
      </c>
      <c r="U75" s="67" t="n">
        <f aca="false">U74+T75</f>
        <v>-4036.57880123438</v>
      </c>
      <c r="V75" s="100" t="n">
        <f aca="false">V74+'Plan-Kosten'!W$59+IF(A75=$O$64,'Plan-Kosten'!$F$73,0)</f>
        <v>2000</v>
      </c>
      <c r="W75" s="39" t="n">
        <f aca="false">U75-V75</f>
        <v>-6036.57880123438</v>
      </c>
      <c r="X75" s="35" t="n">
        <f aca="false">IF(R75&gt;0,1,0)</f>
        <v>0</v>
      </c>
      <c r="Y75" s="78" t="n">
        <f aca="false">'Plan-Kunden'!P75</f>
        <v>54.7344895719953</v>
      </c>
      <c r="Z75" s="105" t="n">
        <f aca="false">'Plan-Kunden'!Q75</f>
        <v>0</v>
      </c>
      <c r="AA75" s="105" t="n">
        <f aca="false">IF(D75&gt;='Plan-Phase B'!$C$22,1,0)</f>
        <v>0</v>
      </c>
      <c r="AB75" s="105" t="n">
        <f aca="false">IF(D75&gt;='Plan-Phase B'!$D$22,1,0)</f>
        <v>0</v>
      </c>
      <c r="AC75" s="105" t="n">
        <f aca="false">IF(D75&gt;='Plan-Phase B'!$E$22,1,0)</f>
        <v>0</v>
      </c>
      <c r="AD75" s="35" t="n">
        <f aca="false">IF(AND(W75&gt;=0,A75&gt;$K$64),1,0)</f>
        <v>0</v>
      </c>
      <c r="AE75" s="35" t="n">
        <f aca="false">IF(A75&gt;=$O$64,1,0)</f>
        <v>1</v>
      </c>
    </row>
    <row r="76" customFormat="false" ht="15" hidden="false" customHeight="true" outlineLevel="0" collapsed="false">
      <c r="A76" s="35" t="n">
        <v>11</v>
      </c>
      <c r="B76" s="73" t="n">
        <f aca="false">'Plan-Kunden'!B76</f>
        <v>46569</v>
      </c>
      <c r="C76" s="78" t="n">
        <f aca="false">'Plan-Kunden'!E76</f>
        <v>4.3155409305545</v>
      </c>
      <c r="D76" s="78" t="n">
        <f aca="false">'Plan-Kunden'!K76</f>
        <v>25.7034177600615</v>
      </c>
      <c r="E76" s="78" t="n">
        <f aca="false">'Plan-Kunden'!I76</f>
        <v>24.224684946832</v>
      </c>
      <c r="F76" s="78" t="n">
        <f aca="false">'Plan-Kunden'!J76</f>
        <v>1.4787328132295</v>
      </c>
      <c r="G76" s="104" t="n">
        <f aca="false">D76*'Plan-Annahmen'!$B$21</f>
        <v>205.627342080492</v>
      </c>
      <c r="H76" s="100" t="n">
        <f aca="false">E76*'Plan-Annahmen'!$B$14+F76*'Plan-Annahmen'!$B$15</f>
        <v>774.973771306373</v>
      </c>
      <c r="I76" s="100" t="n">
        <f aca="false">H76*('Plan-Annahmen'!$B$52+'Plan-Annahmen'!$B$53)</f>
        <v>23.2492131391912</v>
      </c>
      <c r="J76" s="100" t="n">
        <f aca="false">E76*('Plan-Annahmen'!$B$14*'Plan-Annahmen'!$B$18+'Plan-Annahmen'!$B$19)+F76*('Plan-Annahmen'!$B$15*'Plan-Annahmen'!$B$18+'Plan-Annahmen'!$B$19)</f>
        <v>18.050461009611</v>
      </c>
      <c r="K76" s="100" t="n">
        <f aca="false">G76*'Plan-Annahmen'!$B$17/100</f>
        <v>5.1406835520123</v>
      </c>
      <c r="L76" s="100" t="n">
        <f aca="false">'Plan-Kunden'!D76*'Plan-Annahmen'!$B$15*'Plan-Annahmen'!$B$50</f>
        <v>0</v>
      </c>
      <c r="M76" s="100" t="n">
        <f aca="false">'Plan-Kosten'!X$61</f>
        <v>286.682212885154</v>
      </c>
      <c r="N76" s="100" t="n">
        <f aca="false">IF(A76&gt;=$O$64,'Plan-Kosten'!$F$71,0)</f>
        <v>210</v>
      </c>
      <c r="O76" s="100" t="n">
        <f aca="false">'Plan-Kosten'!X$58</f>
        <v>0</v>
      </c>
      <c r="P76" s="100" t="n">
        <f aca="false">IF(A76=$O$64,'Plan-Kosten'!$F$72,0)</f>
        <v>0</v>
      </c>
      <c r="Q76" s="67" t="n">
        <f aca="false">I76+J76+K76+L76+M76+N76+O76+P76</f>
        <v>543.122570585968</v>
      </c>
      <c r="R76" s="39" t="n">
        <f aca="false">H76-Q76</f>
        <v>231.851200720405</v>
      </c>
      <c r="S76" s="100" t="n">
        <f aca="false">MAX(0,R76*'Plan-Annahmen'!$B$82)</f>
        <v>71.4956695891743</v>
      </c>
      <c r="T76" s="67" t="n">
        <f aca="false">R76-S76</f>
        <v>160.35553113123</v>
      </c>
      <c r="U76" s="67" t="n">
        <f aca="false">U75+T76</f>
        <v>-3876.22327010315</v>
      </c>
      <c r="V76" s="100" t="n">
        <f aca="false">V75+'Plan-Kosten'!X$59+IF(A76=$O$64,'Plan-Kosten'!$F$73,0)</f>
        <v>2000</v>
      </c>
      <c r="W76" s="39" t="n">
        <f aca="false">U76-V76</f>
        <v>-5876.22327010315</v>
      </c>
      <c r="X76" s="35" t="n">
        <f aca="false">IF(R76&gt;0,1,0)</f>
        <v>1</v>
      </c>
      <c r="Y76" s="78" t="n">
        <f aca="false">'Plan-Kunden'!P76</f>
        <v>56.526566258573</v>
      </c>
      <c r="Z76" s="105" t="n">
        <f aca="false">'Plan-Kunden'!Q76</f>
        <v>0</v>
      </c>
      <c r="AA76" s="105" t="n">
        <f aca="false">IF(D76&gt;='Plan-Phase B'!$C$22,1,0)</f>
        <v>0</v>
      </c>
      <c r="AB76" s="105" t="n">
        <f aca="false">IF(D76&gt;='Plan-Phase B'!$D$22,1,0)</f>
        <v>0</v>
      </c>
      <c r="AC76" s="105" t="n">
        <f aca="false">IF(D76&gt;='Plan-Phase B'!$E$22,1,0)</f>
        <v>0</v>
      </c>
      <c r="AD76" s="35" t="n">
        <f aca="false">IF(AND(W76&gt;=0,A76&gt;$K$64),1,0)</f>
        <v>0</v>
      </c>
      <c r="AE76" s="35" t="n">
        <f aca="false">IF(A76&gt;=$O$64,1,0)</f>
        <v>1</v>
      </c>
    </row>
    <row r="77" customFormat="false" ht="15" hidden="false" customHeight="true" outlineLevel="0" collapsed="false">
      <c r="A77" s="35" t="n">
        <v>12</v>
      </c>
      <c r="B77" s="73" t="n">
        <f aca="false">'Plan-Kunden'!B77</f>
        <v>46600</v>
      </c>
      <c r="C77" s="78" t="n">
        <f aca="false">'Plan-Kunden'!E77</f>
        <v>4.87806852981452</v>
      </c>
      <c r="D77" s="78" t="n">
        <f aca="false">'Plan-Kunden'!K77</f>
        <v>30.2948774560108</v>
      </c>
      <c r="E77" s="78" t="n">
        <f aca="false">'Plan-Kunden'!I77</f>
        <v>23.9824380973637</v>
      </c>
      <c r="F77" s="78" t="n">
        <f aca="false">'Plan-Kunden'!J77</f>
        <v>6.31243935864713</v>
      </c>
      <c r="G77" s="104" t="n">
        <f aca="false">D77*'Plan-Annahmen'!$B$21</f>
        <v>242.359019648086</v>
      </c>
      <c r="H77" s="100" t="n">
        <f aca="false">E77*'Plan-Annahmen'!$B$14+F77*'Plan-Annahmen'!$B$15</f>
        <v>1004.80023339726</v>
      </c>
      <c r="I77" s="100" t="n">
        <f aca="false">H77*('Plan-Annahmen'!$B$52+'Plan-Annahmen'!$B$53)</f>
        <v>30.1440070019177</v>
      </c>
      <c r="J77" s="100" t="n">
        <f aca="false">E77*('Plan-Annahmen'!$B$14*'Plan-Annahmen'!$B$18+'Plan-Annahmen'!$B$19)+F77*('Plan-Annahmen'!$B$15*'Plan-Annahmen'!$B$18+'Plan-Annahmen'!$B$19)</f>
        <v>22.6457228649615</v>
      </c>
      <c r="K77" s="100" t="n">
        <f aca="false">G77*'Plan-Annahmen'!$B$17/100</f>
        <v>6.05897549120216</v>
      </c>
      <c r="L77" s="100" t="n">
        <f aca="false">'Plan-Kunden'!D77*'Plan-Annahmen'!$B$15*'Plan-Annahmen'!$B$50</f>
        <v>0</v>
      </c>
      <c r="M77" s="100" t="n">
        <f aca="false">'Plan-Kosten'!Y$61</f>
        <v>386.682212885154</v>
      </c>
      <c r="N77" s="100" t="n">
        <f aca="false">IF(A77&gt;=$O$64,'Plan-Kosten'!$F$71,0)</f>
        <v>210</v>
      </c>
      <c r="O77" s="100" t="n">
        <f aca="false">'Plan-Kosten'!Y$58</f>
        <v>0</v>
      </c>
      <c r="P77" s="100" t="n">
        <f aca="false">IF(A77=$O$64,'Plan-Kosten'!$F$72,0)</f>
        <v>0</v>
      </c>
      <c r="Q77" s="67" t="n">
        <f aca="false">I77+J77+K77+L77+M77+N77+O77+P77</f>
        <v>655.530918243235</v>
      </c>
      <c r="R77" s="39" t="n">
        <f aca="false">H77-Q77</f>
        <v>349.26931515402</v>
      </c>
      <c r="S77" s="100" t="n">
        <f aca="false">MAX(0,R77*'Plan-Annahmen'!$B$82)</f>
        <v>107.703749112788</v>
      </c>
      <c r="T77" s="67" t="n">
        <f aca="false">R77-S77</f>
        <v>241.565566041233</v>
      </c>
      <c r="U77" s="67" t="n">
        <f aca="false">U76+T77</f>
        <v>-3634.65770406191</v>
      </c>
      <c r="V77" s="100" t="n">
        <f aca="false">V76+'Plan-Kosten'!Y$59+IF(A77=$O$64,'Plan-Kosten'!$F$73,0)</f>
        <v>2000</v>
      </c>
      <c r="W77" s="39" t="n">
        <f aca="false">U77-V77</f>
        <v>-5634.65770406191</v>
      </c>
      <c r="X77" s="35" t="n">
        <f aca="false">IF(R77&gt;0,1,0)</f>
        <v>1</v>
      </c>
      <c r="Y77" s="78" t="n">
        <f aca="false">'Plan-Kunden'!P77</f>
        <v>58.4665317666178</v>
      </c>
      <c r="Z77" s="105" t="n">
        <f aca="false">'Plan-Kunden'!Q77</f>
        <v>0</v>
      </c>
      <c r="AA77" s="105" t="n">
        <f aca="false">IF(D77&gt;='Plan-Phase B'!$C$22,1,0)</f>
        <v>0</v>
      </c>
      <c r="AB77" s="105" t="n">
        <f aca="false">IF(D77&gt;='Plan-Phase B'!$D$22,1,0)</f>
        <v>0</v>
      </c>
      <c r="AC77" s="105" t="n">
        <f aca="false">IF(D77&gt;='Plan-Phase B'!$E$22,1,0)</f>
        <v>0</v>
      </c>
      <c r="AD77" s="35" t="n">
        <f aca="false">IF(AND(W77&gt;=0,A77&gt;$K$64),1,0)</f>
        <v>0</v>
      </c>
      <c r="AE77" s="35" t="n">
        <f aca="false">IF(A77&gt;=$O$64,1,0)</f>
        <v>1</v>
      </c>
    </row>
    <row r="78" customFormat="false" ht="15" hidden="false" customHeight="true" outlineLevel="0" collapsed="false">
      <c r="A78" s="35" t="n">
        <v>13</v>
      </c>
      <c r="B78" s="73" t="n">
        <f aca="false">'Plan-Kunden'!B78</f>
        <v>46631</v>
      </c>
      <c r="C78" s="78" t="n">
        <f aca="false">'Plan-Kunden'!E78</f>
        <v>4.94980981080108</v>
      </c>
      <c r="D78" s="78" t="n">
        <f aca="false">'Plan-Kunden'!K78</f>
        <v>34.8154897050788</v>
      </c>
      <c r="E78" s="78" t="n">
        <f aca="false">'Plan-Kunden'!I78</f>
        <v>23.74261371639</v>
      </c>
      <c r="F78" s="78" t="n">
        <f aca="false">'Plan-Kunden'!J78</f>
        <v>11.0728759886888</v>
      </c>
      <c r="G78" s="104" t="n">
        <f aca="false">D78*'Plan-Annahmen'!$B$21</f>
        <v>278.523917640631</v>
      </c>
      <c r="H78" s="100" t="n">
        <f aca="false">E78*'Plan-Annahmen'!$B$14+F78*'Plan-Annahmen'!$B$15</f>
        <v>1231.10672122106</v>
      </c>
      <c r="I78" s="100" t="n">
        <f aca="false">H78*('Plan-Annahmen'!$B$52+'Plan-Annahmen'!$B$53)</f>
        <v>36.9332016366319</v>
      </c>
      <c r="J78" s="100" t="n">
        <f aca="false">E78*('Plan-Annahmen'!$B$14*'Plan-Annahmen'!$B$18+'Plan-Annahmen'!$B$19)+F78*('Plan-Annahmen'!$B$15*'Plan-Annahmen'!$B$18+'Plan-Annahmen'!$B$19)</f>
        <v>27.1704732445856</v>
      </c>
      <c r="K78" s="100" t="n">
        <f aca="false">G78*'Plan-Annahmen'!$B$17/100</f>
        <v>6.96309794101576</v>
      </c>
      <c r="L78" s="100" t="n">
        <f aca="false">'Plan-Kunden'!D78*'Plan-Annahmen'!$B$15*'Plan-Annahmen'!$B$50</f>
        <v>0</v>
      </c>
      <c r="M78" s="100" t="n">
        <f aca="false">'Plan-Kosten'!Z$61</f>
        <v>298.364455875808</v>
      </c>
      <c r="N78" s="100" t="n">
        <f aca="false">IF(A78&gt;=$O$64,'Plan-Kosten'!$F$71,0)</f>
        <v>210</v>
      </c>
      <c r="O78" s="100" t="n">
        <f aca="false">'Plan-Kosten'!Z$58</f>
        <v>0</v>
      </c>
      <c r="P78" s="100" t="n">
        <f aca="false">IF(A78=$O$64,'Plan-Kosten'!$F$72,0)</f>
        <v>0</v>
      </c>
      <c r="Q78" s="67" t="n">
        <f aca="false">I78+J78+K78+L78+M78+N78+O78+P78</f>
        <v>579.431228698042</v>
      </c>
      <c r="R78" s="39" t="n">
        <f aca="false">H78-Q78</f>
        <v>651.67549252302</v>
      </c>
      <c r="S78" s="100" t="n">
        <f aca="false">MAX(0,R78*'Plan-Annahmen'!$B$82)</f>
        <v>200.956370068468</v>
      </c>
      <c r="T78" s="67" t="n">
        <f aca="false">R78-S78</f>
        <v>450.719122454552</v>
      </c>
      <c r="U78" s="67" t="n">
        <f aca="false">U77+T78</f>
        <v>-3183.93858160736</v>
      </c>
      <c r="V78" s="100" t="n">
        <f aca="false">V77+'Plan-Kosten'!Z$59+IF(A78=$O$64,'Plan-Kosten'!$F$73,0)</f>
        <v>2000</v>
      </c>
      <c r="W78" s="39" t="n">
        <f aca="false">U78-V78</f>
        <v>-5183.93858160736</v>
      </c>
      <c r="X78" s="35" t="n">
        <f aca="false">IF(R78&gt;0,1,0)</f>
        <v>1</v>
      </c>
      <c r="Y78" s="78" t="n">
        <f aca="false">'Plan-Kunden'!P78</f>
        <v>59.8944567223247</v>
      </c>
      <c r="Z78" s="105" t="n">
        <f aca="false">'Plan-Kunden'!Q78</f>
        <v>0</v>
      </c>
      <c r="AA78" s="105" t="n">
        <f aca="false">IF(D78&gt;='Plan-Phase B'!$C$22,1,0)</f>
        <v>0</v>
      </c>
      <c r="AB78" s="105" t="n">
        <f aca="false">IF(D78&gt;='Plan-Phase B'!$D$22,1,0)</f>
        <v>0</v>
      </c>
      <c r="AC78" s="105" t="n">
        <f aca="false">IF(D78&gt;='Plan-Phase B'!$E$22,1,0)</f>
        <v>0</v>
      </c>
      <c r="AD78" s="35" t="n">
        <f aca="false">IF(AND(W78&gt;=0,A78&gt;$K$64),1,0)</f>
        <v>0</v>
      </c>
      <c r="AE78" s="35" t="n">
        <f aca="false">IF(A78&gt;=$O$64,1,0)</f>
        <v>1</v>
      </c>
    </row>
    <row r="79" customFormat="false" ht="15" hidden="false" customHeight="true" outlineLevel="0" collapsed="false">
      <c r="A79" s="35" t="n">
        <v>14</v>
      </c>
      <c r="B79" s="73" t="n">
        <f aca="false">'Plan-Kunden'!B79</f>
        <v>46661</v>
      </c>
      <c r="C79" s="78" t="n">
        <f aca="false">'Plan-Kunden'!E79</f>
        <v>5.03016035548019</v>
      </c>
      <c r="D79" s="78" t="n">
        <f aca="false">'Plan-Kunden'!K79</f>
        <v>39.2760376437345</v>
      </c>
      <c r="E79" s="78" t="n">
        <f aca="false">'Plan-Kunden'!I79</f>
        <v>23.5051875792261</v>
      </c>
      <c r="F79" s="78" t="n">
        <f aca="false">'Plan-Kunden'!J79</f>
        <v>15.7708500645083</v>
      </c>
      <c r="G79" s="104" t="n">
        <f aca="false">D79*'Plan-Annahmen'!$B$21</f>
        <v>314.208301149876</v>
      </c>
      <c r="H79" s="100" t="n">
        <f aca="false">E79*'Plan-Annahmen'!$B$14+F79*'Plan-Annahmen'!$B$15</f>
        <v>1454.42209295847</v>
      </c>
      <c r="I79" s="100" t="n">
        <f aca="false">H79*('Plan-Annahmen'!$B$52+'Plan-Annahmen'!$B$53)</f>
        <v>43.632662788754</v>
      </c>
      <c r="J79" s="100" t="n">
        <f aca="false">E79*('Plan-Annahmen'!$B$14*'Plan-Annahmen'!$B$18+'Plan-Annahmen'!$B$19)+F79*('Plan-Annahmen'!$B$15*'Plan-Annahmen'!$B$18+'Plan-Annahmen'!$B$19)</f>
        <v>31.6353408053106</v>
      </c>
      <c r="K79" s="100" t="n">
        <f aca="false">G79*'Plan-Annahmen'!$B$17/100</f>
        <v>7.85520752874689</v>
      </c>
      <c r="L79" s="100" t="n">
        <f aca="false">'Plan-Kunden'!D79*'Plan-Annahmen'!$B$15*'Plan-Annahmen'!$B$50</f>
        <v>0</v>
      </c>
      <c r="M79" s="100" t="n">
        <f aca="false">'Plan-Kosten'!AA$61</f>
        <v>398.364455875808</v>
      </c>
      <c r="N79" s="100" t="n">
        <f aca="false">IF(A79&gt;=$O$64,'Plan-Kosten'!$F$71,0)</f>
        <v>210</v>
      </c>
      <c r="O79" s="100" t="n">
        <f aca="false">'Plan-Kosten'!AA$58</f>
        <v>0</v>
      </c>
      <c r="P79" s="100" t="n">
        <f aca="false">IF(A79=$O$64,'Plan-Kosten'!$F$72,0)</f>
        <v>0</v>
      </c>
      <c r="Q79" s="67" t="n">
        <f aca="false">I79+J79+K79+L79+M79+N79+O79+P79</f>
        <v>691.48766699862</v>
      </c>
      <c r="R79" s="39" t="n">
        <f aca="false">H79-Q79</f>
        <v>762.934425959846</v>
      </c>
      <c r="S79" s="100" t="n">
        <f aca="false">MAX(0,R79*'Plan-Annahmen'!$B$82)</f>
        <v>235.265150523894</v>
      </c>
      <c r="T79" s="67" t="n">
        <f aca="false">R79-S79</f>
        <v>527.669275435952</v>
      </c>
      <c r="U79" s="67" t="n">
        <f aca="false">U78+T79</f>
        <v>-2656.26930617141</v>
      </c>
      <c r="V79" s="100" t="n">
        <f aca="false">V78+'Plan-Kosten'!AA$59+IF(A79=$O$64,'Plan-Kosten'!$F$73,0)</f>
        <v>2000</v>
      </c>
      <c r="W79" s="39" t="n">
        <f aca="false">U79-V79</f>
        <v>-4656.26930617141</v>
      </c>
      <c r="X79" s="35" t="n">
        <f aca="false">IF(R79&gt;0,1,0)</f>
        <v>1</v>
      </c>
      <c r="Y79" s="78" t="n">
        <f aca="false">'Plan-Kunden'!P79</f>
        <v>61.3129716486005</v>
      </c>
      <c r="Z79" s="105" t="n">
        <f aca="false">'Plan-Kunden'!Q79</f>
        <v>0</v>
      </c>
      <c r="AA79" s="105" t="n">
        <f aca="false">IF(D79&gt;='Plan-Phase B'!$C$22,1,0)</f>
        <v>1</v>
      </c>
      <c r="AB79" s="105" t="n">
        <f aca="false">IF(D79&gt;='Plan-Phase B'!$D$22,1,0)</f>
        <v>0</v>
      </c>
      <c r="AC79" s="105" t="n">
        <f aca="false">IF(D79&gt;='Plan-Phase B'!$E$22,1,0)</f>
        <v>0</v>
      </c>
      <c r="AD79" s="35" t="n">
        <f aca="false">IF(AND(W79&gt;=0,A79&gt;$K$64),1,0)</f>
        <v>0</v>
      </c>
      <c r="AE79" s="35" t="n">
        <f aca="false">IF(A79&gt;=$O$64,1,0)</f>
        <v>1</v>
      </c>
    </row>
    <row r="80" customFormat="false" ht="15" hidden="false" customHeight="true" outlineLevel="0" collapsed="false">
      <c r="A80" s="35" t="n">
        <v>15</v>
      </c>
      <c r="B80" s="73" t="n">
        <f aca="false">'Plan-Kunden'!B80</f>
        <v>46692</v>
      </c>
      <c r="C80" s="78" t="n">
        <f aca="false">'Plan-Kunden'!E80</f>
        <v>5.10927106983888</v>
      </c>
      <c r="D80" s="78" t="n">
        <f aca="false">'Plan-Kunden'!K80</f>
        <v>43.6771313358458</v>
      </c>
      <c r="E80" s="78" t="n">
        <f aca="false">'Plan-Kunden'!I80</f>
        <v>23.2701357034339</v>
      </c>
      <c r="F80" s="78" t="n">
        <f aca="false">'Plan-Kunden'!J80</f>
        <v>20.406995632412</v>
      </c>
      <c r="G80" s="104" t="n">
        <f aca="false">D80*'Plan-Annahmen'!$B$21</f>
        <v>349.417050686767</v>
      </c>
      <c r="H80" s="100" t="n">
        <f aca="false">E80*'Plan-Annahmen'!$B$14+F80*'Plan-Annahmen'!$B$15</f>
        <v>1674.77672138777</v>
      </c>
      <c r="I80" s="100" t="n">
        <f aca="false">H80*('Plan-Annahmen'!$B$52+'Plan-Annahmen'!$B$53)</f>
        <v>50.243301641633</v>
      </c>
      <c r="J80" s="100" t="n">
        <f aca="false">E80*('Plan-Annahmen'!$B$14*'Plan-Annahmen'!$B$18+'Plan-Annahmen'!$B$19)+F80*('Plan-Annahmen'!$B$15*'Plan-Annahmen'!$B$18+'Plan-Annahmen'!$B$19)</f>
        <v>36.040933654778</v>
      </c>
      <c r="K80" s="100" t="n">
        <f aca="false">G80*'Plan-Annahmen'!$B$17/100</f>
        <v>8.73542626716916</v>
      </c>
      <c r="L80" s="100" t="n">
        <f aca="false">'Plan-Kunden'!D80*'Plan-Annahmen'!$B$15*'Plan-Annahmen'!$B$50</f>
        <v>0</v>
      </c>
      <c r="M80" s="100" t="n">
        <f aca="false">'Plan-Kosten'!AB$61</f>
        <v>298.364455875808</v>
      </c>
      <c r="N80" s="100" t="n">
        <f aca="false">IF(A80&gt;=$O$64,'Plan-Kosten'!$F$71,0)</f>
        <v>210</v>
      </c>
      <c r="O80" s="100" t="n">
        <f aca="false">'Plan-Kosten'!AB$58</f>
        <v>0</v>
      </c>
      <c r="P80" s="100" t="n">
        <f aca="false">IF(A80=$O$64,'Plan-Kosten'!$F$72,0)</f>
        <v>0</v>
      </c>
      <c r="Q80" s="67" t="n">
        <f aca="false">I80+J80+K80+L80+M80+N80+O80+P80</f>
        <v>603.384117439388</v>
      </c>
      <c r="R80" s="39" t="n">
        <f aca="false">H80-Q80</f>
        <v>1071.39260394838</v>
      </c>
      <c r="S80" s="100" t="n">
        <f aca="false">MAX(0,R80*'Plan-Annahmen'!$B$82)</f>
        <v>330.384019466659</v>
      </c>
      <c r="T80" s="67" t="n">
        <f aca="false">R80-S80</f>
        <v>741.008584481721</v>
      </c>
      <c r="U80" s="67" t="n">
        <f aca="false">U79+T80</f>
        <v>-1915.26072168969</v>
      </c>
      <c r="V80" s="100" t="n">
        <f aca="false">V79+'Plan-Kosten'!AB$59+IF(A80=$O$64,'Plan-Kosten'!$F$73,0)</f>
        <v>2000</v>
      </c>
      <c r="W80" s="39" t="n">
        <f aca="false">U80-V80</f>
        <v>-3915.26072168969</v>
      </c>
      <c r="X80" s="35" t="n">
        <f aca="false">IF(R80&gt;0,1,0)</f>
        <v>1</v>
      </c>
      <c r="Y80" s="78" t="n">
        <f aca="false">'Plan-Kunden'!P80</f>
        <v>62.7124104705926</v>
      </c>
      <c r="Z80" s="105" t="n">
        <f aca="false">'Plan-Kunden'!Q80</f>
        <v>0</v>
      </c>
      <c r="AA80" s="105" t="n">
        <f aca="false">IF(D80&gt;='Plan-Phase B'!$C$22,1,0)</f>
        <v>1</v>
      </c>
      <c r="AB80" s="105" t="n">
        <f aca="false">IF(D80&gt;='Plan-Phase B'!$D$22,1,0)</f>
        <v>0</v>
      </c>
      <c r="AC80" s="105" t="n">
        <f aca="false">IF(D80&gt;='Plan-Phase B'!$E$22,1,0)</f>
        <v>0</v>
      </c>
      <c r="AD80" s="35" t="n">
        <f aca="false">IF(AND(W80&gt;=0,A80&gt;$K$64),1,0)</f>
        <v>0</v>
      </c>
      <c r="AE80" s="35" t="n">
        <f aca="false">IF(A80&gt;=$O$64,1,0)</f>
        <v>1</v>
      </c>
    </row>
    <row r="81" customFormat="false" ht="15" hidden="false" customHeight="true" outlineLevel="0" collapsed="false">
      <c r="A81" s="35" t="n">
        <v>16</v>
      </c>
      <c r="B81" s="73" t="n">
        <f aca="false">'Plan-Kunden'!B81</f>
        <v>46722</v>
      </c>
      <c r="C81" s="78" t="n">
        <f aca="false">'Plan-Kunden'!E81</f>
        <v>5.43733065876535</v>
      </c>
      <c r="D81" s="78" t="n">
        <f aca="false">'Plan-Kunden'!K81</f>
        <v>48.2695507686045</v>
      </c>
      <c r="E81" s="78" t="n">
        <f aca="false">'Plan-Kunden'!I81</f>
        <v>23.0374343463995</v>
      </c>
      <c r="F81" s="78" t="n">
        <f aca="false">'Plan-Kunden'!J81</f>
        <v>25.2321164222049</v>
      </c>
      <c r="G81" s="104" t="n">
        <f aca="false">D81*'Plan-Annahmen'!$B$21</f>
        <v>386.156406148836</v>
      </c>
      <c r="H81" s="100" t="n">
        <f aca="false">E81*'Plan-Annahmen'!$B$14+F81*'Plan-Annahmen'!$B$15</f>
        <v>1904.45930073363</v>
      </c>
      <c r="I81" s="100" t="n">
        <f aca="false">H81*('Plan-Annahmen'!$B$52+'Plan-Annahmen'!$B$53)</f>
        <v>57.1337790220089</v>
      </c>
      <c r="J81" s="100" t="n">
        <f aca="false">E81*('Plan-Annahmen'!$B$14*'Plan-Annahmen'!$B$18+'Plan-Annahmen'!$B$19)+F81*('Plan-Annahmen'!$B$15*'Plan-Annahmen'!$B$18+'Plan-Annahmen'!$B$19)</f>
        <v>40.6342772031555</v>
      </c>
      <c r="K81" s="100" t="n">
        <f aca="false">G81*'Plan-Annahmen'!$B$17/100</f>
        <v>9.65391015372089</v>
      </c>
      <c r="L81" s="100" t="n">
        <f aca="false">'Plan-Kunden'!D81*'Plan-Annahmen'!$B$15*'Plan-Annahmen'!$B$50</f>
        <v>0</v>
      </c>
      <c r="M81" s="100" t="n">
        <f aca="false">'Plan-Kosten'!AC$61</f>
        <v>398.364455875808</v>
      </c>
      <c r="N81" s="100" t="n">
        <f aca="false">IF(A81&gt;=$O$64,'Plan-Kosten'!$F$71,0)</f>
        <v>210</v>
      </c>
      <c r="O81" s="100" t="n">
        <f aca="false">'Plan-Kosten'!AC$58</f>
        <v>0</v>
      </c>
      <c r="P81" s="100" t="n">
        <f aca="false">IF(A81=$O$64,'Plan-Kosten'!$F$72,0)</f>
        <v>0</v>
      </c>
      <c r="Q81" s="67" t="n">
        <f aca="false">I81+J81+K81+L81+M81+N81+O81+P81</f>
        <v>715.786422254694</v>
      </c>
      <c r="R81" s="39" t="n">
        <f aca="false">H81-Q81</f>
        <v>1188.67287847893</v>
      </c>
      <c r="S81" s="100" t="n">
        <f aca="false">MAX(0,R81*'Plan-Annahmen'!$B$82)</f>
        <v>366.549593468909</v>
      </c>
      <c r="T81" s="67" t="n">
        <f aca="false">R81-S81</f>
        <v>822.123285010026</v>
      </c>
      <c r="U81" s="67" t="n">
        <f aca="false">U80+T81</f>
        <v>-1093.13743667966</v>
      </c>
      <c r="V81" s="100" t="n">
        <f aca="false">V80+'Plan-Kosten'!AC$59+IF(A81=$O$64,'Plan-Kosten'!$F$73,0)</f>
        <v>2000</v>
      </c>
      <c r="W81" s="39" t="n">
        <f aca="false">U81-V81</f>
        <v>-3093.13743667966</v>
      </c>
      <c r="X81" s="35" t="n">
        <f aca="false">IF(R81&gt;0,1,0)</f>
        <v>1</v>
      </c>
      <c r="Y81" s="78" t="n">
        <f aca="false">'Plan-Kunden'!P81</f>
        <v>64.4181958893467</v>
      </c>
      <c r="Z81" s="105" t="n">
        <f aca="false">'Plan-Kunden'!Q81</f>
        <v>0</v>
      </c>
      <c r="AA81" s="105" t="n">
        <f aca="false">IF(D81&gt;='Plan-Phase B'!$C$22,1,0)</f>
        <v>1</v>
      </c>
      <c r="AB81" s="105" t="n">
        <f aca="false">IF(D81&gt;='Plan-Phase B'!$D$22,1,0)</f>
        <v>1</v>
      </c>
      <c r="AC81" s="105" t="n">
        <f aca="false">IF(D81&gt;='Plan-Phase B'!$E$22,1,0)</f>
        <v>0</v>
      </c>
      <c r="AD81" s="35" t="n">
        <f aca="false">IF(AND(W81&gt;=0,A81&gt;$K$64),1,0)</f>
        <v>0</v>
      </c>
      <c r="AE81" s="35" t="n">
        <f aca="false">IF(A81&gt;=$O$64,1,0)</f>
        <v>1</v>
      </c>
    </row>
    <row r="82" customFormat="false" ht="15" hidden="false" customHeight="true" outlineLevel="0" collapsed="false">
      <c r="A82" s="35" t="n">
        <v>17</v>
      </c>
      <c r="B82" s="73" t="n">
        <f aca="false">'Plan-Kunden'!B82</f>
        <v>46753</v>
      </c>
      <c r="C82" s="78" t="n">
        <f aca="false">'Plan-Kunden'!E82</f>
        <v>7.5143497983773</v>
      </c>
      <c r="D82" s="78" t="n">
        <f aca="false">'Plan-Kunden'!K82</f>
        <v>54.7965627308516</v>
      </c>
      <c r="E82" s="78" t="n">
        <f aca="false">'Plan-Kunden'!I82</f>
        <v>22.8070600029355</v>
      </c>
      <c r="F82" s="78" t="n">
        <f aca="false">'Plan-Kunden'!J82</f>
        <v>31.9895027279161</v>
      </c>
      <c r="G82" s="104" t="n">
        <f aca="false">D82*'Plan-Annahmen'!$B$21</f>
        <v>438.372501846813</v>
      </c>
      <c r="H82" s="100" t="n">
        <f aca="false">E82*'Plan-Annahmen'!$B$14+F82*'Plan-Annahmen'!$B$15</f>
        <v>2228.89037375302</v>
      </c>
      <c r="I82" s="100" t="n">
        <f aca="false">H82*('Plan-Annahmen'!$B$52+'Plan-Annahmen'!$B$53)</f>
        <v>66.8667112125906</v>
      </c>
      <c r="J82" s="100" t="n">
        <f aca="false">E82*('Plan-Annahmen'!$B$14*'Plan-Annahmen'!$B$18+'Plan-Annahmen'!$B$19)+F82*('Plan-Annahmen'!$B$15*'Plan-Annahmen'!$B$18+'Plan-Annahmen'!$B$19)</f>
        <v>47.1324962890082</v>
      </c>
      <c r="K82" s="100" t="n">
        <f aca="false">G82*'Plan-Annahmen'!$B$17/100</f>
        <v>10.9593125461703</v>
      </c>
      <c r="L82" s="100" t="n">
        <f aca="false">'Plan-Kunden'!D82*'Plan-Annahmen'!$B$15*'Plan-Annahmen'!$B$50</f>
        <v>0</v>
      </c>
      <c r="M82" s="100" t="n">
        <f aca="false">'Plan-Kosten'!AD$61</f>
        <v>298.364455875808</v>
      </c>
      <c r="N82" s="100" t="n">
        <f aca="false">IF(A82&gt;=$O$64,'Plan-Kosten'!$F$71,0)</f>
        <v>210</v>
      </c>
      <c r="O82" s="100" t="n">
        <f aca="false">'Plan-Kosten'!AD$58</f>
        <v>0</v>
      </c>
      <c r="P82" s="100" t="n">
        <f aca="false">IF(A82=$O$64,'Plan-Kosten'!$F$72,0)</f>
        <v>0</v>
      </c>
      <c r="Q82" s="67" t="n">
        <f aca="false">I82+J82+K82+L82+M82+N82+O82+P82</f>
        <v>633.322975923577</v>
      </c>
      <c r="R82" s="39" t="n">
        <f aca="false">H82-Q82</f>
        <v>1595.56739782944</v>
      </c>
      <c r="S82" s="100" t="n">
        <f aca="false">MAX(0,R82*'Plan-Annahmen'!$B$82)</f>
        <v>492.023155920766</v>
      </c>
      <c r="T82" s="67" t="n">
        <f aca="false">R82-S82</f>
        <v>1103.54424190868</v>
      </c>
      <c r="U82" s="67" t="n">
        <f aca="false">U81+T82</f>
        <v>10.4068052290147</v>
      </c>
      <c r="V82" s="100" t="n">
        <f aca="false">V81+'Plan-Kosten'!AD$59+IF(A82=$O$64,'Plan-Kosten'!$F$73,0)</f>
        <v>2000</v>
      </c>
      <c r="W82" s="39" t="n">
        <f aca="false">U82-V82</f>
        <v>-1989.59319477099</v>
      </c>
      <c r="X82" s="35" t="n">
        <f aca="false">IF(R82&gt;0,1,0)</f>
        <v>1</v>
      </c>
      <c r="Y82" s="78" t="n">
        <f aca="false">'Plan-Kunden'!P82</f>
        <v>68.4533186176328</v>
      </c>
      <c r="Z82" s="105" t="n">
        <f aca="false">'Plan-Kunden'!Q82</f>
        <v>1</v>
      </c>
      <c r="AA82" s="105" t="n">
        <f aca="false">IF(D82&gt;='Plan-Phase B'!$C$22,1,0)</f>
        <v>1</v>
      </c>
      <c r="AB82" s="105" t="n">
        <f aca="false">IF(D82&gt;='Plan-Phase B'!$D$22,1,0)</f>
        <v>1</v>
      </c>
      <c r="AC82" s="105" t="n">
        <f aca="false">IF(D82&gt;='Plan-Phase B'!$E$22,1,0)</f>
        <v>0</v>
      </c>
      <c r="AD82" s="35" t="n">
        <f aca="false">IF(AND(W82&gt;=0,A82&gt;$K$64),1,0)</f>
        <v>0</v>
      </c>
      <c r="AE82" s="35" t="n">
        <f aca="false">IF(A82&gt;=$O$64,1,0)</f>
        <v>1</v>
      </c>
    </row>
    <row r="83" customFormat="false" ht="15" hidden="false" customHeight="true" outlineLevel="0" collapsed="false">
      <c r="A83" s="35" t="n">
        <v>18</v>
      </c>
      <c r="B83" s="73" t="n">
        <f aca="false">'Plan-Kunden'!B83</f>
        <v>46784</v>
      </c>
      <c r="C83" s="78" t="n">
        <f aca="false">'Plan-Kunden'!E83</f>
        <v>7.59471713845058</v>
      </c>
      <c r="D83" s="78" t="n">
        <f aca="false">'Plan-Kunden'!K83</f>
        <v>61.2035241874354</v>
      </c>
      <c r="E83" s="78" t="n">
        <f aca="false">'Plan-Kunden'!I83</f>
        <v>22.5789894029062</v>
      </c>
      <c r="F83" s="78" t="n">
        <f aca="false">'Plan-Kunden'!J83</f>
        <v>38.6245347845292</v>
      </c>
      <c r="G83" s="104" t="n">
        <f aca="false">D83*'Plan-Annahmen'!$B$21</f>
        <v>489.628193499483</v>
      </c>
      <c r="H83" s="100" t="n">
        <f aca="false">E83*'Plan-Annahmen'!$B$14+F83*'Plan-Annahmen'!$B$15</f>
        <v>2547.39289712621</v>
      </c>
      <c r="I83" s="100" t="n">
        <f aca="false">H83*('Plan-Annahmen'!$B$52+'Plan-Annahmen'!$B$53)</f>
        <v>76.4217869137863</v>
      </c>
      <c r="J83" s="100" t="n">
        <f aca="false">E83*('Plan-Annahmen'!$B$14*'Plan-Annahmen'!$B$18+'Plan-Annahmen'!$B$19)+F83*('Plan-Annahmen'!$B$15*'Plan-Annahmen'!$B$18+'Plan-Annahmen'!$B$19)</f>
        <v>53.511774503752</v>
      </c>
      <c r="K83" s="100" t="n">
        <f aca="false">G83*'Plan-Annahmen'!$B$17/100</f>
        <v>12.2407048374871</v>
      </c>
      <c r="L83" s="100" t="n">
        <f aca="false">'Plan-Kunden'!D83*'Plan-Annahmen'!$B$15*'Plan-Annahmen'!$B$50</f>
        <v>0</v>
      </c>
      <c r="M83" s="100" t="n">
        <f aca="false">'Plan-Kosten'!AE$61</f>
        <v>398.364455875808</v>
      </c>
      <c r="N83" s="100" t="n">
        <f aca="false">IF(A83&gt;=$O$64,'Plan-Kosten'!$F$71,0)</f>
        <v>210</v>
      </c>
      <c r="O83" s="100" t="n">
        <f aca="false">'Plan-Kosten'!AE$58</f>
        <v>0</v>
      </c>
      <c r="P83" s="100" t="n">
        <f aca="false">IF(A83=$O$64,'Plan-Kosten'!$F$72,0)</f>
        <v>0</v>
      </c>
      <c r="Q83" s="67" t="n">
        <f aca="false">I83+J83+K83+L83+M83+N83+O83+P83</f>
        <v>750.538722130834</v>
      </c>
      <c r="R83" s="39" t="n">
        <f aca="false">H83-Q83</f>
        <v>1796.85417499538</v>
      </c>
      <c r="S83" s="100" t="n">
        <f aca="false">MAX(0,R83*'Plan-Annahmen'!$B$82)</f>
        <v>554.093711812689</v>
      </c>
      <c r="T83" s="67" t="n">
        <f aca="false">R83-S83</f>
        <v>1242.76046318269</v>
      </c>
      <c r="U83" s="67" t="n">
        <f aca="false">U82+T83</f>
        <v>1253.1672684117</v>
      </c>
      <c r="V83" s="100" t="n">
        <f aca="false">V82+'Plan-Kosten'!AE$59+IF(A83=$O$64,'Plan-Kosten'!$F$73,0)</f>
        <v>2000</v>
      </c>
      <c r="W83" s="39" t="n">
        <f aca="false">U83-V83</f>
        <v>-746.832731588299</v>
      </c>
      <c r="X83" s="35" t="n">
        <f aca="false">IF(R83&gt;0,1,0)</f>
        <v>1</v>
      </c>
      <c r="Y83" s="78" t="n">
        <f aca="false">'Plan-Kunden'!P83</f>
        <v>70.4557743946812</v>
      </c>
      <c r="Z83" s="105" t="n">
        <f aca="false">'Plan-Kunden'!Q83</f>
        <v>1</v>
      </c>
      <c r="AA83" s="105" t="n">
        <f aca="false">IF(D83&gt;='Plan-Phase B'!$C$22,1,0)</f>
        <v>1</v>
      </c>
      <c r="AB83" s="105" t="n">
        <f aca="false">IF(D83&gt;='Plan-Phase B'!$D$22,1,0)</f>
        <v>1</v>
      </c>
      <c r="AC83" s="105" t="n">
        <f aca="false">IF(D83&gt;='Plan-Phase B'!$E$22,1,0)</f>
        <v>0</v>
      </c>
      <c r="AD83" s="35" t="n">
        <f aca="false">IF(AND(W83&gt;=0,A83&gt;$K$64),1,0)</f>
        <v>0</v>
      </c>
      <c r="AE83" s="35" t="n">
        <f aca="false">IF(A83&gt;=$O$64,1,0)</f>
        <v>1</v>
      </c>
    </row>
    <row r="84" customFormat="false" ht="15" hidden="false" customHeight="true" outlineLevel="0" collapsed="false">
      <c r="A84" s="35" t="n">
        <v>19</v>
      </c>
      <c r="B84" s="73" t="n">
        <f aca="false">'Plan-Kunden'!B84</f>
        <v>46813</v>
      </c>
      <c r="C84" s="78" t="n">
        <f aca="false">'Plan-Kunden'!E84</f>
        <v>7.7089398477899</v>
      </c>
      <c r="D84" s="78" t="n">
        <f aca="false">'Plan-Kunden'!K84</f>
        <v>67.5279380976603</v>
      </c>
      <c r="E84" s="78" t="n">
        <f aca="false">'Plan-Kunden'!I84</f>
        <v>22.3531995088771</v>
      </c>
      <c r="F84" s="78" t="n">
        <f aca="false">'Plan-Kunden'!J84</f>
        <v>45.1747385887832</v>
      </c>
      <c r="G84" s="104" t="n">
        <f aca="false">D84*'Plan-Annahmen'!$B$21</f>
        <v>540.223504781283</v>
      </c>
      <c r="H84" s="100" t="n">
        <f aca="false">E84*'Plan-Annahmen'!$B$14+F84*'Plan-Annahmen'!$B$15</f>
        <v>2861.80497660781</v>
      </c>
      <c r="I84" s="100" t="n">
        <f aca="false">H84*('Plan-Annahmen'!$B$52+'Plan-Annahmen'!$B$53)</f>
        <v>85.8541492982344</v>
      </c>
      <c r="J84" s="100" t="n">
        <f aca="false">E84*('Plan-Annahmen'!$B$14*'Plan-Annahmen'!$B$18+'Plan-Annahmen'!$B$19)+F84*('Plan-Annahmen'!$B$15*'Plan-Annahmen'!$B$18+'Plan-Annahmen'!$B$19)</f>
        <v>59.8090591735323</v>
      </c>
      <c r="K84" s="100" t="n">
        <f aca="false">G84*'Plan-Annahmen'!$B$17/100</f>
        <v>13.5055876195321</v>
      </c>
      <c r="L84" s="100" t="n">
        <f aca="false">'Plan-Kunden'!D84*'Plan-Annahmen'!$B$15*'Plan-Annahmen'!$B$50</f>
        <v>0</v>
      </c>
      <c r="M84" s="100" t="n">
        <f aca="false">'Plan-Kosten'!AF$61</f>
        <v>298.364455875808</v>
      </c>
      <c r="N84" s="100" t="n">
        <f aca="false">IF(A84&gt;=$O$64,'Plan-Kosten'!$F$71,0)</f>
        <v>210</v>
      </c>
      <c r="O84" s="100" t="n">
        <f aca="false">'Plan-Kosten'!AF$58</f>
        <v>0</v>
      </c>
      <c r="P84" s="100" t="n">
        <f aca="false">IF(A84=$O$64,'Plan-Kosten'!$F$72,0)</f>
        <v>0</v>
      </c>
      <c r="Q84" s="67" t="n">
        <f aca="false">I84+J84+K84+L84+M84+N84+O84+P84</f>
        <v>667.533251967107</v>
      </c>
      <c r="R84" s="39" t="n">
        <f aca="false">H84-Q84</f>
        <v>2194.27172464071</v>
      </c>
      <c r="S84" s="100" t="n">
        <f aca="false">MAX(0,R84*'Plan-Annahmen'!$B$82)</f>
        <v>676.644872773234</v>
      </c>
      <c r="T84" s="67" t="n">
        <f aca="false">R84-S84</f>
        <v>1517.62685186747</v>
      </c>
      <c r="U84" s="67" t="n">
        <f aca="false">U83+T84</f>
        <v>2770.79412027917</v>
      </c>
      <c r="V84" s="100" t="n">
        <f aca="false">V83+'Plan-Kosten'!AF$59+IF(A84=$O$64,'Plan-Kosten'!$F$73,0)</f>
        <v>2000</v>
      </c>
      <c r="W84" s="39" t="n">
        <f aca="false">U84-V84</f>
        <v>770.794120279174</v>
      </c>
      <c r="X84" s="35" t="n">
        <f aca="false">IF(R84&gt;0,1,0)</f>
        <v>1</v>
      </c>
      <c r="Y84" s="78" t="n">
        <f aca="false">'Plan-Kunden'!P84</f>
        <v>72.467321277088</v>
      </c>
      <c r="Z84" s="105" t="n">
        <f aca="false">'Plan-Kunden'!Q84</f>
        <v>1</v>
      </c>
      <c r="AA84" s="105" t="n">
        <f aca="false">IF(D84&gt;='Plan-Phase B'!$C$22,1,0)</f>
        <v>1</v>
      </c>
      <c r="AB84" s="105" t="n">
        <f aca="false">IF(D84&gt;='Plan-Phase B'!$D$22,1,0)</f>
        <v>1</v>
      </c>
      <c r="AC84" s="105" t="n">
        <f aca="false">IF(D84&gt;='Plan-Phase B'!$E$22,1,0)</f>
        <v>0</v>
      </c>
      <c r="AD84" s="35" t="n">
        <f aca="false">IF(AND(W84&gt;=0,A84&gt;$K$64),1,0)</f>
        <v>1</v>
      </c>
      <c r="AE84" s="35" t="n">
        <f aca="false">IF(A84&gt;=$O$64,1,0)</f>
        <v>1</v>
      </c>
    </row>
    <row r="85" customFormat="false" ht="15" hidden="false" customHeight="true" outlineLevel="0" collapsed="false">
      <c r="A85" s="35" t="n">
        <v>20</v>
      </c>
      <c r="B85" s="73" t="n">
        <f aca="false">'Plan-Kunden'!B85</f>
        <v>46844</v>
      </c>
      <c r="C85" s="78" t="n">
        <f aca="false">'Plan-Kunden'!E85</f>
        <v>8.07106167328012</v>
      </c>
      <c r="D85" s="78" t="n">
        <f aca="false">'Plan-Kunden'!K85</f>
        <v>74.0202256181882</v>
      </c>
      <c r="E85" s="78" t="n">
        <f aca="false">'Plan-Kunden'!I85</f>
        <v>22.1296675137883</v>
      </c>
      <c r="F85" s="78" t="n">
        <f aca="false">'Plan-Kunden'!J85</f>
        <v>51.8905581043998</v>
      </c>
      <c r="G85" s="104" t="n">
        <f aca="false">D85*'Plan-Annahmen'!$B$21</f>
        <v>592.161804945505</v>
      </c>
      <c r="H85" s="100" t="n">
        <f aca="false">E85*'Plan-Annahmen'!$B$14+F85*'Plan-Annahmen'!$B$15</f>
        <v>3184.39770501545</v>
      </c>
      <c r="I85" s="100" t="n">
        <f aca="false">H85*('Plan-Annahmen'!$B$52+'Plan-Annahmen'!$B$53)</f>
        <v>95.5319311504636</v>
      </c>
      <c r="J85" s="100" t="n">
        <f aca="false">E85*('Plan-Annahmen'!$B$14*'Plan-Annahmen'!$B$18+'Plan-Annahmen'!$B$19)+F85*('Plan-Annahmen'!$B$15*'Plan-Annahmen'!$B$18+'Plan-Annahmen'!$B$19)</f>
        <v>66.2710219797789</v>
      </c>
      <c r="K85" s="100" t="n">
        <f aca="false">G85*'Plan-Annahmen'!$B$17/100</f>
        <v>14.8040451236376</v>
      </c>
      <c r="L85" s="100" t="n">
        <f aca="false">'Plan-Kunden'!D85*'Plan-Annahmen'!$B$15*'Plan-Annahmen'!$B$50</f>
        <v>0</v>
      </c>
      <c r="M85" s="100" t="n">
        <f aca="false">'Plan-Kosten'!AG$61</f>
        <v>398.364455875808</v>
      </c>
      <c r="N85" s="100" t="n">
        <f aca="false">IF(A85&gt;=$O$64,'Plan-Kosten'!$F$71,0)</f>
        <v>210</v>
      </c>
      <c r="O85" s="100" t="n">
        <f aca="false">'Plan-Kosten'!AG$58</f>
        <v>0</v>
      </c>
      <c r="P85" s="100" t="n">
        <f aca="false">IF(A85=$O$64,'Plan-Kosten'!$F$72,0)</f>
        <v>0</v>
      </c>
      <c r="Q85" s="67" t="n">
        <f aca="false">I85+J85+K85+L85+M85+N85+O85+P85</f>
        <v>784.971454129689</v>
      </c>
      <c r="R85" s="39" t="n">
        <f aca="false">H85-Q85</f>
        <v>2399.42625088577</v>
      </c>
      <c r="S85" s="100" t="n">
        <f aca="false">MAX(0,R85*'Plan-Annahmen'!$B$82)</f>
        <v>739.908121691355</v>
      </c>
      <c r="T85" s="67" t="n">
        <f aca="false">R85-S85</f>
        <v>1659.51812919441</v>
      </c>
      <c r="U85" s="67" t="n">
        <f aca="false">U84+T85</f>
        <v>4430.31224947359</v>
      </c>
      <c r="V85" s="100" t="n">
        <f aca="false">V84+'Plan-Kosten'!AG$59+IF(A85=$O$64,'Plan-Kosten'!$F$73,0)</f>
        <v>2000</v>
      </c>
      <c r="W85" s="39" t="n">
        <f aca="false">U85-V85</f>
        <v>2430.31224947359</v>
      </c>
      <c r="X85" s="35" t="n">
        <f aca="false">IF(R85&gt;0,1,0)</f>
        <v>1</v>
      </c>
      <c r="Y85" s="78" t="n">
        <f aca="false">'Plan-Kunden'!P85</f>
        <v>74.7771293587366</v>
      </c>
      <c r="Z85" s="105" t="n">
        <f aca="false">'Plan-Kunden'!Q85</f>
        <v>1</v>
      </c>
      <c r="AA85" s="105" t="n">
        <f aca="false">IF(D85&gt;='Plan-Phase B'!$C$22,1,0)</f>
        <v>1</v>
      </c>
      <c r="AB85" s="105" t="n">
        <f aca="false">IF(D85&gt;='Plan-Phase B'!$D$22,1,0)</f>
        <v>1</v>
      </c>
      <c r="AC85" s="105" t="n">
        <f aca="false">IF(D85&gt;='Plan-Phase B'!$E$22,1,0)</f>
        <v>0</v>
      </c>
      <c r="AD85" s="35" t="n">
        <f aca="false">IF(AND(W85&gt;=0,A85&gt;$K$64),1,0)</f>
        <v>1</v>
      </c>
      <c r="AE85" s="35" t="n">
        <f aca="false">IF(A85&gt;=$O$64,1,0)</f>
        <v>1</v>
      </c>
    </row>
    <row r="86" customFormat="false" ht="15" hidden="false" customHeight="true" outlineLevel="0" collapsed="false">
      <c r="A86" s="35" t="n">
        <v>21</v>
      </c>
      <c r="B86" s="73" t="n">
        <f aca="false">'Plan-Kunden'!B86</f>
        <v>46874</v>
      </c>
      <c r="C86" s="78" t="n">
        <f aca="false">'Plan-Kunden'!E86</f>
        <v>8.18173891670906</v>
      </c>
      <c r="D86" s="78" t="n">
        <f aca="false">'Plan-Kunden'!K86</f>
        <v>80.4239511166274</v>
      </c>
      <c r="E86" s="78" t="n">
        <f aca="false">'Plan-Kunden'!I86</f>
        <v>21.9083708386505</v>
      </c>
      <c r="F86" s="78" t="n">
        <f aca="false">'Plan-Kunden'!J86</f>
        <v>58.5155802779769</v>
      </c>
      <c r="G86" s="104" t="n">
        <f aca="false">D86*'Plan-Annahmen'!$B$21</f>
        <v>643.391608933019</v>
      </c>
      <c r="H86" s="100" t="n">
        <f aca="false">E86*'Plan-Annahmen'!$B$14+F86*'Plan-Annahmen'!$B$15</f>
        <v>3502.60618794173</v>
      </c>
      <c r="I86" s="100" t="n">
        <f aca="false">H86*('Plan-Annahmen'!$B$52+'Plan-Annahmen'!$B$53)</f>
        <v>105.078185638252</v>
      </c>
      <c r="J86" s="100" t="n">
        <f aca="false">E86*('Plan-Annahmen'!$B$14*'Plan-Annahmen'!$B$18+'Plan-Annahmen'!$B$19)+F86*('Plan-Annahmen'!$B$15*'Plan-Annahmen'!$B$18+'Plan-Annahmen'!$B$19)</f>
        <v>72.6450805982828</v>
      </c>
      <c r="K86" s="100" t="n">
        <f aca="false">G86*'Plan-Annahmen'!$B$17/100</f>
        <v>16.0847902233255</v>
      </c>
      <c r="L86" s="100" t="n">
        <f aca="false">'Plan-Kunden'!D86*'Plan-Annahmen'!$B$15*'Plan-Annahmen'!$B$50</f>
        <v>0</v>
      </c>
      <c r="M86" s="100" t="n">
        <f aca="false">'Plan-Kosten'!AH$61</f>
        <v>298.364455875808</v>
      </c>
      <c r="N86" s="100" t="n">
        <f aca="false">IF(A86&gt;=$O$64,'Plan-Kosten'!$F$71,0)</f>
        <v>210</v>
      </c>
      <c r="O86" s="100" t="n">
        <f aca="false">'Plan-Kosten'!AH$58</f>
        <v>0</v>
      </c>
      <c r="P86" s="100" t="n">
        <f aca="false">IF(A86=$O$64,'Plan-Kosten'!$F$72,0)</f>
        <v>0</v>
      </c>
      <c r="Q86" s="67" t="n">
        <f aca="false">I86+J86+K86+L86+M86+N86+O86+P86</f>
        <v>702.172512335668</v>
      </c>
      <c r="R86" s="39" t="n">
        <f aca="false">H86-Q86</f>
        <v>2800.43367560606</v>
      </c>
      <c r="S86" s="100" t="n">
        <f aca="false">MAX(0,R86*'Plan-Annahmen'!$B$82)</f>
        <v>863.566288013221</v>
      </c>
      <c r="T86" s="67" t="n">
        <f aca="false">R86-S86</f>
        <v>1936.86738759284</v>
      </c>
      <c r="U86" s="67" t="n">
        <f aca="false">U85+T86</f>
        <v>6367.17963706643</v>
      </c>
      <c r="V86" s="100" t="n">
        <f aca="false">V85+'Plan-Kosten'!AH$59+IF(A86=$O$64,'Plan-Kosten'!$F$73,0)</f>
        <v>2000</v>
      </c>
      <c r="W86" s="39" t="n">
        <f aca="false">U86-V86</f>
        <v>4367.17963706643</v>
      </c>
      <c r="X86" s="35" t="n">
        <f aca="false">IF(R86&gt;0,1,0)</f>
        <v>1</v>
      </c>
      <c r="Y86" s="78" t="n">
        <f aca="false">'Plan-Kunden'!P86</f>
        <v>76.8089242516973</v>
      </c>
      <c r="Z86" s="105" t="n">
        <f aca="false">'Plan-Kunden'!Q86</f>
        <v>1</v>
      </c>
      <c r="AA86" s="105" t="n">
        <f aca="false">IF(D86&gt;='Plan-Phase B'!$C$22,1,0)</f>
        <v>1</v>
      </c>
      <c r="AB86" s="105" t="n">
        <f aca="false">IF(D86&gt;='Plan-Phase B'!$D$22,1,0)</f>
        <v>1</v>
      </c>
      <c r="AC86" s="105" t="n">
        <f aca="false">IF(D86&gt;='Plan-Phase B'!$E$22,1,0)</f>
        <v>0</v>
      </c>
      <c r="AD86" s="35" t="n">
        <f aca="false">IF(AND(W86&gt;=0,A86&gt;$K$64),1,0)</f>
        <v>1</v>
      </c>
      <c r="AE86" s="35" t="n">
        <f aca="false">IF(A86&gt;=$O$64,1,0)</f>
        <v>1</v>
      </c>
    </row>
    <row r="87" customFormat="false" ht="15" hidden="false" customHeight="true" outlineLevel="0" collapsed="false">
      <c r="A87" s="35" t="n">
        <v>22</v>
      </c>
      <c r="B87" s="73" t="n">
        <f aca="false">'Plan-Kunden'!B87</f>
        <v>46905</v>
      </c>
      <c r="C87" s="78" t="n">
        <f aca="false">'Plan-Kunden'!E87</f>
        <v>8.29535394831829</v>
      </c>
      <c r="D87" s="78" t="n">
        <f aca="false">'Plan-Kunden'!K87</f>
        <v>86.7447539482199</v>
      </c>
      <c r="E87" s="78" t="n">
        <f aca="false">'Plan-Kunden'!I87</f>
        <v>21.689287130264</v>
      </c>
      <c r="F87" s="78" t="n">
        <f aca="false">'Plan-Kunden'!J87</f>
        <v>65.0554668179559</v>
      </c>
      <c r="G87" s="104" t="n">
        <f aca="false">D87*'Plan-Annahmen'!$B$21</f>
        <v>693.958031585759</v>
      </c>
      <c r="H87" s="100" t="n">
        <f aca="false">E87*'Plan-Annahmen'!$B$14+F87*'Plan-Annahmen'!$B$15</f>
        <v>3816.70720085749</v>
      </c>
      <c r="I87" s="100" t="n">
        <f aca="false">H87*('Plan-Annahmen'!$B$52+'Plan-Annahmen'!$B$53)</f>
        <v>114.501216025725</v>
      </c>
      <c r="J87" s="100" t="n">
        <f aca="false">E87*('Plan-Annahmen'!$B$14*'Plan-Annahmen'!$B$18+'Plan-Annahmen'!$B$19)+F87*('Plan-Annahmen'!$B$15*'Plan-Annahmen'!$B$18+'Plan-Annahmen'!$B$19)</f>
        <v>78.9367964999174</v>
      </c>
      <c r="K87" s="100" t="n">
        <f aca="false">G87*'Plan-Annahmen'!$B$17/100</f>
        <v>17.348950789644</v>
      </c>
      <c r="L87" s="100" t="n">
        <f aca="false">'Plan-Kunden'!D87*'Plan-Annahmen'!$B$15*'Plan-Annahmen'!$B$50</f>
        <v>0</v>
      </c>
      <c r="M87" s="100" t="n">
        <f aca="false">'Plan-Kosten'!AI$61</f>
        <v>398.364455875808</v>
      </c>
      <c r="N87" s="100" t="n">
        <f aca="false">IF(A87&gt;=$O$64,'Plan-Kosten'!$F$71,0)</f>
        <v>210</v>
      </c>
      <c r="O87" s="100" t="n">
        <f aca="false">'Plan-Kosten'!AI$58</f>
        <v>0</v>
      </c>
      <c r="P87" s="100" t="n">
        <f aca="false">IF(A87=$O$64,'Plan-Kosten'!$F$72,0)</f>
        <v>0</v>
      </c>
      <c r="Q87" s="67" t="n">
        <f aca="false">I87+J87+K87+L87+M87+N87+O87+P87</f>
        <v>819.151419191094</v>
      </c>
      <c r="R87" s="39" t="n">
        <f aca="false">H87-Q87</f>
        <v>2997.5557816664</v>
      </c>
      <c r="S87" s="100" t="n">
        <f aca="false">MAX(0,R87*'Plan-Annahmen'!$B$82)</f>
        <v>924.352589398856</v>
      </c>
      <c r="T87" s="67" t="n">
        <f aca="false">R87-S87</f>
        <v>2073.20319226754</v>
      </c>
      <c r="U87" s="67" t="n">
        <f aca="false">U86+T87</f>
        <v>8440.38282933397</v>
      </c>
      <c r="V87" s="100" t="n">
        <f aca="false">V86+'Plan-Kosten'!AI$59+IF(A87=$O$64,'Plan-Kosten'!$F$73,0)</f>
        <v>2000</v>
      </c>
      <c r="W87" s="39" t="n">
        <f aca="false">U87-V87</f>
        <v>6440.38282933397</v>
      </c>
      <c r="X87" s="35" t="n">
        <f aca="false">IF(R87&gt;0,1,0)</f>
        <v>1</v>
      </c>
      <c r="Y87" s="78" t="n">
        <f aca="false">'Plan-Kunden'!P87</f>
        <v>78.8187801327842</v>
      </c>
      <c r="Z87" s="105" t="n">
        <f aca="false">'Plan-Kunden'!Q87</f>
        <v>1</v>
      </c>
      <c r="AA87" s="105" t="n">
        <f aca="false">IF(D87&gt;='Plan-Phase B'!$C$22,1,0)</f>
        <v>1</v>
      </c>
      <c r="AB87" s="105" t="n">
        <f aca="false">IF(D87&gt;='Plan-Phase B'!$D$22,1,0)</f>
        <v>1</v>
      </c>
      <c r="AC87" s="105" t="n">
        <f aca="false">IF(D87&gt;='Plan-Phase B'!$E$22,1,0)</f>
        <v>0</v>
      </c>
      <c r="AD87" s="35" t="n">
        <f aca="false">IF(AND(W87&gt;=0,A87&gt;$K$64),1,0)</f>
        <v>1</v>
      </c>
      <c r="AE87" s="35" t="n">
        <f aca="false">IF(A87&gt;=$O$64,1,0)</f>
        <v>1</v>
      </c>
    </row>
    <row r="88" customFormat="false" ht="15" hidden="false" customHeight="true" outlineLevel="0" collapsed="false">
      <c r="A88" s="35" t="n">
        <v>23</v>
      </c>
      <c r="B88" s="73" t="n">
        <f aca="false">'Plan-Kunden'!B88</f>
        <v>46935</v>
      </c>
      <c r="C88" s="78" t="n">
        <f aca="false">'Plan-Kunden'!E88</f>
        <v>8.40741914454098</v>
      </c>
      <c r="D88" s="78" t="n">
        <f aca="false">'Plan-Kunden'!K88</f>
        <v>92.9836162169195</v>
      </c>
      <c r="E88" s="78" t="n">
        <f aca="false">'Plan-Kunden'!I88</f>
        <v>21.4723942589613</v>
      </c>
      <c r="F88" s="78" t="n">
        <f aca="false">'Plan-Kunden'!J88</f>
        <v>71.5112219579582</v>
      </c>
      <c r="G88" s="104" t="n">
        <f aca="false">D88*'Plan-Annahmen'!$B$21</f>
        <v>743.868929735356</v>
      </c>
      <c r="H88" s="100" t="n">
        <f aca="false">E88*'Plan-Annahmen'!$B$14+F88*'Plan-Annahmen'!$B$15</f>
        <v>4126.74930944983</v>
      </c>
      <c r="I88" s="100" t="n">
        <f aca="false">H88*('Plan-Annahmen'!$B$52+'Plan-Annahmen'!$B$53)</f>
        <v>123.802479283495</v>
      </c>
      <c r="J88" s="100" t="n">
        <f aca="false">E88*('Plan-Annahmen'!$B$14*'Plan-Annahmen'!$B$18+'Plan-Annahmen'!$B$19)+F88*('Plan-Annahmen'!$B$15*'Plan-Annahmen'!$B$18+'Plan-Annahmen'!$B$19)</f>
        <v>85.1471436959773</v>
      </c>
      <c r="K88" s="100" t="n">
        <f aca="false">G88*'Plan-Annahmen'!$B$17/100</f>
        <v>18.5967232433839</v>
      </c>
      <c r="L88" s="100" t="n">
        <f aca="false">'Plan-Kunden'!D88*'Plan-Annahmen'!$B$15*'Plan-Annahmen'!$B$50</f>
        <v>0</v>
      </c>
      <c r="M88" s="100" t="n">
        <f aca="false">'Plan-Kosten'!AJ$61</f>
        <v>298.364455875808</v>
      </c>
      <c r="N88" s="100" t="n">
        <f aca="false">IF(A88&gt;=$O$64,'Plan-Kosten'!$F$71,0)</f>
        <v>210</v>
      </c>
      <c r="O88" s="100" t="n">
        <f aca="false">'Plan-Kosten'!AJ$58</f>
        <v>0</v>
      </c>
      <c r="P88" s="100" t="n">
        <f aca="false">IF(A88=$O$64,'Plan-Kosten'!$F$72,0)</f>
        <v>0</v>
      </c>
      <c r="Q88" s="67" t="n">
        <f aca="false">I88+J88+K88+L88+M88+N88+O88+P88</f>
        <v>735.910802098664</v>
      </c>
      <c r="R88" s="39" t="n">
        <f aca="false">H88-Q88</f>
        <v>3390.83850735117</v>
      </c>
      <c r="S88" s="100" t="n">
        <f aca="false">MAX(0,R88*'Plan-Annahmen'!$B$82)</f>
        <v>1045.62869978051</v>
      </c>
      <c r="T88" s="67" t="n">
        <f aca="false">R88-S88</f>
        <v>2345.20980757065</v>
      </c>
      <c r="U88" s="67" t="n">
        <f aca="false">U87+T88</f>
        <v>10785.5926369046</v>
      </c>
      <c r="V88" s="100" t="n">
        <f aca="false">V87+'Plan-Kosten'!AJ$59+IF(A88=$O$64,'Plan-Kosten'!$F$73,0)</f>
        <v>2000</v>
      </c>
      <c r="W88" s="39" t="n">
        <f aca="false">U88-V88</f>
        <v>8785.59263690462</v>
      </c>
      <c r="X88" s="35" t="n">
        <f aca="false">IF(R88&gt;0,1,0)</f>
        <v>1</v>
      </c>
      <c r="Y88" s="78" t="n">
        <f aca="false">'Plan-Kunden'!P88</f>
        <v>80.8025040096168</v>
      </c>
      <c r="Z88" s="105" t="n">
        <f aca="false">'Plan-Kunden'!Q88</f>
        <v>1</v>
      </c>
      <c r="AA88" s="105" t="n">
        <f aca="false">IF(D88&gt;='Plan-Phase B'!$C$22,1,0)</f>
        <v>1</v>
      </c>
      <c r="AB88" s="105" t="n">
        <f aca="false">IF(D88&gt;='Plan-Phase B'!$D$22,1,0)</f>
        <v>1</v>
      </c>
      <c r="AC88" s="105" t="n">
        <f aca="false">IF(D88&gt;='Plan-Phase B'!$E$22,1,0)</f>
        <v>0</v>
      </c>
      <c r="AD88" s="35" t="n">
        <f aca="false">IF(AND(W88&gt;=0,A88&gt;$K$64),1,0)</f>
        <v>1</v>
      </c>
      <c r="AE88" s="35" t="n">
        <f aca="false">IF(A88&gt;=$O$64,1,0)</f>
        <v>1</v>
      </c>
    </row>
    <row r="89" customFormat="false" ht="15" hidden="false" customHeight="true" outlineLevel="0" collapsed="false">
      <c r="A89" s="35" t="n">
        <v>24</v>
      </c>
      <c r="B89" s="73" t="n">
        <f aca="false">'Plan-Kunden'!B89</f>
        <v>46966</v>
      </c>
      <c r="C89" s="78" t="n">
        <f aca="false">'Plan-Kunden'!E89</f>
        <v>8.51803319409385</v>
      </c>
      <c r="D89" s="78" t="n">
        <f aca="false">'Plan-Kunden'!K89</f>
        <v>99.141588809685</v>
      </c>
      <c r="E89" s="78" t="n">
        <f aca="false">'Plan-Kunden'!I89</f>
        <v>21.2576703163717</v>
      </c>
      <c r="F89" s="78" t="n">
        <f aca="false">'Plan-Kunden'!J89</f>
        <v>77.8839184933133</v>
      </c>
      <c r="G89" s="104" t="n">
        <f aca="false">D89*'Plan-Annahmen'!$B$21</f>
        <v>793.13271047748</v>
      </c>
      <c r="H89" s="100" t="n">
        <f aca="false">E89*'Plan-Annahmen'!$B$14+F89*'Plan-Annahmen'!$B$15</f>
        <v>4432.78444534713</v>
      </c>
      <c r="I89" s="100" t="n">
        <f aca="false">H89*('Plan-Annahmen'!$B$52+'Plan-Annahmen'!$B$53)</f>
        <v>132.983533360414</v>
      </c>
      <c r="J89" s="100" t="n">
        <f aca="false">E89*('Plan-Annahmen'!$B$14*'Plan-Annahmen'!$B$18+'Plan-Annahmen'!$B$19)+F89*('Plan-Annahmen'!$B$15*'Plan-Annahmen'!$B$18+'Plan-Annahmen'!$B$19)</f>
        <v>91.2771638826282</v>
      </c>
      <c r="K89" s="100" t="n">
        <f aca="false">G89*'Plan-Annahmen'!$B$17/100</f>
        <v>19.828317761937</v>
      </c>
      <c r="L89" s="100" t="n">
        <f aca="false">'Plan-Kunden'!D89*'Plan-Annahmen'!$B$15*'Plan-Annahmen'!$B$50</f>
        <v>0</v>
      </c>
      <c r="M89" s="100" t="n">
        <f aca="false">'Plan-Kosten'!AK$61</f>
        <v>398.364455875808</v>
      </c>
      <c r="N89" s="100" t="n">
        <f aca="false">IF(A89&gt;=$O$64,'Plan-Kosten'!$F$71,0)</f>
        <v>210</v>
      </c>
      <c r="O89" s="100" t="n">
        <f aca="false">'Plan-Kosten'!AK$58</f>
        <v>0</v>
      </c>
      <c r="P89" s="100" t="n">
        <f aca="false">IF(A89=$O$64,'Plan-Kosten'!$F$72,0)</f>
        <v>0</v>
      </c>
      <c r="Q89" s="67" t="n">
        <f aca="false">I89+J89+K89+L89+M89+N89+O89+P89</f>
        <v>852.453470880787</v>
      </c>
      <c r="R89" s="39" t="n">
        <f aca="false">H89-Q89</f>
        <v>3580.33097446634</v>
      </c>
      <c r="S89" s="100" t="n">
        <f aca="false">MAX(0,R89*'Plan-Annahmen'!$B$82)</f>
        <v>1104.06225878909</v>
      </c>
      <c r="T89" s="67" t="n">
        <f aca="false">R89-S89</f>
        <v>2476.26871567726</v>
      </c>
      <c r="U89" s="67" t="n">
        <f aca="false">U88+T89</f>
        <v>13261.8613525819</v>
      </c>
      <c r="V89" s="100" t="n">
        <f aca="false">V88+'Plan-Kosten'!AK$59+IF(A89=$O$64,'Plan-Kosten'!$F$73,0)</f>
        <v>2000</v>
      </c>
      <c r="W89" s="39" t="n">
        <f aca="false">U89-V89</f>
        <v>11261.8613525819</v>
      </c>
      <c r="X89" s="35" t="n">
        <f aca="false">IF(R89&gt;0,1,0)</f>
        <v>1</v>
      </c>
      <c r="Y89" s="78" t="n">
        <f aca="false">'Plan-Kunden'!P89</f>
        <v>82.7605098369994</v>
      </c>
      <c r="Z89" s="105" t="n">
        <f aca="false">'Plan-Kunden'!Q89</f>
        <v>1</v>
      </c>
      <c r="AA89" s="105" t="n">
        <f aca="false">IF(D89&gt;='Plan-Phase B'!$C$22,1,0)</f>
        <v>1</v>
      </c>
      <c r="AB89" s="105" t="n">
        <f aca="false">IF(D89&gt;='Plan-Phase B'!$D$22,1,0)</f>
        <v>1</v>
      </c>
      <c r="AC89" s="105" t="n">
        <f aca="false">IF(D89&gt;='Plan-Phase B'!$E$22,1,0)</f>
        <v>0</v>
      </c>
      <c r="AD89" s="35" t="n">
        <f aca="false">IF(AND(W89&gt;=0,A89&gt;$K$64),1,0)</f>
        <v>1</v>
      </c>
      <c r="AE89" s="35" t="n">
        <f aca="false">IF(A89&gt;=$O$64,1,0)</f>
        <v>1</v>
      </c>
    </row>
    <row r="90" customFormat="false" ht="15" hidden="false" customHeight="true" outlineLevel="0" collapsed="false">
      <c r="A90" s="14" t="s">
        <v>734</v>
      </c>
      <c r="B90" s="15"/>
      <c r="C90" s="15"/>
      <c r="D90" s="15"/>
      <c r="E90" s="15"/>
      <c r="F90" s="15"/>
      <c r="G90" s="15"/>
      <c r="H90" s="17" t="n">
        <f aca="false">SUM(H66:H89)</f>
        <v>36994.2855912905</v>
      </c>
      <c r="I90" s="17" t="n">
        <f aca="false">SUM(I66:I89)</f>
        <v>1109.82856773871</v>
      </c>
      <c r="J90" s="17" t="n">
        <f aca="false">SUM(J66:J89)</f>
        <v>784.016826547288</v>
      </c>
      <c r="K90" s="17" t="n">
        <f aca="false">SUM(K66:K89)</f>
        <v>183.282034142345</v>
      </c>
      <c r="L90" s="17" t="n">
        <f aca="false">SUM(L66:L89)</f>
        <v>0</v>
      </c>
      <c r="M90" s="17" t="n">
        <f aca="false">SUM(M66:M89)</f>
        <v>7764.45772533312</v>
      </c>
      <c r="N90" s="17" t="n">
        <f aca="false">SUM(N66:N89)</f>
        <v>3150</v>
      </c>
      <c r="O90" s="17" t="n">
        <f aca="false">SUM(O66:O89)</f>
        <v>1976.5</v>
      </c>
      <c r="P90" s="17" t="n">
        <f aca="false">SUM(P66:P89)</f>
        <v>980</v>
      </c>
      <c r="Q90" s="17" t="n">
        <f aca="false">SUM(Q66:Q89)</f>
        <v>15948.0851537615</v>
      </c>
      <c r="R90" s="17" t="n">
        <f aca="false">SUM(R66:R89)</f>
        <v>21046.200437529</v>
      </c>
      <c r="S90" s="17" t="n">
        <f aca="false">SUM(S66:S89)</f>
        <v>7784.33908494712</v>
      </c>
      <c r="T90" s="17" t="n">
        <f aca="false">SUM(T66:T89)</f>
        <v>13261.8613525819</v>
      </c>
      <c r="U90" s="15"/>
      <c r="V90" s="15"/>
      <c r="W90" s="15"/>
      <c r="X90" s="15"/>
      <c r="Y90" s="15"/>
      <c r="Z90" s="15"/>
      <c r="AA90" s="15"/>
      <c r="AB90" s="15"/>
      <c r="AC90" s="15"/>
      <c r="AD90" s="15"/>
      <c r="AE90" s="15"/>
    </row>
  </sheetData>
  <mergeCells count="1">
    <mergeCell ref="A2:AE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56"/>
    <col collapsed="false" customWidth="true" hidden="false" outlineLevel="0" max="5" min="2" style="1" width="17"/>
    <col collapsed="false" customWidth="true" hidden="false" outlineLevel="0" max="9" min="6" style="1" width="15"/>
  </cols>
  <sheetData>
    <row r="1" customFormat="false" ht="17.25" hidden="false" customHeight="true" outlineLevel="0" collapsed="false">
      <c r="A1" s="43" t="s">
        <v>735</v>
      </c>
    </row>
    <row r="2" customFormat="false" ht="15" hidden="false" customHeight="true" outlineLevel="0" collapsed="false">
      <c r="A2" s="44" t="s">
        <v>736</v>
      </c>
      <c r="B2" s="44"/>
      <c r="C2" s="44"/>
      <c r="D2" s="44"/>
      <c r="E2" s="44"/>
      <c r="F2" s="44"/>
      <c r="G2" s="44"/>
      <c r="H2" s="44"/>
      <c r="I2" s="44"/>
    </row>
    <row r="3" customFormat="false" ht="15" hidden="false" customHeight="true" outlineLevel="0" collapsed="false">
      <c r="A3" s="44"/>
      <c r="B3" s="44"/>
      <c r="C3" s="44"/>
      <c r="D3" s="44"/>
      <c r="E3" s="44"/>
      <c r="F3" s="44"/>
      <c r="G3" s="44"/>
      <c r="H3" s="44"/>
      <c r="I3" s="44"/>
    </row>
    <row r="4" customFormat="false" ht="15" hidden="false" customHeight="true" outlineLevel="0" collapsed="false">
      <c r="A4" s="44"/>
      <c r="B4" s="44"/>
      <c r="C4" s="44"/>
      <c r="D4" s="44"/>
      <c r="E4" s="44"/>
      <c r="F4" s="44"/>
      <c r="G4" s="44"/>
      <c r="H4" s="44"/>
      <c r="I4" s="44"/>
    </row>
    <row r="6" customFormat="false" ht="15" hidden="false" customHeight="true" outlineLevel="0" collapsed="false">
      <c r="A6" s="49" t="s">
        <v>737</v>
      </c>
    </row>
    <row r="7" customFormat="false" ht="26.25" hidden="false" customHeight="true" outlineLevel="0" collapsed="false">
      <c r="A7" s="4"/>
      <c r="B7" s="4" t="s">
        <v>738</v>
      </c>
      <c r="C7" s="4" t="s">
        <v>739</v>
      </c>
      <c r="D7" s="4" t="s">
        <v>740</v>
      </c>
      <c r="E7" s="4" t="s">
        <v>741</v>
      </c>
    </row>
    <row r="8" customFormat="false" ht="15" hidden="false" customHeight="true" outlineLevel="0" collapsed="false">
      <c r="A8" s="35" t="s">
        <v>742</v>
      </c>
      <c r="B8" s="69" t="n">
        <v>40</v>
      </c>
      <c r="C8" s="74" t="n">
        <f aca="false">'Plan-Annahmen'!$B$89</f>
        <v>30</v>
      </c>
      <c r="D8" s="74" t="n">
        <f aca="false">'Plan-Annahmen'!$B$90</f>
        <v>25</v>
      </c>
      <c r="E8" s="69" t="n">
        <v>0</v>
      </c>
    </row>
    <row r="9" customFormat="false" ht="15" hidden="false" customHeight="true" outlineLevel="0" collapsed="false">
      <c r="A9" s="35" t="s">
        <v>743</v>
      </c>
      <c r="B9" s="104" t="n">
        <f aca="false">'Plan-Annahmen'!$B$77</f>
        <v>48000</v>
      </c>
      <c r="C9" s="104" t="n">
        <f aca="false">'Plan-Annahmen'!$B$77*C8/40</f>
        <v>36000</v>
      </c>
      <c r="D9" s="104" t="n">
        <f aca="false">'Plan-Annahmen'!$B$77*D8/40</f>
        <v>30000</v>
      </c>
      <c r="E9" s="70" t="n">
        <v>0</v>
      </c>
    </row>
    <row r="10" customFormat="false" ht="15" hidden="false" customHeight="true" outlineLevel="0" collapsed="false">
      <c r="A10" s="35" t="s">
        <v>744</v>
      </c>
      <c r="B10" s="104" t="n">
        <f aca="false">MAX(0,B9-'Plan-Annahmen'!$B$79-B9*'Plan-Annahmen'!$B$80-36)</f>
        <v>37134</v>
      </c>
      <c r="C10" s="104" t="n">
        <f aca="false">MAX(0,C9-'Plan-Annahmen'!$B$79-C9*'Plan-Annahmen'!$B$80-36)</f>
        <v>27534</v>
      </c>
      <c r="D10" s="104" t="n">
        <f aca="false">MAX(0,D9-'Plan-Annahmen'!$B$79-D9*'Plan-Annahmen'!$B$80-36)</f>
        <v>22734</v>
      </c>
      <c r="E10" s="70" t="n">
        <v>0</v>
      </c>
    </row>
    <row r="11" customFormat="false" ht="15" hidden="false" customHeight="true" outlineLevel="0" collapsed="false">
      <c r="A11" s="35" t="s">
        <v>745</v>
      </c>
      <c r="B11" s="70" t="n">
        <f aca="false">IF(INT(MAX(0,B10))&lt;=12348,0,IF(INT(MAX(0,B10))&lt;=17799,(914.51*((INT(MAX(0,B10))-12348)/10000)+1400)*((INT(MAX(0,B10))-12348)/10000),IF(INT(MAX(0,B10))&lt;=69878,(173.1*((INT(MAX(0,B10))-17799)/10000)+2397)*((INT(MAX(0,B10))-17799)/10000)+1034.87,IF(INT(MAX(0,B10))&lt;=277825,0.42*INT(MAX(0,B10))-11135.63,0.45*INT(MAX(0,B10))-19470.38))))</f>
        <v>6316.590391475</v>
      </c>
      <c r="C11" s="70" t="n">
        <f aca="false">IF(INT(MAX(0,C10))&lt;=12348,0,IF(INT(MAX(0,C10))&lt;=17799,(914.51*((INT(MAX(0,C10))-12348)/10000)+1400)*((INT(MAX(0,C10))-12348)/10000),IF(INT(MAX(0,C10))&lt;=69878,(173.1*((INT(MAX(0,C10))-17799)/10000)+2397)*((INT(MAX(0,C10))-17799)/10000)+1034.87,IF(INT(MAX(0,C10))&lt;=277825,0.42*INT(MAX(0,C10))-11135.63,0.45*INT(MAX(0,C10))-19470.38))))</f>
        <v>3532.396759475</v>
      </c>
      <c r="D11" s="70" t="n">
        <f aca="false">IF(INT(MAX(0,D10))&lt;=12348,0,IF(INT(MAX(0,D10))&lt;=17799,(914.51*((INT(MAX(0,D10))-12348)/10000)+1400)*((INT(MAX(0,D10))-12348)/10000),IF(INT(MAX(0,D10))&lt;=69878,(173.1*((INT(MAX(0,D10))-17799)/10000)+2397)*((INT(MAX(0,D10))-17799)/10000)+1034.87,IF(INT(MAX(0,D10))&lt;=277825,0.42*INT(MAX(0,D10))-11135.63,0.45*INT(MAX(0,D10))-19470.38))))</f>
        <v>2259.946663475</v>
      </c>
      <c r="E11" s="70" t="n">
        <v>0</v>
      </c>
    </row>
    <row r="12" customFormat="false" ht="15" hidden="false" customHeight="true" outlineLevel="0" collapsed="false">
      <c r="A12" s="35" t="s">
        <v>746</v>
      </c>
      <c r="B12" s="100" t="n">
        <f aca="false">(B9-B9*'Plan-Annahmen'!$B$78-B11)/12</f>
        <v>2653.61746737708</v>
      </c>
      <c r="C12" s="100" t="n">
        <f aca="false">(C9-C9*'Plan-Annahmen'!$B$78-C11)/12</f>
        <v>2090.63360337708</v>
      </c>
      <c r="D12" s="100" t="n">
        <f aca="false">(D9-D9*'Plan-Annahmen'!$B$78-D11)/12</f>
        <v>1799.17111137708</v>
      </c>
      <c r="E12" s="67" t="n">
        <v>0</v>
      </c>
    </row>
    <row r="13" customFormat="false" ht="15" hidden="false" customHeight="true" outlineLevel="0" collapsed="false">
      <c r="A13" s="41" t="s">
        <v>747</v>
      </c>
      <c r="B13" s="39" t="n">
        <f aca="false">MAX(0,'Plan-Annahmen'!$B$86-B12)</f>
        <v>0</v>
      </c>
      <c r="C13" s="39" t="n">
        <f aca="false">MAX(0,'Plan-Annahmen'!$B$86-C12)</f>
        <v>409.366396622916</v>
      </c>
      <c r="D13" s="39" t="n">
        <f aca="false">MAX(0,'Plan-Annahmen'!$B$86-D12)</f>
        <v>700.828888622917</v>
      </c>
      <c r="E13" s="39" t="n">
        <f aca="false">'Plan-Annahmen'!$B$86</f>
        <v>2500</v>
      </c>
    </row>
    <row r="14" customFormat="false" ht="15" hidden="false" customHeight="true" outlineLevel="0" collapsed="false">
      <c r="A14" s="35" t="s">
        <v>748</v>
      </c>
      <c r="B14" s="69" t="s">
        <v>749</v>
      </c>
      <c r="C14" s="69" t="s">
        <v>749</v>
      </c>
      <c r="D14" s="69" t="s">
        <v>749</v>
      </c>
      <c r="E14" s="69" t="s">
        <v>750</v>
      </c>
    </row>
    <row r="15" customFormat="false" ht="15" hidden="false" customHeight="true" outlineLevel="0" collapsed="false">
      <c r="A15" s="35" t="s">
        <v>751</v>
      </c>
      <c r="B15" s="96" t="n">
        <f aca="false">'Plan-Annahmen'!$B$82</f>
        <v>0.30836877</v>
      </c>
      <c r="C15" s="71" t="n">
        <f aca="false">(IF(INT(MAX(0,C10+1000))&lt;=12348,0,IF(INT(MAX(0,C10+1000))&lt;=17799,(914.51*((INT(MAX(0,C10+1000))-12348)/10000)+1400)*((INT(MAX(0,C10+1000))-12348)/10000),IF(INT(MAX(0,C10+1000))&lt;=69878,(173.1*((INT(MAX(0,C10+1000))-17799)/10000)+2397)*((INT(MAX(0,C10+1000))-17799)/10000)+1034.87,IF(INT(MAX(0,C10+1000))&lt;=277825,0.42*INT(MAX(0,C10+1000))-11135.63,0.45*INT(MAX(0,C10+1000))-19470.38))))-IF(INT(MAX(0,C10))&lt;=12348,0,IF(INT(MAX(0,C10))&lt;=17799,(914.51*((INT(MAX(0,C10))-12348)/10000)+1400)*((INT(MAX(0,C10))-12348)/10000),IF(INT(MAX(0,C10))&lt;=69878,(173.1*((INT(MAX(0,C10))-17799)/10000)+2397)*((INT(MAX(0,C10))-17799)/10000)+1034.87,IF(INT(MAX(0,C10))&lt;=277825,0.42*INT(MAX(0,C10))-11135.63,0.45*INT(MAX(0,C10))-19470.38)))))/1000</f>
        <v>0.27513357</v>
      </c>
      <c r="D15" s="71" t="n">
        <f aca="false">(IF(INT(MAX(0,D10+1000))&lt;=12348,0,IF(INT(MAX(0,D10+1000))&lt;=17799,(914.51*((INT(MAX(0,D10+1000))-12348)/10000)+1400)*((INT(MAX(0,D10+1000))-12348)/10000),IF(INT(MAX(0,D10+1000))&lt;=69878,(173.1*((INT(MAX(0,D10+1000))-17799)/10000)+2397)*((INT(MAX(0,D10+1000))-17799)/10000)+1034.87,IF(INT(MAX(0,D10+1000))&lt;=277825,0.42*INT(MAX(0,D10+1000))-11135.63,0.45*INT(MAX(0,D10+1000))-19470.38))))-IF(INT(MAX(0,D10))&lt;=12348,0,IF(INT(MAX(0,D10))&lt;=17799,(914.51*((INT(MAX(0,D10))-12348)/10000)+1400)*((INT(MAX(0,D10))-12348)/10000),IF(INT(MAX(0,D10))&lt;=69878,(173.1*((INT(MAX(0,D10))-17799)/10000)+2397)*((INT(MAX(0,D10))-17799)/10000)+1034.87,IF(INT(MAX(0,D10))&lt;=277825,0.42*INT(MAX(0,D10))-11135.63,0.45*INT(MAX(0,D10))-19470.38)))))/1000</f>
        <v>0.25851597</v>
      </c>
      <c r="E15" s="71" t="s">
        <v>134</v>
      </c>
    </row>
    <row r="16" customFormat="false" ht="15" hidden="false" customHeight="true" outlineLevel="0" collapsed="false">
      <c r="A16" s="41" t="s">
        <v>752</v>
      </c>
      <c r="B16" s="39" t="n">
        <v>0</v>
      </c>
      <c r="C16" s="39" t="n">
        <f aca="false">C13/(1-C15)</f>
        <v>564.747351622997</v>
      </c>
      <c r="D16" s="39" t="n">
        <f aca="false">D13/(1-D15)</f>
        <v>945.170577204363</v>
      </c>
      <c r="E16" s="39" t="n">
        <f aca="false">IFERROR(INDEX($A$47:$A$185,MATCH('Plan-Annahmen'!$B$86*12,$E$47:$E$185,1)+1)/12,"&gt; 150.000 €")</f>
        <v>3833.33333333333</v>
      </c>
    </row>
    <row r="17" customFormat="false" ht="15" hidden="false" customHeight="true" outlineLevel="0" collapsed="false">
      <c r="A17" s="35" t="s">
        <v>753</v>
      </c>
      <c r="B17" s="100" t="n">
        <f aca="false">'Plan-Kosten'!$AK$61</f>
        <v>398.364455875808</v>
      </c>
      <c r="C17" s="100" t="n">
        <f aca="false">'Plan-Kosten'!$AK$61+'Plan-Kosten'!$F$71</f>
        <v>608.364455875808</v>
      </c>
      <c r="D17" s="100" t="n">
        <f aca="false">'Plan-Kosten'!$AK$61+'Plan-Kosten'!$F$71</f>
        <v>608.364455875808</v>
      </c>
      <c r="E17" s="100" t="n">
        <f aca="false">'Plan-Kosten'!$AK$61+'Plan-Kosten'!$F$71</f>
        <v>608.364455875808</v>
      </c>
    </row>
    <row r="18" customFormat="false" ht="26.25" hidden="false" customHeight="true" outlineLevel="0" collapsed="false">
      <c r="A18" s="44" t="s">
        <v>754</v>
      </c>
      <c r="B18" s="44"/>
      <c r="C18" s="44"/>
      <c r="D18" s="44"/>
      <c r="E18" s="44"/>
      <c r="F18" s="44"/>
      <c r="G18" s="44"/>
      <c r="H18" s="44"/>
      <c r="I18" s="44"/>
    </row>
    <row r="19" customFormat="false" ht="15" hidden="false" customHeight="true" outlineLevel="0" collapsed="false">
      <c r="A19" s="35" t="s">
        <v>755</v>
      </c>
      <c r="B19" s="74" t="n">
        <f aca="false">'Plan-Annahmen'!$B$14*(1-'Plan-Annahmen'!$B$52-'Plan-Annahmen'!$B$53)-'Plan-Annahmen'!$B$21*'Plan-Annahmen'!$B$17/100-('Plan-Annahmen'!$B$14*'Plan-Annahmen'!$B$18+'Plan-Annahmen'!$B$19)</f>
        <v>27.245</v>
      </c>
      <c r="C19" s="69" t="n">
        <f aca="false">$B$19</f>
        <v>27.245</v>
      </c>
      <c r="D19" s="69" t="n">
        <f aca="false">$B$19</f>
        <v>27.245</v>
      </c>
      <c r="E19" s="69" t="n">
        <f aca="false">$B$19</f>
        <v>27.245</v>
      </c>
    </row>
    <row r="20" customFormat="false" ht="15" hidden="false" customHeight="true" outlineLevel="0" collapsed="false">
      <c r="A20" s="35" t="s">
        <v>756</v>
      </c>
      <c r="B20" s="74" t="n">
        <f aca="false">'Plan-Annahmen'!$B$15*(1-'Plan-Annahmen'!$B$52-'Plan-Annahmen'!$B$53)-'Plan-Annahmen'!$B$21*'Plan-Annahmen'!$B$17/100-('Plan-Annahmen'!$B$15*'Plan-Annahmen'!$B$18+'Plan-Annahmen'!$B$19)</f>
        <v>46.345</v>
      </c>
      <c r="C20" s="69" t="n">
        <f aca="false">$B$20</f>
        <v>46.345</v>
      </c>
      <c r="D20" s="69" t="n">
        <f aca="false">$B$20</f>
        <v>46.345</v>
      </c>
      <c r="E20" s="69" t="n">
        <f aca="false">$B$20</f>
        <v>46.345</v>
      </c>
    </row>
    <row r="21" customFormat="false" ht="15" hidden="false" customHeight="true" outlineLevel="0" collapsed="false">
      <c r="A21" s="35" t="s">
        <v>757</v>
      </c>
      <c r="B21" s="67" t="n">
        <f aca="false">B16+B17</f>
        <v>398.364455875808</v>
      </c>
      <c r="C21" s="67" t="n">
        <f aca="false">C16+C17</f>
        <v>1173.1118074988</v>
      </c>
      <c r="D21" s="67" t="n">
        <f aca="false">D16+D17</f>
        <v>1553.53503308017</v>
      </c>
      <c r="E21" s="67" t="n">
        <f aca="false">E16+E17</f>
        <v>4441.69778920914</v>
      </c>
    </row>
    <row r="22" customFormat="false" ht="15" hidden="false" customHeight="true" outlineLevel="0" collapsed="false">
      <c r="A22" s="14" t="s">
        <v>758</v>
      </c>
      <c r="B22" s="59" t="n">
        <f aca="false">IF(B21&lt;='Plan-Annahmen'!$B$16*B19,ROUNDUP(B21/B19,0),'Plan-Annahmen'!$B$16+ROUNDUP((B21-'Plan-Annahmen'!$B$16*B19)/B20,0))</f>
        <v>15</v>
      </c>
      <c r="C22" s="59" t="n">
        <f aca="false">IF(C21&lt;='Plan-Annahmen'!$B$16*C19,ROUNDUP(C21/C19,0),'Plan-Annahmen'!$B$16+ROUNDUP((C21-'Plan-Annahmen'!$B$16*C19)/C20,0))</f>
        <v>36</v>
      </c>
      <c r="D22" s="59" t="n">
        <f aca="false">IF(D21&lt;='Plan-Annahmen'!$B$16*D19,ROUNDUP(D21/D19,0),'Plan-Annahmen'!$B$16+ROUNDUP((D21-'Plan-Annahmen'!$B$16*D19)/D20,0))</f>
        <v>44</v>
      </c>
      <c r="E22" s="59" t="n">
        <f aca="false">IF(E21&lt;='Plan-Annahmen'!$B$16*E19,ROUNDUP(E21/E19,0),'Plan-Annahmen'!$B$16+ROUNDUP((E21-'Plan-Annahmen'!$B$16*E19)/E20,0))</f>
        <v>107</v>
      </c>
    </row>
    <row r="23" customFormat="false" ht="15" hidden="false" customHeight="true" outlineLevel="0" collapsed="false">
      <c r="A23" s="14" t="s">
        <v>759</v>
      </c>
      <c r="B23" s="17" t="n">
        <f aca="false">MIN(B22,'Plan-Annahmen'!$B$16)*'Plan-Annahmen'!$B$14+MAX(B22-'Plan-Annahmen'!$B$16,0)*'Plan-Annahmen'!$B$15</f>
        <v>435</v>
      </c>
      <c r="C23" s="17" t="n">
        <f aca="false">MIN(C22,'Plan-Annahmen'!$B$16)*'Plan-Annahmen'!$B$14+MAX(C22-'Plan-Annahmen'!$B$16,0)*'Plan-Annahmen'!$B$15</f>
        <v>1264</v>
      </c>
      <c r="D23" s="17" t="n">
        <f aca="false">MIN(D22,'Plan-Annahmen'!$B$16)*'Plan-Annahmen'!$B$14+MAX(D22-'Plan-Annahmen'!$B$16,0)*'Plan-Annahmen'!$B$15</f>
        <v>1656</v>
      </c>
      <c r="E23" s="17" t="n">
        <f aca="false">MIN(E22,'Plan-Annahmen'!$B$16)*'Plan-Annahmen'!$B$14+MAX(E22-'Plan-Annahmen'!$B$16,0)*'Plan-Annahmen'!$B$15</f>
        <v>4743</v>
      </c>
    </row>
    <row r="24" customFormat="false" ht="15" hidden="false" customHeight="true" outlineLevel="0" collapsed="false">
      <c r="A24" s="35" t="s">
        <v>760</v>
      </c>
      <c r="B24" s="75" t="n">
        <v>0</v>
      </c>
      <c r="C24" s="78" t="n">
        <f aca="false">'Plan-Annahmen'!$B$91</f>
        <v>43</v>
      </c>
      <c r="D24" s="78" t="n">
        <f aca="false">'Plan-Annahmen'!$B$92</f>
        <v>65</v>
      </c>
      <c r="E24" s="75" t="n">
        <v>160</v>
      </c>
    </row>
    <row r="25" customFormat="false" ht="15" hidden="false" customHeight="true" outlineLevel="0" collapsed="false">
      <c r="A25" s="35" t="s">
        <v>761</v>
      </c>
      <c r="B25" s="78" t="n">
        <f aca="false">'Plan-Annahmen'!$B$69</f>
        <v>65</v>
      </c>
      <c r="C25" s="78" t="n">
        <f aca="false">'Plan-Annahmen'!$B$69+C24</f>
        <v>108</v>
      </c>
      <c r="D25" s="78" t="n">
        <f aca="false">'Plan-Annahmen'!$B$69+D24</f>
        <v>130</v>
      </c>
      <c r="E25" s="75" t="n">
        <v>160</v>
      </c>
    </row>
    <row r="27" customFormat="false" ht="26.25" hidden="false" customHeight="true" outlineLevel="0" collapsed="false">
      <c r="A27" s="44" t="s">
        <v>762</v>
      </c>
      <c r="B27" s="44"/>
      <c r="C27" s="44"/>
      <c r="D27" s="44"/>
      <c r="E27" s="44"/>
      <c r="F27" s="44"/>
      <c r="G27" s="44"/>
      <c r="H27" s="44"/>
      <c r="I27" s="44"/>
    </row>
    <row r="29" customFormat="false" ht="39" hidden="false" customHeight="true" outlineLevel="0" collapsed="false">
      <c r="A29" s="44" t="s">
        <v>763</v>
      </c>
      <c r="B29" s="44"/>
      <c r="C29" s="44"/>
      <c r="D29" s="44"/>
      <c r="E29" s="44"/>
      <c r="F29" s="44"/>
      <c r="G29" s="44"/>
      <c r="H29" s="44"/>
      <c r="I29" s="44"/>
    </row>
    <row r="31" customFormat="false" ht="15" hidden="false" customHeight="true" outlineLevel="0" collapsed="false">
      <c r="A31" s="44" t="s">
        <v>764</v>
      </c>
      <c r="B31" s="44"/>
      <c r="C31" s="44"/>
      <c r="D31" s="44"/>
      <c r="E31" s="44"/>
      <c r="F31" s="44"/>
      <c r="G31" s="44"/>
      <c r="H31" s="44"/>
      <c r="I31" s="44"/>
    </row>
    <row r="45" customFormat="false" ht="15" hidden="false" customHeight="true" outlineLevel="0" collapsed="false">
      <c r="A45" s="49" t="s">
        <v>765</v>
      </c>
    </row>
    <row r="46" customFormat="false" ht="39" hidden="false" customHeight="true" outlineLevel="0" collapsed="false">
      <c r="A46" s="4" t="s">
        <v>766</v>
      </c>
      <c r="B46" s="4" t="s">
        <v>767</v>
      </c>
      <c r="C46" s="4" t="s">
        <v>768</v>
      </c>
      <c r="D46" s="4" t="s">
        <v>769</v>
      </c>
      <c r="E46" s="4" t="s">
        <v>770</v>
      </c>
      <c r="F46" s="4" t="s">
        <v>771</v>
      </c>
      <c r="G46" s="4" t="s">
        <v>772</v>
      </c>
      <c r="H46" s="4" t="s">
        <v>773</v>
      </c>
    </row>
    <row r="47" customFormat="false" ht="15" hidden="false" customHeight="true" outlineLevel="0" collapsed="false">
      <c r="A47" s="106" t="n">
        <v>12000</v>
      </c>
      <c r="B47" s="104" t="n">
        <f aca="false">MIN(MAX(A47/12,'Plan-Annahmen'!$B$100),'Plan-Annahmen'!$B$101)*12*('Plan-Annahmen'!$B$97+'Plan-Annahmen'!$B$98+'Plan-Annahmen'!$B$99)</f>
        <v>3432.93132</v>
      </c>
      <c r="C47" s="104" t="n">
        <f aca="false">MAX(0,A47-B47-'Plan-Annahmen'!$B$102)</f>
        <v>8531.06868</v>
      </c>
      <c r="D47" s="70" t="n">
        <f aca="false">IF(INT(MAX(0,C47))&lt;=12348,0,IF(INT(MAX(0,C47))&lt;=17799,(914.51*((INT(MAX(0,C47))-12348)/10000)+1400)*((INT(MAX(0,C47))-12348)/10000),IF(INT(MAX(0,C47))&lt;=69878,(173.1*((INT(MAX(0,C47))-17799)/10000)+2397)*((INT(MAX(0,C47))-17799)/10000)+1034.87,IF(INT(MAX(0,C47))&lt;=277825,0.42*INT(MAX(0,C47))-11135.63,0.45*INT(MAX(0,C47))-19470.38))))</f>
        <v>0</v>
      </c>
      <c r="E47" s="70" t="n">
        <f aca="false">A47-B47-D47</f>
        <v>8567.06868</v>
      </c>
      <c r="F47" s="104" t="n">
        <f aca="false">MAX(0,A47-B47-'Plan-Annahmen'!$B$88*12-'Plan-Annahmen'!$B$102)</f>
        <v>4931.06868</v>
      </c>
      <c r="G47" s="70" t="n">
        <f aca="false">IF(INT(MAX(0,F47))&lt;=12348,0,IF(INT(MAX(0,F47))&lt;=17799,(914.51*((INT(MAX(0,F47))-12348)/10000)+1400)*((INT(MAX(0,F47))-12348)/10000),IF(INT(MAX(0,F47))&lt;=69878,(173.1*((INT(MAX(0,F47))-17799)/10000)+2397)*((INT(MAX(0,F47))-17799)/10000)+1034.87,IF(INT(MAX(0,F47))&lt;=277825,0.42*INT(MAX(0,F47))-11135.63,0.45*INT(MAX(0,F47))-19470.38))))</f>
        <v>0</v>
      </c>
      <c r="H47" s="70" t="n">
        <f aca="false">A47-B47-G47-'Plan-Annahmen'!$B$88*12</f>
        <v>4967.06868</v>
      </c>
    </row>
    <row r="48" customFormat="false" ht="15" hidden="false" customHeight="true" outlineLevel="0" collapsed="false">
      <c r="A48" s="106" t="n">
        <v>13000</v>
      </c>
      <c r="B48" s="104" t="n">
        <f aca="false">MIN(MAX(A48/12,'Plan-Annahmen'!$B$100),'Plan-Annahmen'!$B$101)*12*('Plan-Annahmen'!$B$97+'Plan-Annahmen'!$B$98+'Plan-Annahmen'!$B$99)</f>
        <v>3432.93132</v>
      </c>
      <c r="C48" s="104" t="n">
        <f aca="false">MAX(0,A48-B48-'Plan-Annahmen'!$B$102)</f>
        <v>9531.06868</v>
      </c>
      <c r="D48" s="70" t="n">
        <f aca="false">IF(INT(MAX(0,C48))&lt;=12348,0,IF(INT(MAX(0,C48))&lt;=17799,(914.51*((INT(MAX(0,C48))-12348)/10000)+1400)*((INT(MAX(0,C48))-12348)/10000),IF(INT(MAX(0,C48))&lt;=69878,(173.1*((INT(MAX(0,C48))-17799)/10000)+2397)*((INT(MAX(0,C48))-17799)/10000)+1034.87,IF(INT(MAX(0,C48))&lt;=277825,0.42*INT(MAX(0,C48))-11135.63,0.45*INT(MAX(0,C48))-19470.38))))</f>
        <v>0</v>
      </c>
      <c r="E48" s="70" t="n">
        <f aca="false">A48-B48-D48</f>
        <v>9567.06868</v>
      </c>
      <c r="F48" s="104" t="n">
        <f aca="false">MAX(0,A48-B48-'Plan-Annahmen'!$B$88*12-'Plan-Annahmen'!$B$102)</f>
        <v>5931.06868</v>
      </c>
      <c r="G48" s="70" t="n">
        <f aca="false">IF(INT(MAX(0,F48))&lt;=12348,0,IF(INT(MAX(0,F48))&lt;=17799,(914.51*((INT(MAX(0,F48))-12348)/10000)+1400)*((INT(MAX(0,F48))-12348)/10000),IF(INT(MAX(0,F48))&lt;=69878,(173.1*((INT(MAX(0,F48))-17799)/10000)+2397)*((INT(MAX(0,F48))-17799)/10000)+1034.87,IF(INT(MAX(0,F48))&lt;=277825,0.42*INT(MAX(0,F48))-11135.63,0.45*INT(MAX(0,F48))-19470.38))))</f>
        <v>0</v>
      </c>
      <c r="H48" s="70" t="n">
        <f aca="false">A48-B48-G48-'Plan-Annahmen'!$B$88*12</f>
        <v>5967.06868</v>
      </c>
    </row>
    <row r="49" customFormat="false" ht="15" hidden="false" customHeight="true" outlineLevel="0" collapsed="false">
      <c r="A49" s="106" t="n">
        <v>14000</v>
      </c>
      <c r="B49" s="104" t="n">
        <f aca="false">MIN(MAX(A49/12,'Plan-Annahmen'!$B$100),'Plan-Annahmen'!$B$101)*12*('Plan-Annahmen'!$B$97+'Plan-Annahmen'!$B$98+'Plan-Annahmen'!$B$99)</f>
        <v>3432.93132</v>
      </c>
      <c r="C49" s="104" t="n">
        <f aca="false">MAX(0,A49-B49-'Plan-Annahmen'!$B$102)</f>
        <v>10531.06868</v>
      </c>
      <c r="D49" s="70" t="n">
        <f aca="false">IF(INT(MAX(0,C49))&lt;=12348,0,IF(INT(MAX(0,C49))&lt;=17799,(914.51*((INT(MAX(0,C49))-12348)/10000)+1400)*((INT(MAX(0,C49))-12348)/10000),IF(INT(MAX(0,C49))&lt;=69878,(173.1*((INT(MAX(0,C49))-17799)/10000)+2397)*((INT(MAX(0,C49))-17799)/10000)+1034.87,IF(INT(MAX(0,C49))&lt;=277825,0.42*INT(MAX(0,C49))-11135.63,0.45*INT(MAX(0,C49))-19470.38))))</f>
        <v>0</v>
      </c>
      <c r="E49" s="70" t="n">
        <f aca="false">A49-B49-D49</f>
        <v>10567.06868</v>
      </c>
      <c r="F49" s="104" t="n">
        <f aca="false">MAX(0,A49-B49-'Plan-Annahmen'!$B$88*12-'Plan-Annahmen'!$B$102)</f>
        <v>6931.06868</v>
      </c>
      <c r="G49" s="70" t="n">
        <f aca="false">IF(INT(MAX(0,F49))&lt;=12348,0,IF(INT(MAX(0,F49))&lt;=17799,(914.51*((INT(MAX(0,F49))-12348)/10000)+1400)*((INT(MAX(0,F49))-12348)/10000),IF(INT(MAX(0,F49))&lt;=69878,(173.1*((INT(MAX(0,F49))-17799)/10000)+2397)*((INT(MAX(0,F49))-17799)/10000)+1034.87,IF(INT(MAX(0,F49))&lt;=277825,0.42*INT(MAX(0,F49))-11135.63,0.45*INT(MAX(0,F49))-19470.38))))</f>
        <v>0</v>
      </c>
      <c r="H49" s="70" t="n">
        <f aca="false">A49-B49-G49-'Plan-Annahmen'!$B$88*12</f>
        <v>6967.06868</v>
      </c>
    </row>
    <row r="50" customFormat="false" ht="15" hidden="false" customHeight="true" outlineLevel="0" collapsed="false">
      <c r="A50" s="106" t="n">
        <v>15000</v>
      </c>
      <c r="B50" s="104" t="n">
        <f aca="false">MIN(MAX(A50/12,'Plan-Annahmen'!$B$100),'Plan-Annahmen'!$B$101)*12*('Plan-Annahmen'!$B$97+'Plan-Annahmen'!$B$98+'Plan-Annahmen'!$B$99)</f>
        <v>3432.93132</v>
      </c>
      <c r="C50" s="104" t="n">
        <f aca="false">MAX(0,A50-B50-'Plan-Annahmen'!$B$102)</f>
        <v>11531.06868</v>
      </c>
      <c r="D50" s="70" t="n">
        <f aca="false">IF(INT(MAX(0,C50))&lt;=12348,0,IF(INT(MAX(0,C50))&lt;=17799,(914.51*((INT(MAX(0,C50))-12348)/10000)+1400)*((INT(MAX(0,C50))-12348)/10000),IF(INT(MAX(0,C50))&lt;=69878,(173.1*((INT(MAX(0,C50))-17799)/10000)+2397)*((INT(MAX(0,C50))-17799)/10000)+1034.87,IF(INT(MAX(0,C50))&lt;=277825,0.42*INT(MAX(0,C50))-11135.63,0.45*INT(MAX(0,C50))-19470.38))))</f>
        <v>0</v>
      </c>
      <c r="E50" s="70" t="n">
        <f aca="false">A50-B50-D50</f>
        <v>11567.06868</v>
      </c>
      <c r="F50" s="104" t="n">
        <f aca="false">MAX(0,A50-B50-'Plan-Annahmen'!$B$88*12-'Plan-Annahmen'!$B$102)</f>
        <v>7931.06868</v>
      </c>
      <c r="G50" s="70" t="n">
        <f aca="false">IF(INT(MAX(0,F50))&lt;=12348,0,IF(INT(MAX(0,F50))&lt;=17799,(914.51*((INT(MAX(0,F50))-12348)/10000)+1400)*((INT(MAX(0,F50))-12348)/10000),IF(INT(MAX(0,F50))&lt;=69878,(173.1*((INT(MAX(0,F50))-17799)/10000)+2397)*((INT(MAX(0,F50))-17799)/10000)+1034.87,IF(INT(MAX(0,F50))&lt;=277825,0.42*INT(MAX(0,F50))-11135.63,0.45*INT(MAX(0,F50))-19470.38))))</f>
        <v>0</v>
      </c>
      <c r="H50" s="70" t="n">
        <f aca="false">A50-B50-G50-'Plan-Annahmen'!$B$88*12</f>
        <v>7967.06868</v>
      </c>
    </row>
    <row r="51" customFormat="false" ht="15" hidden="false" customHeight="true" outlineLevel="0" collapsed="false">
      <c r="A51" s="106" t="n">
        <v>16000</v>
      </c>
      <c r="B51" s="104" t="n">
        <f aca="false">MIN(MAX(A51/12,'Plan-Annahmen'!$B$100),'Plan-Annahmen'!$B$101)*12*('Plan-Annahmen'!$B$97+'Plan-Annahmen'!$B$98+'Plan-Annahmen'!$B$99)</f>
        <v>3472</v>
      </c>
      <c r="C51" s="104" t="n">
        <f aca="false">MAX(0,A51-B51-'Plan-Annahmen'!$B$102)</f>
        <v>12492</v>
      </c>
      <c r="D51" s="70" t="n">
        <f aca="false">IF(INT(MAX(0,C51))&lt;=12348,0,IF(INT(MAX(0,C51))&lt;=17799,(914.51*((INT(MAX(0,C51))-12348)/10000)+1400)*((INT(MAX(0,C51))-12348)/10000),IF(INT(MAX(0,C51))&lt;=69878,(173.1*((INT(MAX(0,C51))-17799)/10000)+2397)*((INT(MAX(0,C51))-17799)/10000)+1034.87,IF(INT(MAX(0,C51))&lt;=277825,0.42*INT(MAX(0,C51))-11135.63,0.45*INT(MAX(0,C51))-19470.38))))</f>
        <v>20.3496327936</v>
      </c>
      <c r="E51" s="70" t="n">
        <f aca="false">A51-B51-D51</f>
        <v>12507.6503672064</v>
      </c>
      <c r="F51" s="104" t="n">
        <f aca="false">MAX(0,A51-B51-'Plan-Annahmen'!$B$88*12-'Plan-Annahmen'!$B$102)</f>
        <v>8892</v>
      </c>
      <c r="G51" s="70" t="n">
        <f aca="false">IF(INT(MAX(0,F51))&lt;=12348,0,IF(INT(MAX(0,F51))&lt;=17799,(914.51*((INT(MAX(0,F51))-12348)/10000)+1400)*((INT(MAX(0,F51))-12348)/10000),IF(INT(MAX(0,F51))&lt;=69878,(173.1*((INT(MAX(0,F51))-17799)/10000)+2397)*((INT(MAX(0,F51))-17799)/10000)+1034.87,IF(INT(MAX(0,F51))&lt;=277825,0.42*INT(MAX(0,F51))-11135.63,0.45*INT(MAX(0,F51))-19470.38))))</f>
        <v>0</v>
      </c>
      <c r="H51" s="70" t="n">
        <f aca="false">A51-B51-G51-'Plan-Annahmen'!$B$88*12</f>
        <v>8928</v>
      </c>
    </row>
    <row r="52" customFormat="false" ht="15" hidden="false" customHeight="true" outlineLevel="0" collapsed="false">
      <c r="A52" s="106" t="n">
        <v>17000</v>
      </c>
      <c r="B52" s="104" t="n">
        <f aca="false">MIN(MAX(A52/12,'Plan-Annahmen'!$B$100),'Plan-Annahmen'!$B$101)*12*('Plan-Annahmen'!$B$97+'Plan-Annahmen'!$B$98+'Plan-Annahmen'!$B$99)</f>
        <v>3689</v>
      </c>
      <c r="C52" s="104" t="n">
        <f aca="false">MAX(0,A52-B52-'Plan-Annahmen'!$B$102)</f>
        <v>13275</v>
      </c>
      <c r="D52" s="70" t="n">
        <f aca="false">IF(INT(MAX(0,C52))&lt;=12348,0,IF(INT(MAX(0,C52))&lt;=17799,(914.51*((INT(MAX(0,C52))-12348)/10000)+1400)*((INT(MAX(0,C52))-12348)/10000),IF(INT(MAX(0,C52))&lt;=69878,(173.1*((INT(MAX(0,C52))-17799)/10000)+2397)*((INT(MAX(0,C52))-17799)/10000)+1034.87,IF(INT(MAX(0,C52))&lt;=277825,0.42*INT(MAX(0,C52))-11135.63,0.45*INT(MAX(0,C52))-19470.38))))</f>
        <v>137.6386496379</v>
      </c>
      <c r="E52" s="70" t="n">
        <f aca="false">A52-B52-D52</f>
        <v>13173.3613503621</v>
      </c>
      <c r="F52" s="104" t="n">
        <f aca="false">MAX(0,A52-B52-'Plan-Annahmen'!$B$88*12-'Plan-Annahmen'!$B$102)</f>
        <v>9675</v>
      </c>
      <c r="G52" s="70" t="n">
        <f aca="false">IF(INT(MAX(0,F52))&lt;=12348,0,IF(INT(MAX(0,F52))&lt;=17799,(914.51*((INT(MAX(0,F52))-12348)/10000)+1400)*((INT(MAX(0,F52))-12348)/10000),IF(INT(MAX(0,F52))&lt;=69878,(173.1*((INT(MAX(0,F52))-17799)/10000)+2397)*((INT(MAX(0,F52))-17799)/10000)+1034.87,IF(INT(MAX(0,F52))&lt;=277825,0.42*INT(MAX(0,F52))-11135.63,0.45*INT(MAX(0,F52))-19470.38))))</f>
        <v>0</v>
      </c>
      <c r="H52" s="70" t="n">
        <f aca="false">A52-B52-G52-'Plan-Annahmen'!$B$88*12</f>
        <v>9711</v>
      </c>
    </row>
    <row r="53" customFormat="false" ht="15" hidden="false" customHeight="true" outlineLevel="0" collapsed="false">
      <c r="A53" s="106" t="n">
        <v>18000</v>
      </c>
      <c r="B53" s="104" t="n">
        <f aca="false">MIN(MAX(A53/12,'Plan-Annahmen'!$B$100),'Plan-Annahmen'!$B$101)*12*('Plan-Annahmen'!$B$97+'Plan-Annahmen'!$B$98+'Plan-Annahmen'!$B$99)</f>
        <v>3906</v>
      </c>
      <c r="C53" s="104" t="n">
        <f aca="false">MAX(0,A53-B53-'Plan-Annahmen'!$B$102)</f>
        <v>14058</v>
      </c>
      <c r="D53" s="70" t="n">
        <f aca="false">IF(INT(MAX(0,C53))&lt;=12348,0,IF(INT(MAX(0,C53))&lt;=17799,(914.51*((INT(MAX(0,C53))-12348)/10000)+1400)*((INT(MAX(0,C53))-12348)/10000),IF(INT(MAX(0,C53))&lt;=69878,(173.1*((INT(MAX(0,C53))-17799)/10000)+2397)*((INT(MAX(0,C53))-17799)/10000)+1034.87,IF(INT(MAX(0,C53))&lt;=277825,0.42*INT(MAX(0,C53))-11135.63,0.45*INT(MAX(0,C53))-19470.38))))</f>
        <v>266.14118691</v>
      </c>
      <c r="E53" s="70" t="n">
        <f aca="false">A53-B53-D53</f>
        <v>13827.85881309</v>
      </c>
      <c r="F53" s="104" t="n">
        <f aca="false">MAX(0,A53-B53-'Plan-Annahmen'!$B$88*12-'Plan-Annahmen'!$B$102)</f>
        <v>10458</v>
      </c>
      <c r="G53" s="70" t="n">
        <f aca="false">IF(INT(MAX(0,F53))&lt;=12348,0,IF(INT(MAX(0,F53))&lt;=17799,(914.51*((INT(MAX(0,F53))-12348)/10000)+1400)*((INT(MAX(0,F53))-12348)/10000),IF(INT(MAX(0,F53))&lt;=69878,(173.1*((INT(MAX(0,F53))-17799)/10000)+2397)*((INT(MAX(0,F53))-17799)/10000)+1034.87,IF(INT(MAX(0,F53))&lt;=277825,0.42*INT(MAX(0,F53))-11135.63,0.45*INT(MAX(0,F53))-19470.38))))</f>
        <v>0</v>
      </c>
      <c r="H53" s="70" t="n">
        <f aca="false">A53-B53-G53-'Plan-Annahmen'!$B$88*12</f>
        <v>10494</v>
      </c>
    </row>
    <row r="54" customFormat="false" ht="15" hidden="false" customHeight="true" outlineLevel="0" collapsed="false">
      <c r="A54" s="106" t="n">
        <v>19000</v>
      </c>
      <c r="B54" s="104" t="n">
        <f aca="false">MIN(MAX(A54/12,'Plan-Annahmen'!$B$100),'Plan-Annahmen'!$B$101)*12*('Plan-Annahmen'!$B$97+'Plan-Annahmen'!$B$98+'Plan-Annahmen'!$B$99)</f>
        <v>4123</v>
      </c>
      <c r="C54" s="104" t="n">
        <f aca="false">MAX(0,A54-B54-'Plan-Annahmen'!$B$102)</f>
        <v>14841</v>
      </c>
      <c r="D54" s="70" t="n">
        <f aca="false">IF(INT(MAX(0,C54))&lt;=12348,0,IF(INT(MAX(0,C54))&lt;=17799,(914.51*((INT(MAX(0,C54))-12348)/10000)+1400)*((INT(MAX(0,C54))-12348)/10000),IF(INT(MAX(0,C54))&lt;=69878,(173.1*((INT(MAX(0,C54))-17799)/10000)+2397)*((INT(MAX(0,C54))-17799)/10000)+1034.87,IF(INT(MAX(0,C54))&lt;=277825,0.42*INT(MAX(0,C54))-11135.63,0.45*INT(MAX(0,C54))-19470.38))))</f>
        <v>405.8572446099</v>
      </c>
      <c r="E54" s="70" t="n">
        <f aca="false">A54-B54-D54</f>
        <v>14471.1427553901</v>
      </c>
      <c r="F54" s="104" t="n">
        <f aca="false">MAX(0,A54-B54-'Plan-Annahmen'!$B$88*12-'Plan-Annahmen'!$B$102)</f>
        <v>11241</v>
      </c>
      <c r="G54" s="70" t="n">
        <f aca="false">IF(INT(MAX(0,F54))&lt;=12348,0,IF(INT(MAX(0,F54))&lt;=17799,(914.51*((INT(MAX(0,F54))-12348)/10000)+1400)*((INT(MAX(0,F54))-12348)/10000),IF(INT(MAX(0,F54))&lt;=69878,(173.1*((INT(MAX(0,F54))-17799)/10000)+2397)*((INT(MAX(0,F54))-17799)/10000)+1034.87,IF(INT(MAX(0,F54))&lt;=277825,0.42*INT(MAX(0,F54))-11135.63,0.45*INT(MAX(0,F54))-19470.38))))</f>
        <v>0</v>
      </c>
      <c r="H54" s="70" t="n">
        <f aca="false">A54-B54-G54-'Plan-Annahmen'!$B$88*12</f>
        <v>11277</v>
      </c>
    </row>
    <row r="55" customFormat="false" ht="15" hidden="false" customHeight="true" outlineLevel="0" collapsed="false">
      <c r="A55" s="106" t="n">
        <v>20000</v>
      </c>
      <c r="B55" s="104" t="n">
        <f aca="false">MIN(MAX(A55/12,'Plan-Annahmen'!$B$100),'Plan-Annahmen'!$B$101)*12*('Plan-Annahmen'!$B$97+'Plan-Annahmen'!$B$98+'Plan-Annahmen'!$B$99)</f>
        <v>4340</v>
      </c>
      <c r="C55" s="104" t="n">
        <f aca="false">MAX(0,A55-B55-'Plan-Annahmen'!$B$102)</f>
        <v>15624</v>
      </c>
      <c r="D55" s="70" t="n">
        <f aca="false">IF(INT(MAX(0,C55))&lt;=12348,0,IF(INT(MAX(0,C55))&lt;=17799,(914.51*((INT(MAX(0,C55))-12348)/10000)+1400)*((INT(MAX(0,C55))-12348)/10000),IF(INT(MAX(0,C55))&lt;=69878,(173.1*((INT(MAX(0,C55))-17799)/10000)+2397)*((INT(MAX(0,C55))-17799)/10000)+1034.87,IF(INT(MAX(0,C55))&lt;=277825,0.42*INT(MAX(0,C55))-11135.63,0.45*INT(MAX(0,C55))-19470.38))))</f>
        <v>556.7868227376</v>
      </c>
      <c r="E55" s="70" t="n">
        <f aca="false">A55-B55-D55</f>
        <v>15103.2131772624</v>
      </c>
      <c r="F55" s="104" t="n">
        <f aca="false">MAX(0,A55-B55-'Plan-Annahmen'!$B$88*12-'Plan-Annahmen'!$B$102)</f>
        <v>12024</v>
      </c>
      <c r="G55" s="70" t="n">
        <f aca="false">IF(INT(MAX(0,F55))&lt;=12348,0,IF(INT(MAX(0,F55))&lt;=17799,(914.51*((INT(MAX(0,F55))-12348)/10000)+1400)*((INT(MAX(0,F55))-12348)/10000),IF(INT(MAX(0,F55))&lt;=69878,(173.1*((INT(MAX(0,F55))-17799)/10000)+2397)*((INT(MAX(0,F55))-17799)/10000)+1034.87,IF(INT(MAX(0,F55))&lt;=277825,0.42*INT(MAX(0,F55))-11135.63,0.45*INT(MAX(0,F55))-19470.38))))</f>
        <v>0</v>
      </c>
      <c r="H55" s="70" t="n">
        <f aca="false">A55-B55-G55-'Plan-Annahmen'!$B$88*12</f>
        <v>12060</v>
      </c>
    </row>
    <row r="56" customFormat="false" ht="15" hidden="false" customHeight="true" outlineLevel="0" collapsed="false">
      <c r="A56" s="106" t="n">
        <v>21000</v>
      </c>
      <c r="B56" s="104" t="n">
        <f aca="false">MIN(MAX(A56/12,'Plan-Annahmen'!$B$100),'Plan-Annahmen'!$B$101)*12*('Plan-Annahmen'!$B$97+'Plan-Annahmen'!$B$98+'Plan-Annahmen'!$B$99)</f>
        <v>4557</v>
      </c>
      <c r="C56" s="104" t="n">
        <f aca="false">MAX(0,A56-B56-'Plan-Annahmen'!$B$102)</f>
        <v>16407</v>
      </c>
      <c r="D56" s="70" t="n">
        <f aca="false">IF(INT(MAX(0,C56))&lt;=12348,0,IF(INT(MAX(0,C56))&lt;=17799,(914.51*((INT(MAX(0,C56))-12348)/10000)+1400)*((INT(MAX(0,C56))-12348)/10000),IF(INT(MAX(0,C56))&lt;=69878,(173.1*((INT(MAX(0,C56))-17799)/10000)+2397)*((INT(MAX(0,C56))-17799)/10000)+1034.87,IF(INT(MAX(0,C56))&lt;=277825,0.42*INT(MAX(0,C56))-11135.63,0.45*INT(MAX(0,C56))-19470.38))))</f>
        <v>718.9299212931</v>
      </c>
      <c r="E56" s="70" t="n">
        <f aca="false">A56-B56-D56</f>
        <v>15724.0700787069</v>
      </c>
      <c r="F56" s="104" t="n">
        <f aca="false">MAX(0,A56-B56-'Plan-Annahmen'!$B$88*12-'Plan-Annahmen'!$B$102)</f>
        <v>12807</v>
      </c>
      <c r="G56" s="70" t="n">
        <f aca="false">IF(INT(MAX(0,F56))&lt;=12348,0,IF(INT(MAX(0,F56))&lt;=17799,(914.51*((INT(MAX(0,F56))-12348)/10000)+1400)*((INT(MAX(0,F56))-12348)/10000),IF(INT(MAX(0,F56))&lt;=69878,(173.1*((INT(MAX(0,F56))-17799)/10000)+2397)*((INT(MAX(0,F56))-17799)/10000)+1034.87,IF(INT(MAX(0,F56))&lt;=277825,0.42*INT(MAX(0,F56))-11135.63,0.45*INT(MAX(0,F56))-19470.38))))</f>
        <v>66.1866988131</v>
      </c>
      <c r="H56" s="70" t="n">
        <f aca="false">A56-B56-G56-'Plan-Annahmen'!$B$88*12</f>
        <v>12776.8133011869</v>
      </c>
    </row>
    <row r="57" customFormat="false" ht="15" hidden="false" customHeight="true" outlineLevel="0" collapsed="false">
      <c r="A57" s="106" t="n">
        <v>22000</v>
      </c>
      <c r="B57" s="104" t="n">
        <f aca="false">MIN(MAX(A57/12,'Plan-Annahmen'!$B$100),'Plan-Annahmen'!$B$101)*12*('Plan-Annahmen'!$B$97+'Plan-Annahmen'!$B$98+'Plan-Annahmen'!$B$99)</f>
        <v>4774</v>
      </c>
      <c r="C57" s="104" t="n">
        <f aca="false">MAX(0,A57-B57-'Plan-Annahmen'!$B$102)</f>
        <v>17190</v>
      </c>
      <c r="D57" s="70" t="n">
        <f aca="false">IF(INT(MAX(0,C57))&lt;=12348,0,IF(INT(MAX(0,C57))&lt;=17799,(914.51*((INT(MAX(0,C57))-12348)/10000)+1400)*((INT(MAX(0,C57))-12348)/10000),IF(INT(MAX(0,C57))&lt;=69878,(173.1*((INT(MAX(0,C57))-17799)/10000)+2397)*((INT(MAX(0,C57))-17799)/10000)+1034.87,IF(INT(MAX(0,C57))&lt;=277825,0.42*INT(MAX(0,C57))-11135.63,0.45*INT(MAX(0,C57))-19470.38))))</f>
        <v>892.2865402764</v>
      </c>
      <c r="E57" s="70" t="n">
        <f aca="false">A57-B57-D57</f>
        <v>16333.7134597236</v>
      </c>
      <c r="F57" s="104" t="n">
        <f aca="false">MAX(0,A57-B57-'Plan-Annahmen'!$B$88*12-'Plan-Annahmen'!$B$102)</f>
        <v>13590</v>
      </c>
      <c r="G57" s="70" t="n">
        <f aca="false">IF(INT(MAX(0,F57))&lt;=12348,0,IF(INT(MAX(0,F57))&lt;=17799,(914.51*((INT(MAX(0,F57))-12348)/10000)+1400)*((INT(MAX(0,F57))-12348)/10000),IF(INT(MAX(0,F57))&lt;=69878,(173.1*((INT(MAX(0,F57))-17799)/10000)+2397)*((INT(MAX(0,F57))-17799)/10000)+1034.87,IF(INT(MAX(0,F57))&lt;=277825,0.42*INT(MAX(0,F57))-11135.63,0.45*INT(MAX(0,F57))-19470.38))))</f>
        <v>187.9869020364</v>
      </c>
      <c r="H57" s="70" t="n">
        <f aca="false">A57-B57-G57-'Plan-Annahmen'!$B$88*12</f>
        <v>13438.0130979636</v>
      </c>
    </row>
    <row r="58" customFormat="false" ht="15" hidden="false" customHeight="true" outlineLevel="0" collapsed="false">
      <c r="A58" s="106" t="n">
        <v>23000</v>
      </c>
      <c r="B58" s="104" t="n">
        <f aca="false">MIN(MAX(A58/12,'Plan-Annahmen'!$B$100),'Plan-Annahmen'!$B$101)*12*('Plan-Annahmen'!$B$97+'Plan-Annahmen'!$B$98+'Plan-Annahmen'!$B$99)</f>
        <v>4991</v>
      </c>
      <c r="C58" s="104" t="n">
        <f aca="false">MAX(0,A58-B58-'Plan-Annahmen'!$B$102)</f>
        <v>17973</v>
      </c>
      <c r="D58" s="70" t="n">
        <f aca="false">IF(INT(MAX(0,C58))&lt;=12348,0,IF(INT(MAX(0,C58))&lt;=17799,(914.51*((INT(MAX(0,C58))-12348)/10000)+1400)*((INT(MAX(0,C58))-12348)/10000),IF(INT(MAX(0,C58))&lt;=69878,(173.1*((INT(MAX(0,C58))-17799)/10000)+2397)*((INT(MAX(0,C58))-17799)/10000)+1034.87,IF(INT(MAX(0,C58))&lt;=277825,0.42*INT(MAX(0,C58))-11135.63,0.45*INT(MAX(0,C58))-19470.38))))</f>
        <v>1076.630207756</v>
      </c>
      <c r="E58" s="70" t="n">
        <f aca="false">A58-B58-D58</f>
        <v>16932.369792244</v>
      </c>
      <c r="F58" s="104" t="n">
        <f aca="false">MAX(0,A58-B58-'Plan-Annahmen'!$B$88*12-'Plan-Annahmen'!$B$102)</f>
        <v>14373</v>
      </c>
      <c r="G58" s="70" t="n">
        <f aca="false">IF(INT(MAX(0,F58))&lt;=12348,0,IF(INT(MAX(0,F58))&lt;=17799,(914.51*((INT(MAX(0,F58))-12348)/10000)+1400)*((INT(MAX(0,F58))-12348)/10000),IF(INT(MAX(0,F58))&lt;=69878,(173.1*((INT(MAX(0,F58))-17799)/10000)+2397)*((INT(MAX(0,F58))-17799)/10000)+1034.87,IF(INT(MAX(0,F58))&lt;=277825,0.42*INT(MAX(0,F58))-11135.63,0.45*INT(MAX(0,F58))-19470.38))))</f>
        <v>321.0006256875</v>
      </c>
      <c r="H58" s="70" t="n">
        <f aca="false">A58-B58-G58-'Plan-Annahmen'!$B$88*12</f>
        <v>14087.9993743125</v>
      </c>
    </row>
    <row r="59" customFormat="false" ht="15" hidden="false" customHeight="true" outlineLevel="0" collapsed="false">
      <c r="A59" s="106" t="n">
        <v>24000</v>
      </c>
      <c r="B59" s="104" t="n">
        <f aca="false">MIN(MAX(A59/12,'Plan-Annahmen'!$B$100),'Plan-Annahmen'!$B$101)*12*('Plan-Annahmen'!$B$97+'Plan-Annahmen'!$B$98+'Plan-Annahmen'!$B$99)</f>
        <v>5208</v>
      </c>
      <c r="C59" s="104" t="n">
        <f aca="false">MAX(0,A59-B59-'Plan-Annahmen'!$B$102)</f>
        <v>18756</v>
      </c>
      <c r="D59" s="70" t="n">
        <f aca="false">IF(INT(MAX(0,C59))&lt;=12348,0,IF(INT(MAX(0,C59))&lt;=17799,(914.51*((INT(MAX(0,C59))-12348)/10000)+1400)*((INT(MAX(0,C59))-12348)/10000),IF(INT(MAX(0,C59))&lt;=69878,(173.1*((INT(MAX(0,C59))-17799)/10000)+2397)*((INT(MAX(0,C59))-17799)/10000)+1034.87,IF(INT(MAX(0,C59))&lt;=277825,0.42*INT(MAX(0,C59))-11135.63,0.45*INT(MAX(0,C59))-19470.38))))</f>
        <v>1265.848234619</v>
      </c>
      <c r="E59" s="70" t="n">
        <f aca="false">A59-B59-D59</f>
        <v>17526.151765381</v>
      </c>
      <c r="F59" s="104" t="n">
        <f aca="false">MAX(0,A59-B59-'Plan-Annahmen'!$B$88*12-'Plan-Annahmen'!$B$102)</f>
        <v>15156</v>
      </c>
      <c r="G59" s="70" t="n">
        <f aca="false">IF(INT(MAX(0,F59))&lt;=12348,0,IF(INT(MAX(0,F59))&lt;=17799,(914.51*((INT(MAX(0,F59))-12348)/10000)+1400)*((INT(MAX(0,F59))-12348)/10000),IF(INT(MAX(0,F59))&lt;=69878,(173.1*((INT(MAX(0,F59))-17799)/10000)+2397)*((INT(MAX(0,F59))-17799)/10000)+1034.87,IF(INT(MAX(0,F59))&lt;=277825,0.42*INT(MAX(0,F59))-11135.63,0.45*INT(MAX(0,F59))-19470.38))))</f>
        <v>465.2278697664</v>
      </c>
      <c r="H59" s="70" t="n">
        <f aca="false">A59-B59-G59-'Plan-Annahmen'!$B$88*12</f>
        <v>14726.7721302336</v>
      </c>
    </row>
    <row r="60" customFormat="false" ht="15" hidden="false" customHeight="true" outlineLevel="0" collapsed="false">
      <c r="A60" s="106" t="n">
        <v>25000</v>
      </c>
      <c r="B60" s="104" t="n">
        <f aca="false">MIN(MAX(A60/12,'Plan-Annahmen'!$B$100),'Plan-Annahmen'!$B$101)*12*('Plan-Annahmen'!$B$97+'Plan-Annahmen'!$B$98+'Plan-Annahmen'!$B$99)</f>
        <v>5425</v>
      </c>
      <c r="C60" s="104" t="n">
        <f aca="false">MAX(0,A60-B60-'Plan-Annahmen'!$B$102)</f>
        <v>19539</v>
      </c>
      <c r="D60" s="70" t="n">
        <f aca="false">IF(INT(MAX(0,C60))&lt;=12348,0,IF(INT(MAX(0,C60))&lt;=17799,(914.51*((INT(MAX(0,C60))-12348)/10000)+1400)*((INT(MAX(0,C60))-12348)/10000),IF(INT(MAX(0,C60))&lt;=69878,(173.1*((INT(MAX(0,C60))-17799)/10000)+2397)*((INT(MAX(0,C60))-17799)/10000)+1034.87,IF(INT(MAX(0,C60))&lt;=277825,0.42*INT(MAX(0,C60))-11135.63,0.45*INT(MAX(0,C60))-19470.38))))</f>
        <v>1457.1887756</v>
      </c>
      <c r="E60" s="70" t="n">
        <f aca="false">A60-B60-D60</f>
        <v>18117.8112244</v>
      </c>
      <c r="F60" s="104" t="n">
        <f aca="false">MAX(0,A60-B60-'Plan-Annahmen'!$B$88*12-'Plan-Annahmen'!$B$102)</f>
        <v>15939</v>
      </c>
      <c r="G60" s="70" t="n">
        <f aca="false">IF(INT(MAX(0,F60))&lt;=12348,0,IF(INT(MAX(0,F60))&lt;=17799,(914.51*((INT(MAX(0,F60))-12348)/10000)+1400)*((INT(MAX(0,F60))-12348)/10000),IF(INT(MAX(0,F60))&lt;=69878,(173.1*((INT(MAX(0,F60))-17799)/10000)+2397)*((INT(MAX(0,F60))-17799)/10000)+1034.87,IF(INT(MAX(0,F60))&lt;=277825,0.42*INT(MAX(0,F60))-11135.63,0.45*INT(MAX(0,F60))-19470.38))))</f>
        <v>620.6686342731</v>
      </c>
      <c r="H60" s="70" t="n">
        <f aca="false">A60-B60-G60-'Plan-Annahmen'!$B$88*12</f>
        <v>15354.3313657269</v>
      </c>
    </row>
    <row r="61" customFormat="false" ht="15" hidden="false" customHeight="true" outlineLevel="0" collapsed="false">
      <c r="A61" s="106" t="n">
        <v>26000</v>
      </c>
      <c r="B61" s="104" t="n">
        <f aca="false">MIN(MAX(A61/12,'Plan-Annahmen'!$B$100),'Plan-Annahmen'!$B$101)*12*('Plan-Annahmen'!$B$97+'Plan-Annahmen'!$B$98+'Plan-Annahmen'!$B$99)</f>
        <v>5642</v>
      </c>
      <c r="C61" s="104" t="n">
        <f aca="false">MAX(0,A61-B61-'Plan-Annahmen'!$B$102)</f>
        <v>20322</v>
      </c>
      <c r="D61" s="70" t="n">
        <f aca="false">IF(INT(MAX(0,C61))&lt;=12348,0,IF(INT(MAX(0,C61))&lt;=17799,(914.51*((INT(MAX(0,C61))-12348)/10000)+1400)*((INT(MAX(0,C61))-12348)/10000),IF(INT(MAX(0,C61))&lt;=69878,(173.1*((INT(MAX(0,C61))-17799)/10000)+2397)*((INT(MAX(0,C61))-17799)/10000)+1034.87,IF(INT(MAX(0,C61))&lt;=277825,0.42*INT(MAX(0,C61))-11135.63,0.45*INT(MAX(0,C61))-19470.38))))</f>
        <v>1650.651830699</v>
      </c>
      <c r="E61" s="70" t="n">
        <f aca="false">A61-B61-D61</f>
        <v>18707.348169301</v>
      </c>
      <c r="F61" s="104" t="n">
        <f aca="false">MAX(0,A61-B61-'Plan-Annahmen'!$B$88*12-'Plan-Annahmen'!$B$102)</f>
        <v>16722</v>
      </c>
      <c r="G61" s="70" t="n">
        <f aca="false">IF(INT(MAX(0,F61))&lt;=12348,0,IF(INT(MAX(0,F61))&lt;=17799,(914.51*((INT(MAX(0,F61))-12348)/10000)+1400)*((INT(MAX(0,F61))-12348)/10000),IF(INT(MAX(0,F61))&lt;=69878,(173.1*((INT(MAX(0,F61))-17799)/10000)+2397)*((INT(MAX(0,F61))-17799)/10000)+1034.87,IF(INT(MAX(0,F61))&lt;=277825,0.42*INT(MAX(0,F61))-11135.63,0.45*INT(MAX(0,F61))-19470.38))))</f>
        <v>787.3229192076</v>
      </c>
      <c r="H61" s="70" t="n">
        <f aca="false">A61-B61-G61-'Plan-Annahmen'!$B$88*12</f>
        <v>15970.6770807924</v>
      </c>
    </row>
    <row r="62" customFormat="false" ht="15" hidden="false" customHeight="true" outlineLevel="0" collapsed="false">
      <c r="A62" s="106" t="n">
        <v>27000</v>
      </c>
      <c r="B62" s="104" t="n">
        <f aca="false">MIN(MAX(A62/12,'Plan-Annahmen'!$B$100),'Plan-Annahmen'!$B$101)*12*('Plan-Annahmen'!$B$97+'Plan-Annahmen'!$B$98+'Plan-Annahmen'!$B$99)</f>
        <v>5859</v>
      </c>
      <c r="C62" s="104" t="n">
        <f aca="false">MAX(0,A62-B62-'Plan-Annahmen'!$B$102)</f>
        <v>21105</v>
      </c>
      <c r="D62" s="70" t="n">
        <f aca="false">IF(INT(MAX(0,C62))&lt;=12348,0,IF(INT(MAX(0,C62))&lt;=17799,(914.51*((INT(MAX(0,C62))-12348)/10000)+1400)*((INT(MAX(0,C62))-12348)/10000),IF(INT(MAX(0,C62))&lt;=69878,(173.1*((INT(MAX(0,C62))-17799)/10000)+2397)*((INT(MAX(0,C62))-17799)/10000)+1034.87,IF(INT(MAX(0,C62))&lt;=277825,0.42*INT(MAX(0,C62))-11135.63,0.45*INT(MAX(0,C62))-19470.38))))</f>
        <v>1846.237399916</v>
      </c>
      <c r="E62" s="70" t="n">
        <f aca="false">A62-B62-D62</f>
        <v>19294.762600084</v>
      </c>
      <c r="F62" s="104" t="n">
        <f aca="false">MAX(0,A62-B62-'Plan-Annahmen'!$B$88*12-'Plan-Annahmen'!$B$102)</f>
        <v>17505</v>
      </c>
      <c r="G62" s="70" t="n">
        <f aca="false">IF(INT(MAX(0,F62))&lt;=12348,0,IF(INT(MAX(0,F62))&lt;=17799,(914.51*((INT(MAX(0,F62))-12348)/10000)+1400)*((INT(MAX(0,F62))-12348)/10000),IF(INT(MAX(0,F62))&lt;=69878,(173.1*((INT(MAX(0,F62))-17799)/10000)+2397)*((INT(MAX(0,F62))-17799)/10000)+1034.87,IF(INT(MAX(0,F62))&lt;=277825,0.42*INT(MAX(0,F62))-11135.63,0.45*INT(MAX(0,F62))-19470.38))))</f>
        <v>965.1907245699</v>
      </c>
      <c r="H62" s="70" t="n">
        <f aca="false">A62-B62-G62-'Plan-Annahmen'!$B$88*12</f>
        <v>16575.8092754301</v>
      </c>
    </row>
    <row r="63" customFormat="false" ht="15" hidden="false" customHeight="true" outlineLevel="0" collapsed="false">
      <c r="A63" s="106" t="n">
        <v>28000</v>
      </c>
      <c r="B63" s="104" t="n">
        <f aca="false">MIN(MAX(A63/12,'Plan-Annahmen'!$B$100),'Plan-Annahmen'!$B$101)*12*('Plan-Annahmen'!$B$97+'Plan-Annahmen'!$B$98+'Plan-Annahmen'!$B$99)</f>
        <v>6076</v>
      </c>
      <c r="C63" s="104" t="n">
        <f aca="false">MAX(0,A63-B63-'Plan-Annahmen'!$B$102)</f>
        <v>21888</v>
      </c>
      <c r="D63" s="70" t="n">
        <f aca="false">IF(INT(MAX(0,C63))&lt;=12348,0,IF(INT(MAX(0,C63))&lt;=17799,(914.51*((INT(MAX(0,C63))-12348)/10000)+1400)*((INT(MAX(0,C63))-12348)/10000),IF(INT(MAX(0,C63))&lt;=69878,(173.1*((INT(MAX(0,C63))-17799)/10000)+2397)*((INT(MAX(0,C63))-17799)/10000)+1034.87,IF(INT(MAX(0,C63))&lt;=277825,0.42*INT(MAX(0,C63))-11135.63,0.45*INT(MAX(0,C63))-19470.38))))</f>
        <v>2043.945483251</v>
      </c>
      <c r="E63" s="70" t="n">
        <f aca="false">A63-B63-D63</f>
        <v>19880.054516749</v>
      </c>
      <c r="F63" s="104" t="n">
        <f aca="false">MAX(0,A63-B63-'Plan-Annahmen'!$B$88*12-'Plan-Annahmen'!$B$102)</f>
        <v>18288</v>
      </c>
      <c r="G63" s="70" t="n">
        <f aca="false">IF(INT(MAX(0,F63))&lt;=12348,0,IF(INT(MAX(0,F63))&lt;=17799,(914.51*((INT(MAX(0,F63))-12348)/10000)+1400)*((INT(MAX(0,F63))-12348)/10000),IF(INT(MAX(0,F63))&lt;=69878,(173.1*((INT(MAX(0,F63))-17799)/10000)+2397)*((INT(MAX(0,F63))-17799)/10000)+1034.87,IF(INT(MAX(0,F63))&lt;=277825,0.42*INT(MAX(0,F63))-11135.63,0.45*INT(MAX(0,F63))-19470.38))))</f>
        <v>1152.497218451</v>
      </c>
      <c r="H63" s="70" t="n">
        <f aca="false">A63-B63-G63-'Plan-Annahmen'!$B$88*12</f>
        <v>17171.502781549</v>
      </c>
    </row>
    <row r="64" customFormat="false" ht="15" hidden="false" customHeight="true" outlineLevel="0" collapsed="false">
      <c r="A64" s="106" t="n">
        <v>29000</v>
      </c>
      <c r="B64" s="104" t="n">
        <f aca="false">MIN(MAX(A64/12,'Plan-Annahmen'!$B$100),'Plan-Annahmen'!$B$101)*12*('Plan-Annahmen'!$B$97+'Plan-Annahmen'!$B$98+'Plan-Annahmen'!$B$99)</f>
        <v>6293</v>
      </c>
      <c r="C64" s="104" t="n">
        <f aca="false">MAX(0,A64-B64-'Plan-Annahmen'!$B$102)</f>
        <v>22671</v>
      </c>
      <c r="D64" s="70" t="n">
        <f aca="false">IF(INT(MAX(0,C64))&lt;=12348,0,IF(INT(MAX(0,C64))&lt;=17799,(914.51*((INT(MAX(0,C64))-12348)/10000)+1400)*((INT(MAX(0,C64))-12348)/10000),IF(INT(MAX(0,C64))&lt;=69878,(173.1*((INT(MAX(0,C64))-17799)/10000)+2397)*((INT(MAX(0,C64))-17799)/10000)+1034.87,IF(INT(MAX(0,C64))&lt;=277825,0.42*INT(MAX(0,C64))-11135.63,0.45*INT(MAX(0,C64))-19470.38))))</f>
        <v>2243.776080704</v>
      </c>
      <c r="E64" s="70" t="n">
        <f aca="false">A64-B64-D64</f>
        <v>20463.223919296</v>
      </c>
      <c r="F64" s="104" t="n">
        <f aca="false">MAX(0,A64-B64-'Plan-Annahmen'!$B$88*12-'Plan-Annahmen'!$B$102)</f>
        <v>19071</v>
      </c>
      <c r="G64" s="70" t="n">
        <f aca="false">IF(INT(MAX(0,F64))&lt;=12348,0,IF(INT(MAX(0,F64))&lt;=17799,(914.51*((INT(MAX(0,F64))-12348)/10000)+1400)*((INT(MAX(0,F64))-12348)/10000),IF(INT(MAX(0,F64))&lt;=69878,(173.1*((INT(MAX(0,F64))-17799)/10000)+2397)*((INT(MAX(0,F64))-17799)/10000)+1034.87,IF(INT(MAX(0,F64))&lt;=277825,0.42*INT(MAX(0,F64))-11135.63,0.45*INT(MAX(0,F64))-19470.38))))</f>
        <v>1342.569130304</v>
      </c>
      <c r="H64" s="70" t="n">
        <f aca="false">A64-B64-G64-'Plan-Annahmen'!$B$88*12</f>
        <v>17764.430869696</v>
      </c>
    </row>
    <row r="65" customFormat="false" ht="15" hidden="false" customHeight="true" outlineLevel="0" collapsed="false">
      <c r="A65" s="106" t="n">
        <v>30000</v>
      </c>
      <c r="B65" s="104" t="n">
        <f aca="false">MIN(MAX(A65/12,'Plan-Annahmen'!$B$100),'Plan-Annahmen'!$B$101)*12*('Plan-Annahmen'!$B$97+'Plan-Annahmen'!$B$98+'Plan-Annahmen'!$B$99)</f>
        <v>6510</v>
      </c>
      <c r="C65" s="104" t="n">
        <f aca="false">MAX(0,A65-B65-'Plan-Annahmen'!$B$102)</f>
        <v>23454</v>
      </c>
      <c r="D65" s="70" t="n">
        <f aca="false">IF(INT(MAX(0,C65))&lt;=12348,0,IF(INT(MAX(0,C65))&lt;=17799,(914.51*((INT(MAX(0,C65))-12348)/10000)+1400)*((INT(MAX(0,C65))-12348)/10000),IF(INT(MAX(0,C65))&lt;=69878,(173.1*((INT(MAX(0,C65))-17799)/10000)+2397)*((INT(MAX(0,C65))-17799)/10000)+1034.87,IF(INT(MAX(0,C65))&lt;=277825,0.42*INT(MAX(0,C65))-11135.63,0.45*INT(MAX(0,C65))-19470.38))))</f>
        <v>2445.729192275</v>
      </c>
      <c r="E65" s="70" t="n">
        <f aca="false">A65-B65-D65</f>
        <v>21044.270807725</v>
      </c>
      <c r="F65" s="104" t="n">
        <f aca="false">MAX(0,A65-B65-'Plan-Annahmen'!$B$88*12-'Plan-Annahmen'!$B$102)</f>
        <v>19854</v>
      </c>
      <c r="G65" s="70" t="n">
        <f aca="false">IF(INT(MAX(0,F65))&lt;=12348,0,IF(INT(MAX(0,F65))&lt;=17799,(914.51*((INT(MAX(0,F65))-12348)/10000)+1400)*((INT(MAX(0,F65))-12348)/10000),IF(INT(MAX(0,F65))&lt;=69878,(173.1*((INT(MAX(0,F65))-17799)/10000)+2397)*((INT(MAX(0,F65))-17799)/10000)+1034.87,IF(INT(MAX(0,F65))&lt;=277825,0.42*INT(MAX(0,F65))-11135.63,0.45*INT(MAX(0,F65))-19470.38))))</f>
        <v>1534.763556275</v>
      </c>
      <c r="H65" s="70" t="n">
        <f aca="false">A65-B65-G65-'Plan-Annahmen'!$B$88*12</f>
        <v>18355.236443725</v>
      </c>
    </row>
    <row r="66" customFormat="false" ht="15" hidden="false" customHeight="true" outlineLevel="0" collapsed="false">
      <c r="A66" s="106" t="n">
        <v>31000</v>
      </c>
      <c r="B66" s="104" t="n">
        <f aca="false">MIN(MAX(A66/12,'Plan-Annahmen'!$B$100),'Plan-Annahmen'!$B$101)*12*('Plan-Annahmen'!$B$97+'Plan-Annahmen'!$B$98+'Plan-Annahmen'!$B$99)</f>
        <v>6727</v>
      </c>
      <c r="C66" s="104" t="n">
        <f aca="false">MAX(0,A66-B66-'Plan-Annahmen'!$B$102)</f>
        <v>24237</v>
      </c>
      <c r="D66" s="70" t="n">
        <f aca="false">IF(INT(MAX(0,C66))&lt;=12348,0,IF(INT(MAX(0,C66))&lt;=17799,(914.51*((INT(MAX(0,C66))-12348)/10000)+1400)*((INT(MAX(0,C66))-12348)/10000),IF(INT(MAX(0,C66))&lt;=69878,(173.1*((INT(MAX(0,C66))-17799)/10000)+2397)*((INT(MAX(0,C66))-17799)/10000)+1034.87,IF(INT(MAX(0,C66))&lt;=277825,0.42*INT(MAX(0,C66))-11135.63,0.45*INT(MAX(0,C66))-19470.38))))</f>
        <v>2649.804817964</v>
      </c>
      <c r="E66" s="70" t="n">
        <f aca="false">A66-B66-D66</f>
        <v>21623.195182036</v>
      </c>
      <c r="F66" s="104" t="n">
        <f aca="false">MAX(0,A66-B66-'Plan-Annahmen'!$B$88*12-'Plan-Annahmen'!$B$102)</f>
        <v>20637</v>
      </c>
      <c r="G66" s="70" t="n">
        <f aca="false">IF(INT(MAX(0,F66))&lt;=12348,0,IF(INT(MAX(0,F66))&lt;=17799,(914.51*((INT(MAX(0,F66))-12348)/10000)+1400)*((INT(MAX(0,F66))-12348)/10000),IF(INT(MAX(0,F66))&lt;=69878,(173.1*((INT(MAX(0,F66))-17799)/10000)+2397)*((INT(MAX(0,F66))-17799)/10000)+1034.87,IF(INT(MAX(0,F66))&lt;=277825,0.42*INT(MAX(0,F66))-11135.63,0.45*INT(MAX(0,F66))-19470.38))))</f>
        <v>1729.080496364</v>
      </c>
      <c r="H66" s="70" t="n">
        <f aca="false">A66-B66-G66-'Plan-Annahmen'!$B$88*12</f>
        <v>18943.919503636</v>
      </c>
    </row>
    <row r="67" customFormat="false" ht="15" hidden="false" customHeight="true" outlineLevel="0" collapsed="false">
      <c r="A67" s="106" t="n">
        <v>32000</v>
      </c>
      <c r="B67" s="104" t="n">
        <f aca="false">MIN(MAX(A67/12,'Plan-Annahmen'!$B$100),'Plan-Annahmen'!$B$101)*12*('Plan-Annahmen'!$B$97+'Plan-Annahmen'!$B$98+'Plan-Annahmen'!$B$99)</f>
        <v>6944</v>
      </c>
      <c r="C67" s="104" t="n">
        <f aca="false">MAX(0,A67-B67-'Plan-Annahmen'!$B$102)</f>
        <v>25020</v>
      </c>
      <c r="D67" s="70" t="n">
        <f aca="false">IF(INT(MAX(0,C67))&lt;=12348,0,IF(INT(MAX(0,C67))&lt;=17799,(914.51*((INT(MAX(0,C67))-12348)/10000)+1400)*((INT(MAX(0,C67))-12348)/10000),IF(INT(MAX(0,C67))&lt;=69878,(173.1*((INT(MAX(0,C67))-17799)/10000)+2397)*((INT(MAX(0,C67))-17799)/10000)+1034.87,IF(INT(MAX(0,C67))&lt;=277825,0.42*INT(MAX(0,C67))-11135.63,0.45*INT(MAX(0,C67))-19470.38))))</f>
        <v>2856.002957771</v>
      </c>
      <c r="E67" s="70" t="n">
        <f aca="false">A67-B67-D67</f>
        <v>22199.997042229</v>
      </c>
      <c r="F67" s="104" t="n">
        <f aca="false">MAX(0,A67-B67-'Plan-Annahmen'!$B$88*12-'Plan-Annahmen'!$B$102)</f>
        <v>21420</v>
      </c>
      <c r="G67" s="70" t="n">
        <f aca="false">IF(INT(MAX(0,F67))&lt;=12348,0,IF(INT(MAX(0,F67))&lt;=17799,(914.51*((INT(MAX(0,F67))-12348)/10000)+1400)*((INT(MAX(0,F67))-12348)/10000),IF(INT(MAX(0,F67))&lt;=69878,(173.1*((INT(MAX(0,F67))-17799)/10000)+2397)*((INT(MAX(0,F67))-17799)/10000)+1034.87,IF(INT(MAX(0,F67))&lt;=277825,0.42*INT(MAX(0,F67))-11135.63,0.45*INT(MAX(0,F67))-19470.38))))</f>
        <v>1925.519950571</v>
      </c>
      <c r="H67" s="70" t="n">
        <f aca="false">A67-B67-G67-'Plan-Annahmen'!$B$88*12</f>
        <v>19530.480049429</v>
      </c>
    </row>
    <row r="68" customFormat="false" ht="15" hidden="false" customHeight="true" outlineLevel="0" collapsed="false">
      <c r="A68" s="106" t="n">
        <v>33000</v>
      </c>
      <c r="B68" s="104" t="n">
        <f aca="false">MIN(MAX(A68/12,'Plan-Annahmen'!$B$100),'Plan-Annahmen'!$B$101)*12*('Plan-Annahmen'!$B$97+'Plan-Annahmen'!$B$98+'Plan-Annahmen'!$B$99)</f>
        <v>7161</v>
      </c>
      <c r="C68" s="104" t="n">
        <f aca="false">MAX(0,A68-B68-'Plan-Annahmen'!$B$102)</f>
        <v>25803</v>
      </c>
      <c r="D68" s="70" t="n">
        <f aca="false">IF(INT(MAX(0,C68))&lt;=12348,0,IF(INT(MAX(0,C68))&lt;=17799,(914.51*((INT(MAX(0,C68))-12348)/10000)+1400)*((INT(MAX(0,C68))-12348)/10000),IF(INT(MAX(0,C68))&lt;=69878,(173.1*((INT(MAX(0,C68))-17799)/10000)+2397)*((INT(MAX(0,C68))-17799)/10000)+1034.87,IF(INT(MAX(0,C68))&lt;=277825,0.42*INT(MAX(0,C68))-11135.63,0.45*INT(MAX(0,C68))-19470.38))))</f>
        <v>3064.323611696</v>
      </c>
      <c r="E68" s="70" t="n">
        <f aca="false">A68-B68-D68</f>
        <v>22774.676388304</v>
      </c>
      <c r="F68" s="104" t="n">
        <f aca="false">MAX(0,A68-B68-'Plan-Annahmen'!$B$88*12-'Plan-Annahmen'!$B$102)</f>
        <v>22203</v>
      </c>
      <c r="G68" s="70" t="n">
        <f aca="false">IF(INT(MAX(0,F68))&lt;=12348,0,IF(INT(MAX(0,F68))&lt;=17799,(914.51*((INT(MAX(0,F68))-12348)/10000)+1400)*((INT(MAX(0,F68))-12348)/10000),IF(INT(MAX(0,F68))&lt;=69878,(173.1*((INT(MAX(0,F68))-17799)/10000)+2397)*((INT(MAX(0,F68))-17799)/10000)+1034.87,IF(INT(MAX(0,F68))&lt;=277825,0.42*INT(MAX(0,F68))-11135.63,0.45*INT(MAX(0,F68))-19470.38))))</f>
        <v>2124.081918896</v>
      </c>
      <c r="H68" s="70" t="n">
        <f aca="false">A68-B68-G68-'Plan-Annahmen'!$B$88*12</f>
        <v>20114.918081104</v>
      </c>
    </row>
    <row r="69" customFormat="false" ht="15" hidden="false" customHeight="true" outlineLevel="0" collapsed="false">
      <c r="A69" s="106" t="n">
        <v>34000</v>
      </c>
      <c r="B69" s="104" t="n">
        <f aca="false">MIN(MAX(A69/12,'Plan-Annahmen'!$B$100),'Plan-Annahmen'!$B$101)*12*('Plan-Annahmen'!$B$97+'Plan-Annahmen'!$B$98+'Plan-Annahmen'!$B$99)</f>
        <v>7378</v>
      </c>
      <c r="C69" s="104" t="n">
        <f aca="false">MAX(0,A69-B69-'Plan-Annahmen'!$B$102)</f>
        <v>26586</v>
      </c>
      <c r="D69" s="70" t="n">
        <f aca="false">IF(INT(MAX(0,C69))&lt;=12348,0,IF(INT(MAX(0,C69))&lt;=17799,(914.51*((INT(MAX(0,C69))-12348)/10000)+1400)*((INT(MAX(0,C69))-12348)/10000),IF(INT(MAX(0,C69))&lt;=69878,(173.1*((INT(MAX(0,C69))-17799)/10000)+2397)*((INT(MAX(0,C69))-17799)/10000)+1034.87,IF(INT(MAX(0,C69))&lt;=277825,0.42*INT(MAX(0,C69))-11135.63,0.45*INT(MAX(0,C69))-19470.38))))</f>
        <v>3274.766779739</v>
      </c>
      <c r="E69" s="70" t="n">
        <f aca="false">A69-B69-D69</f>
        <v>23347.233220261</v>
      </c>
      <c r="F69" s="104" t="n">
        <f aca="false">MAX(0,A69-B69-'Plan-Annahmen'!$B$88*12-'Plan-Annahmen'!$B$102)</f>
        <v>22986</v>
      </c>
      <c r="G69" s="70" t="n">
        <f aca="false">IF(INT(MAX(0,F69))&lt;=12348,0,IF(INT(MAX(0,F69))&lt;=17799,(914.51*((INT(MAX(0,F69))-12348)/10000)+1400)*((INT(MAX(0,F69))-12348)/10000),IF(INT(MAX(0,F69))&lt;=69878,(173.1*((INT(MAX(0,F69))-17799)/10000)+2397)*((INT(MAX(0,F69))-17799)/10000)+1034.87,IF(INT(MAX(0,F69))&lt;=277825,0.42*INT(MAX(0,F69))-11135.63,0.45*INT(MAX(0,F69))-19470.38))))</f>
        <v>2324.766401339</v>
      </c>
      <c r="H69" s="70" t="n">
        <f aca="false">A69-B69-G69-'Plan-Annahmen'!$B$88*12</f>
        <v>20697.233598661</v>
      </c>
    </row>
    <row r="70" customFormat="false" ht="15" hidden="false" customHeight="true" outlineLevel="0" collapsed="false">
      <c r="A70" s="106" t="n">
        <v>35000</v>
      </c>
      <c r="B70" s="104" t="n">
        <f aca="false">MIN(MAX(A70/12,'Plan-Annahmen'!$B$100),'Plan-Annahmen'!$B$101)*12*('Plan-Annahmen'!$B$97+'Plan-Annahmen'!$B$98+'Plan-Annahmen'!$B$99)</f>
        <v>7595</v>
      </c>
      <c r="C70" s="104" t="n">
        <f aca="false">MAX(0,A70-B70-'Plan-Annahmen'!$B$102)</f>
        <v>27369</v>
      </c>
      <c r="D70" s="70" t="n">
        <f aca="false">IF(INT(MAX(0,C70))&lt;=12348,0,IF(INT(MAX(0,C70))&lt;=17799,(914.51*((INT(MAX(0,C70))-12348)/10000)+1400)*((INT(MAX(0,C70))-12348)/10000),IF(INT(MAX(0,C70))&lt;=69878,(173.1*((INT(MAX(0,C70))-17799)/10000)+2397)*((INT(MAX(0,C70))-17799)/10000)+1034.87,IF(INT(MAX(0,C70))&lt;=277825,0.42*INT(MAX(0,C70))-11135.63,0.45*INT(MAX(0,C70))-19470.38))))</f>
        <v>3487.3324619</v>
      </c>
      <c r="E70" s="70" t="n">
        <f aca="false">A70-B70-D70</f>
        <v>23917.6675381</v>
      </c>
      <c r="F70" s="104" t="n">
        <f aca="false">MAX(0,A70-B70-'Plan-Annahmen'!$B$88*12-'Plan-Annahmen'!$B$102)</f>
        <v>23769</v>
      </c>
      <c r="G70" s="70" t="n">
        <f aca="false">IF(INT(MAX(0,F70))&lt;=12348,0,IF(INT(MAX(0,F70))&lt;=17799,(914.51*((INT(MAX(0,F70))-12348)/10000)+1400)*((INT(MAX(0,F70))-12348)/10000),IF(INT(MAX(0,F70))&lt;=69878,(173.1*((INT(MAX(0,F70))-17799)/10000)+2397)*((INT(MAX(0,F70))-17799)/10000)+1034.87,IF(INT(MAX(0,F70))&lt;=277825,0.42*INT(MAX(0,F70))-11135.63,0.45*INT(MAX(0,F70))-19470.38))))</f>
        <v>2527.5733979</v>
      </c>
      <c r="H70" s="70" t="n">
        <f aca="false">A70-B70-G70-'Plan-Annahmen'!$B$88*12</f>
        <v>21277.4266021</v>
      </c>
    </row>
    <row r="71" customFormat="false" ht="15" hidden="false" customHeight="true" outlineLevel="0" collapsed="false">
      <c r="A71" s="106" t="n">
        <v>36000</v>
      </c>
      <c r="B71" s="104" t="n">
        <f aca="false">MIN(MAX(A71/12,'Plan-Annahmen'!$B$100),'Plan-Annahmen'!$B$101)*12*('Plan-Annahmen'!$B$97+'Plan-Annahmen'!$B$98+'Plan-Annahmen'!$B$99)</f>
        <v>7812</v>
      </c>
      <c r="C71" s="104" t="n">
        <f aca="false">MAX(0,A71-B71-'Plan-Annahmen'!$B$102)</f>
        <v>28152</v>
      </c>
      <c r="D71" s="70" t="n">
        <f aca="false">IF(INT(MAX(0,C71))&lt;=12348,0,IF(INT(MAX(0,C71))&lt;=17799,(914.51*((INT(MAX(0,C71))-12348)/10000)+1400)*((INT(MAX(0,C71))-12348)/10000),IF(INT(MAX(0,C71))&lt;=69878,(173.1*((INT(MAX(0,C71))-17799)/10000)+2397)*((INT(MAX(0,C71))-17799)/10000)+1034.87,IF(INT(MAX(0,C71))&lt;=277825,0.42*INT(MAX(0,C71))-11135.63,0.45*INT(MAX(0,C71))-19470.38))))</f>
        <v>3702.020658179</v>
      </c>
      <c r="E71" s="70" t="n">
        <f aca="false">A71-B71-D71</f>
        <v>24485.979341821</v>
      </c>
      <c r="F71" s="104" t="n">
        <f aca="false">MAX(0,A71-B71-'Plan-Annahmen'!$B$88*12-'Plan-Annahmen'!$B$102)</f>
        <v>24552</v>
      </c>
      <c r="G71" s="70" t="n">
        <f aca="false">IF(INT(MAX(0,F71))&lt;=12348,0,IF(INT(MAX(0,F71))&lt;=17799,(914.51*((INT(MAX(0,F71))-12348)/10000)+1400)*((INT(MAX(0,F71))-12348)/10000),IF(INT(MAX(0,F71))&lt;=69878,(173.1*((INT(MAX(0,F71))-17799)/10000)+2397)*((INT(MAX(0,F71))-17799)/10000)+1034.87,IF(INT(MAX(0,F71))&lt;=277825,0.42*INT(MAX(0,F71))-11135.63,0.45*INT(MAX(0,F71))-19470.38))))</f>
        <v>2732.502908579</v>
      </c>
      <c r="H71" s="70" t="n">
        <f aca="false">A71-B71-G71-'Plan-Annahmen'!$B$88*12</f>
        <v>21855.497091421</v>
      </c>
    </row>
    <row r="72" customFormat="false" ht="15" hidden="false" customHeight="true" outlineLevel="0" collapsed="false">
      <c r="A72" s="106" t="n">
        <v>37000</v>
      </c>
      <c r="B72" s="104" t="n">
        <f aca="false">MIN(MAX(A72/12,'Plan-Annahmen'!$B$100),'Plan-Annahmen'!$B$101)*12*('Plan-Annahmen'!$B$97+'Plan-Annahmen'!$B$98+'Plan-Annahmen'!$B$99)</f>
        <v>8029</v>
      </c>
      <c r="C72" s="104" t="n">
        <f aca="false">MAX(0,A72-B72-'Plan-Annahmen'!$B$102)</f>
        <v>28935</v>
      </c>
      <c r="D72" s="70" t="n">
        <f aca="false">IF(INT(MAX(0,C72))&lt;=12348,0,IF(INT(MAX(0,C72))&lt;=17799,(914.51*((INT(MAX(0,C72))-12348)/10000)+1400)*((INT(MAX(0,C72))-12348)/10000),IF(INT(MAX(0,C72))&lt;=69878,(173.1*((INT(MAX(0,C72))-17799)/10000)+2397)*((INT(MAX(0,C72))-17799)/10000)+1034.87,IF(INT(MAX(0,C72))&lt;=277825,0.42*INT(MAX(0,C72))-11135.63,0.45*INT(MAX(0,C72))-19470.38))))</f>
        <v>3918.831368576</v>
      </c>
      <c r="E72" s="70" t="n">
        <f aca="false">A72-B72-D72</f>
        <v>25052.168631424</v>
      </c>
      <c r="F72" s="104" t="n">
        <f aca="false">MAX(0,A72-B72-'Plan-Annahmen'!$B$88*12-'Plan-Annahmen'!$B$102)</f>
        <v>25335</v>
      </c>
      <c r="G72" s="70" t="n">
        <f aca="false">IF(INT(MAX(0,F72))&lt;=12348,0,IF(INT(MAX(0,F72))&lt;=17799,(914.51*((INT(MAX(0,F72))-12348)/10000)+1400)*((INT(MAX(0,F72))-12348)/10000),IF(INT(MAX(0,F72))&lt;=69878,(173.1*((INT(MAX(0,F72))-17799)/10000)+2397)*((INT(MAX(0,F72))-17799)/10000)+1034.87,IF(INT(MAX(0,F72))&lt;=277825,0.42*INT(MAX(0,F72))-11135.63,0.45*INT(MAX(0,F72))-19470.38))))</f>
        <v>2939.554933376</v>
      </c>
      <c r="H72" s="70" t="n">
        <f aca="false">A72-B72-G72-'Plan-Annahmen'!$B$88*12</f>
        <v>22431.445066624</v>
      </c>
    </row>
    <row r="73" customFormat="false" ht="15" hidden="false" customHeight="true" outlineLevel="0" collapsed="false">
      <c r="A73" s="106" t="n">
        <v>38000</v>
      </c>
      <c r="B73" s="104" t="n">
        <f aca="false">MIN(MAX(A73/12,'Plan-Annahmen'!$B$100),'Plan-Annahmen'!$B$101)*12*('Plan-Annahmen'!$B$97+'Plan-Annahmen'!$B$98+'Plan-Annahmen'!$B$99)</f>
        <v>8246</v>
      </c>
      <c r="C73" s="104" t="n">
        <f aca="false">MAX(0,A73-B73-'Plan-Annahmen'!$B$102)</f>
        <v>29718</v>
      </c>
      <c r="D73" s="70" t="n">
        <f aca="false">IF(INT(MAX(0,C73))&lt;=12348,0,IF(INT(MAX(0,C73))&lt;=17799,(914.51*((INT(MAX(0,C73))-12348)/10000)+1400)*((INT(MAX(0,C73))-12348)/10000),IF(INT(MAX(0,C73))&lt;=69878,(173.1*((INT(MAX(0,C73))-17799)/10000)+2397)*((INT(MAX(0,C73))-17799)/10000)+1034.87,IF(INT(MAX(0,C73))&lt;=277825,0.42*INT(MAX(0,C73))-11135.63,0.45*INT(MAX(0,C73))-19470.38))))</f>
        <v>4137.764593091</v>
      </c>
      <c r="E73" s="70" t="n">
        <f aca="false">A73-B73-D73</f>
        <v>25616.235406909</v>
      </c>
      <c r="F73" s="104" t="n">
        <f aca="false">MAX(0,A73-B73-'Plan-Annahmen'!$B$88*12-'Plan-Annahmen'!$B$102)</f>
        <v>26118</v>
      </c>
      <c r="G73" s="70" t="n">
        <f aca="false">IF(INT(MAX(0,F73))&lt;=12348,0,IF(INT(MAX(0,F73))&lt;=17799,(914.51*((INT(MAX(0,F73))-12348)/10000)+1400)*((INT(MAX(0,F73))-12348)/10000),IF(INT(MAX(0,F73))&lt;=69878,(173.1*((INT(MAX(0,F73))-17799)/10000)+2397)*((INT(MAX(0,F73))-17799)/10000)+1034.87,IF(INT(MAX(0,F73))&lt;=277825,0.42*INT(MAX(0,F73))-11135.63,0.45*INT(MAX(0,F73))-19470.38))))</f>
        <v>3148.729472291</v>
      </c>
      <c r="H73" s="70" t="n">
        <f aca="false">A73-B73-G73-'Plan-Annahmen'!$B$88*12</f>
        <v>23005.270527709</v>
      </c>
    </row>
    <row r="74" customFormat="false" ht="15" hidden="false" customHeight="true" outlineLevel="0" collapsed="false">
      <c r="A74" s="106" t="n">
        <v>39000</v>
      </c>
      <c r="B74" s="104" t="n">
        <f aca="false">MIN(MAX(A74/12,'Plan-Annahmen'!$B$100),'Plan-Annahmen'!$B$101)*12*('Plan-Annahmen'!$B$97+'Plan-Annahmen'!$B$98+'Plan-Annahmen'!$B$99)</f>
        <v>8463</v>
      </c>
      <c r="C74" s="104" t="n">
        <f aca="false">MAX(0,A74-B74-'Plan-Annahmen'!$B$102)</f>
        <v>30501</v>
      </c>
      <c r="D74" s="70" t="n">
        <f aca="false">IF(INT(MAX(0,C74))&lt;=12348,0,IF(INT(MAX(0,C74))&lt;=17799,(914.51*((INT(MAX(0,C74))-12348)/10000)+1400)*((INT(MAX(0,C74))-12348)/10000),IF(INT(MAX(0,C74))&lt;=69878,(173.1*((INT(MAX(0,C74))-17799)/10000)+2397)*((INT(MAX(0,C74))-17799)/10000)+1034.87,IF(INT(MAX(0,C74))&lt;=277825,0.42*INT(MAX(0,C74))-11135.63,0.45*INT(MAX(0,C74))-19470.38))))</f>
        <v>4358.820331724</v>
      </c>
      <c r="E74" s="70" t="n">
        <f aca="false">A74-B74-D74</f>
        <v>26178.179668276</v>
      </c>
      <c r="F74" s="104" t="n">
        <f aca="false">MAX(0,A74-B74-'Plan-Annahmen'!$B$88*12-'Plan-Annahmen'!$B$102)</f>
        <v>26901</v>
      </c>
      <c r="G74" s="70" t="n">
        <f aca="false">IF(INT(MAX(0,F74))&lt;=12348,0,IF(INT(MAX(0,F74))&lt;=17799,(914.51*((INT(MAX(0,F74))-12348)/10000)+1400)*((INT(MAX(0,F74))-12348)/10000),IF(INT(MAX(0,F74))&lt;=69878,(173.1*((INT(MAX(0,F74))-17799)/10000)+2397)*((INT(MAX(0,F74))-17799)/10000)+1034.87,IF(INT(MAX(0,F74))&lt;=277825,0.42*INT(MAX(0,F74))-11135.63,0.45*INT(MAX(0,F74))-19470.38))))</f>
        <v>3360.026525324</v>
      </c>
      <c r="H74" s="70" t="n">
        <f aca="false">A74-B74-G74-'Plan-Annahmen'!$B$88*12</f>
        <v>23576.973474676</v>
      </c>
    </row>
    <row r="75" customFormat="false" ht="15" hidden="false" customHeight="true" outlineLevel="0" collapsed="false">
      <c r="A75" s="106" t="n">
        <v>40000</v>
      </c>
      <c r="B75" s="104" t="n">
        <f aca="false">MIN(MAX(A75/12,'Plan-Annahmen'!$B$100),'Plan-Annahmen'!$B$101)*12*('Plan-Annahmen'!$B$97+'Plan-Annahmen'!$B$98+'Plan-Annahmen'!$B$99)</f>
        <v>8680</v>
      </c>
      <c r="C75" s="104" t="n">
        <f aca="false">MAX(0,A75-B75-'Plan-Annahmen'!$B$102)</f>
        <v>31284</v>
      </c>
      <c r="D75" s="70" t="n">
        <f aca="false">IF(INT(MAX(0,C75))&lt;=12348,0,IF(INT(MAX(0,C75))&lt;=17799,(914.51*((INT(MAX(0,C75))-12348)/10000)+1400)*((INT(MAX(0,C75))-12348)/10000),IF(INT(MAX(0,C75))&lt;=69878,(173.1*((INT(MAX(0,C75))-17799)/10000)+2397)*((INT(MAX(0,C75))-17799)/10000)+1034.87,IF(INT(MAX(0,C75))&lt;=277825,0.42*INT(MAX(0,C75))-11135.63,0.45*INT(MAX(0,C75))-19470.38))))</f>
        <v>4581.998584475</v>
      </c>
      <c r="E75" s="70" t="n">
        <f aca="false">A75-B75-D75</f>
        <v>26738.001415525</v>
      </c>
      <c r="F75" s="104" t="n">
        <f aca="false">MAX(0,A75-B75-'Plan-Annahmen'!$B$88*12-'Plan-Annahmen'!$B$102)</f>
        <v>27684</v>
      </c>
      <c r="G75" s="70" t="n">
        <f aca="false">IF(INT(MAX(0,F75))&lt;=12348,0,IF(INT(MAX(0,F75))&lt;=17799,(914.51*((INT(MAX(0,F75))-12348)/10000)+1400)*((INT(MAX(0,F75))-12348)/10000),IF(INT(MAX(0,F75))&lt;=69878,(173.1*((INT(MAX(0,F75))-17799)/10000)+2397)*((INT(MAX(0,F75))-17799)/10000)+1034.87,IF(INT(MAX(0,F75))&lt;=277825,0.42*INT(MAX(0,F75))-11135.63,0.45*INT(MAX(0,F75))-19470.38))))</f>
        <v>3573.446092475</v>
      </c>
      <c r="H75" s="70" t="n">
        <f aca="false">A75-B75-G75-'Plan-Annahmen'!$B$88*12</f>
        <v>24146.553907525</v>
      </c>
    </row>
    <row r="76" customFormat="false" ht="15" hidden="false" customHeight="true" outlineLevel="0" collapsed="false">
      <c r="A76" s="106" t="n">
        <v>41000</v>
      </c>
      <c r="B76" s="104" t="n">
        <f aca="false">MIN(MAX(A76/12,'Plan-Annahmen'!$B$100),'Plan-Annahmen'!$B$101)*12*('Plan-Annahmen'!$B$97+'Plan-Annahmen'!$B$98+'Plan-Annahmen'!$B$99)</f>
        <v>8897</v>
      </c>
      <c r="C76" s="104" t="n">
        <f aca="false">MAX(0,A76-B76-'Plan-Annahmen'!$B$102)</f>
        <v>32067</v>
      </c>
      <c r="D76" s="70" t="n">
        <f aca="false">IF(INT(MAX(0,C76))&lt;=12348,0,IF(INT(MAX(0,C76))&lt;=17799,(914.51*((INT(MAX(0,C76))-12348)/10000)+1400)*((INT(MAX(0,C76))-12348)/10000),IF(INT(MAX(0,C76))&lt;=69878,(173.1*((INT(MAX(0,C76))-17799)/10000)+2397)*((INT(MAX(0,C76))-17799)/10000)+1034.87,IF(INT(MAX(0,C76))&lt;=277825,0.42*INT(MAX(0,C76))-11135.63,0.45*INT(MAX(0,C76))-19470.38))))</f>
        <v>4807.299351344</v>
      </c>
      <c r="E76" s="70" t="n">
        <f aca="false">A76-B76-D76</f>
        <v>27295.700648656</v>
      </c>
      <c r="F76" s="104" t="n">
        <f aca="false">MAX(0,A76-B76-'Plan-Annahmen'!$B$88*12-'Plan-Annahmen'!$B$102)</f>
        <v>28467</v>
      </c>
      <c r="G76" s="70" t="n">
        <f aca="false">IF(INT(MAX(0,F76))&lt;=12348,0,IF(INT(MAX(0,F76))&lt;=17799,(914.51*((INT(MAX(0,F76))-12348)/10000)+1400)*((INT(MAX(0,F76))-12348)/10000),IF(INT(MAX(0,F76))&lt;=69878,(173.1*((INT(MAX(0,F76))-17799)/10000)+2397)*((INT(MAX(0,F76))-17799)/10000)+1034.87,IF(INT(MAX(0,F76))&lt;=277825,0.42*INT(MAX(0,F76))-11135.63,0.45*INT(MAX(0,F76))-19470.38))))</f>
        <v>3788.988173744</v>
      </c>
      <c r="H76" s="70" t="n">
        <f aca="false">A76-B76-G76-'Plan-Annahmen'!$B$88*12</f>
        <v>24714.011826256</v>
      </c>
    </row>
    <row r="77" customFormat="false" ht="15" hidden="false" customHeight="true" outlineLevel="0" collapsed="false">
      <c r="A77" s="106" t="n">
        <v>42000</v>
      </c>
      <c r="B77" s="104" t="n">
        <f aca="false">MIN(MAX(A77/12,'Plan-Annahmen'!$B$100),'Plan-Annahmen'!$B$101)*12*('Plan-Annahmen'!$B$97+'Plan-Annahmen'!$B$98+'Plan-Annahmen'!$B$99)</f>
        <v>9114</v>
      </c>
      <c r="C77" s="104" t="n">
        <f aca="false">MAX(0,A77-B77-'Plan-Annahmen'!$B$102)</f>
        <v>32850</v>
      </c>
      <c r="D77" s="70" t="n">
        <f aca="false">IF(INT(MAX(0,C77))&lt;=12348,0,IF(INT(MAX(0,C77))&lt;=17799,(914.51*((INT(MAX(0,C77))-12348)/10000)+1400)*((INT(MAX(0,C77))-12348)/10000),IF(INT(MAX(0,C77))&lt;=69878,(173.1*((INT(MAX(0,C77))-17799)/10000)+2397)*((INT(MAX(0,C77))-17799)/10000)+1034.87,IF(INT(MAX(0,C77))&lt;=277825,0.42*INT(MAX(0,C77))-11135.63,0.45*INT(MAX(0,C77))-19470.38))))</f>
        <v>5034.722632331</v>
      </c>
      <c r="E77" s="70" t="n">
        <f aca="false">A77-B77-D77</f>
        <v>27851.277367669</v>
      </c>
      <c r="F77" s="104" t="n">
        <f aca="false">MAX(0,A77-B77-'Plan-Annahmen'!$B$88*12-'Plan-Annahmen'!$B$102)</f>
        <v>29250</v>
      </c>
      <c r="G77" s="70" t="n">
        <f aca="false">IF(INT(MAX(0,F77))&lt;=12348,0,IF(INT(MAX(0,F77))&lt;=17799,(914.51*((INT(MAX(0,F77))-12348)/10000)+1400)*((INT(MAX(0,F77))-12348)/10000),IF(INT(MAX(0,F77))&lt;=69878,(173.1*((INT(MAX(0,F77))-17799)/10000)+2397)*((INT(MAX(0,F77))-17799)/10000)+1034.87,IF(INT(MAX(0,F77))&lt;=277825,0.42*INT(MAX(0,F77))-11135.63,0.45*INT(MAX(0,F77))-19470.38))))</f>
        <v>4006.652769131</v>
      </c>
      <c r="H77" s="70" t="n">
        <f aca="false">A77-B77-G77-'Plan-Annahmen'!$B$88*12</f>
        <v>25279.347230869</v>
      </c>
    </row>
    <row r="78" customFormat="false" ht="15" hidden="false" customHeight="true" outlineLevel="0" collapsed="false">
      <c r="A78" s="106" t="n">
        <v>43000</v>
      </c>
      <c r="B78" s="104" t="n">
        <f aca="false">MIN(MAX(A78/12,'Plan-Annahmen'!$B$100),'Plan-Annahmen'!$B$101)*12*('Plan-Annahmen'!$B$97+'Plan-Annahmen'!$B$98+'Plan-Annahmen'!$B$99)</f>
        <v>9331</v>
      </c>
      <c r="C78" s="104" t="n">
        <f aca="false">MAX(0,A78-B78-'Plan-Annahmen'!$B$102)</f>
        <v>33633</v>
      </c>
      <c r="D78" s="70" t="n">
        <f aca="false">IF(INT(MAX(0,C78))&lt;=12348,0,IF(INT(MAX(0,C78))&lt;=17799,(914.51*((INT(MAX(0,C78))-12348)/10000)+1400)*((INT(MAX(0,C78))-12348)/10000),IF(INT(MAX(0,C78))&lt;=69878,(173.1*((INT(MAX(0,C78))-17799)/10000)+2397)*((INT(MAX(0,C78))-17799)/10000)+1034.87,IF(INT(MAX(0,C78))&lt;=277825,0.42*INT(MAX(0,C78))-11135.63,0.45*INT(MAX(0,C78))-19470.38))))</f>
        <v>5264.268427436</v>
      </c>
      <c r="E78" s="70" t="n">
        <f aca="false">A78-B78-D78</f>
        <v>28404.731572564</v>
      </c>
      <c r="F78" s="104" t="n">
        <f aca="false">MAX(0,A78-B78-'Plan-Annahmen'!$B$88*12-'Plan-Annahmen'!$B$102)</f>
        <v>30033</v>
      </c>
      <c r="G78" s="70" t="n">
        <f aca="false">IF(INT(MAX(0,F78))&lt;=12348,0,IF(INT(MAX(0,F78))&lt;=17799,(914.51*((INT(MAX(0,F78))-12348)/10000)+1400)*((INT(MAX(0,F78))-12348)/10000),IF(INT(MAX(0,F78))&lt;=69878,(173.1*((INT(MAX(0,F78))-17799)/10000)+2397)*((INT(MAX(0,F78))-17799)/10000)+1034.87,IF(INT(MAX(0,F78))&lt;=277825,0.42*INT(MAX(0,F78))-11135.63,0.45*INT(MAX(0,F78))-19470.38))))</f>
        <v>4226.439878636</v>
      </c>
      <c r="H78" s="70" t="n">
        <f aca="false">A78-B78-G78-'Plan-Annahmen'!$B$88*12</f>
        <v>25842.560121364</v>
      </c>
    </row>
    <row r="79" customFormat="false" ht="15" hidden="false" customHeight="true" outlineLevel="0" collapsed="false">
      <c r="A79" s="106" t="n">
        <v>44000</v>
      </c>
      <c r="B79" s="104" t="n">
        <f aca="false">MIN(MAX(A79/12,'Plan-Annahmen'!$B$100),'Plan-Annahmen'!$B$101)*12*('Plan-Annahmen'!$B$97+'Plan-Annahmen'!$B$98+'Plan-Annahmen'!$B$99)</f>
        <v>9548</v>
      </c>
      <c r="C79" s="104" t="n">
        <f aca="false">MAX(0,A79-B79-'Plan-Annahmen'!$B$102)</f>
        <v>34416</v>
      </c>
      <c r="D79" s="70" t="n">
        <f aca="false">IF(INT(MAX(0,C79))&lt;=12348,0,IF(INT(MAX(0,C79))&lt;=17799,(914.51*((INT(MAX(0,C79))-12348)/10000)+1400)*((INT(MAX(0,C79))-12348)/10000),IF(INT(MAX(0,C79))&lt;=69878,(173.1*((INT(MAX(0,C79))-17799)/10000)+2397)*((INT(MAX(0,C79))-17799)/10000)+1034.87,IF(INT(MAX(0,C79))&lt;=277825,0.42*INT(MAX(0,C79))-11135.63,0.45*INT(MAX(0,C79))-19470.38))))</f>
        <v>5495.936736659</v>
      </c>
      <c r="E79" s="70" t="n">
        <f aca="false">A79-B79-D79</f>
        <v>28956.063263341</v>
      </c>
      <c r="F79" s="104" t="n">
        <f aca="false">MAX(0,A79-B79-'Plan-Annahmen'!$B$88*12-'Plan-Annahmen'!$B$102)</f>
        <v>30816</v>
      </c>
      <c r="G79" s="70" t="n">
        <f aca="false">IF(INT(MAX(0,F79))&lt;=12348,0,IF(INT(MAX(0,F79))&lt;=17799,(914.51*((INT(MAX(0,F79))-12348)/10000)+1400)*((INT(MAX(0,F79))-12348)/10000),IF(INT(MAX(0,F79))&lt;=69878,(173.1*((INT(MAX(0,F79))-17799)/10000)+2397)*((INT(MAX(0,F79))-17799)/10000)+1034.87,IF(INT(MAX(0,F79))&lt;=277825,0.42*INT(MAX(0,F79))-11135.63,0.45*INT(MAX(0,F79))-19470.38))))</f>
        <v>4448.349502259</v>
      </c>
      <c r="H79" s="70" t="n">
        <f aca="false">A79-B79-G79-'Plan-Annahmen'!$B$88*12</f>
        <v>26403.650497741</v>
      </c>
    </row>
    <row r="80" customFormat="false" ht="15" hidden="false" customHeight="true" outlineLevel="0" collapsed="false">
      <c r="A80" s="106" t="n">
        <v>45000</v>
      </c>
      <c r="B80" s="104" t="n">
        <f aca="false">MIN(MAX(A80/12,'Plan-Annahmen'!$B$100),'Plan-Annahmen'!$B$101)*12*('Plan-Annahmen'!$B$97+'Plan-Annahmen'!$B$98+'Plan-Annahmen'!$B$99)</f>
        <v>9765</v>
      </c>
      <c r="C80" s="104" t="n">
        <f aca="false">MAX(0,A80-B80-'Plan-Annahmen'!$B$102)</f>
        <v>35199</v>
      </c>
      <c r="D80" s="70" t="n">
        <f aca="false">IF(INT(MAX(0,C80))&lt;=12348,0,IF(INT(MAX(0,C80))&lt;=17799,(914.51*((INT(MAX(0,C80))-12348)/10000)+1400)*((INT(MAX(0,C80))-12348)/10000),IF(INT(MAX(0,C80))&lt;=69878,(173.1*((INT(MAX(0,C80))-17799)/10000)+2397)*((INT(MAX(0,C80))-17799)/10000)+1034.87,IF(INT(MAX(0,C80))&lt;=277825,0.42*INT(MAX(0,C80))-11135.63,0.45*INT(MAX(0,C80))-19470.38))))</f>
        <v>5729.72756</v>
      </c>
      <c r="E80" s="70" t="n">
        <f aca="false">A80-B80-D80</f>
        <v>29505.27244</v>
      </c>
      <c r="F80" s="104" t="n">
        <f aca="false">MAX(0,A80-B80-'Plan-Annahmen'!$B$88*12-'Plan-Annahmen'!$B$102)</f>
        <v>31599</v>
      </c>
      <c r="G80" s="70" t="n">
        <f aca="false">IF(INT(MAX(0,F80))&lt;=12348,0,IF(INT(MAX(0,F80))&lt;=17799,(914.51*((INT(MAX(0,F80))-12348)/10000)+1400)*((INT(MAX(0,F80))-12348)/10000),IF(INT(MAX(0,F80))&lt;=69878,(173.1*((INT(MAX(0,F80))-17799)/10000)+2397)*((INT(MAX(0,F80))-17799)/10000)+1034.87,IF(INT(MAX(0,F80))&lt;=277825,0.42*INT(MAX(0,F80))-11135.63,0.45*INT(MAX(0,F80))-19470.38))))</f>
        <v>4672.38164</v>
      </c>
      <c r="H80" s="70" t="n">
        <f aca="false">A80-B80-G80-'Plan-Annahmen'!$B$88*12</f>
        <v>26962.61836</v>
      </c>
    </row>
    <row r="81" customFormat="false" ht="15" hidden="false" customHeight="true" outlineLevel="0" collapsed="false">
      <c r="A81" s="106" t="n">
        <v>46000</v>
      </c>
      <c r="B81" s="104" t="n">
        <f aca="false">MIN(MAX(A81/12,'Plan-Annahmen'!$B$100),'Plan-Annahmen'!$B$101)*12*('Plan-Annahmen'!$B$97+'Plan-Annahmen'!$B$98+'Plan-Annahmen'!$B$99)</f>
        <v>9982</v>
      </c>
      <c r="C81" s="104" t="n">
        <f aca="false">MAX(0,A81-B81-'Plan-Annahmen'!$B$102)</f>
        <v>35982</v>
      </c>
      <c r="D81" s="70" t="n">
        <f aca="false">IF(INT(MAX(0,C81))&lt;=12348,0,IF(INT(MAX(0,C81))&lt;=17799,(914.51*((INT(MAX(0,C81))-12348)/10000)+1400)*((INT(MAX(0,C81))-12348)/10000),IF(INT(MAX(0,C81))&lt;=69878,(173.1*((INT(MAX(0,C81))-17799)/10000)+2397)*((INT(MAX(0,C81))-17799)/10000)+1034.87,IF(INT(MAX(0,C81))&lt;=277825,0.42*INT(MAX(0,C81))-11135.63,0.45*INT(MAX(0,C81))-19470.38))))</f>
        <v>5965.640897459</v>
      </c>
      <c r="E81" s="70" t="n">
        <f aca="false">A81-B81-D81</f>
        <v>30052.359102541</v>
      </c>
      <c r="F81" s="104" t="n">
        <f aca="false">MAX(0,A81-B81-'Plan-Annahmen'!$B$88*12-'Plan-Annahmen'!$B$102)</f>
        <v>32382</v>
      </c>
      <c r="G81" s="70" t="n">
        <f aca="false">IF(INT(MAX(0,F81))&lt;=12348,0,IF(INT(MAX(0,F81))&lt;=17799,(914.51*((INT(MAX(0,F81))-12348)/10000)+1400)*((INT(MAX(0,F81))-12348)/10000),IF(INT(MAX(0,F81))&lt;=69878,(173.1*((INT(MAX(0,F81))-17799)/10000)+2397)*((INT(MAX(0,F81))-17799)/10000)+1034.87,IF(INT(MAX(0,F81))&lt;=277825,0.42*INT(MAX(0,F81))-11135.63,0.45*INT(MAX(0,F81))-19470.38))))</f>
        <v>4898.536291859</v>
      </c>
      <c r="H81" s="70" t="n">
        <f aca="false">A81-B81-G81-'Plan-Annahmen'!$B$88*12</f>
        <v>27519.463708141</v>
      </c>
    </row>
    <row r="82" customFormat="false" ht="15" hidden="false" customHeight="true" outlineLevel="0" collapsed="false">
      <c r="A82" s="106" t="n">
        <v>47000</v>
      </c>
      <c r="B82" s="104" t="n">
        <f aca="false">MIN(MAX(A82/12,'Plan-Annahmen'!$B$100),'Plan-Annahmen'!$B$101)*12*('Plan-Annahmen'!$B$97+'Plan-Annahmen'!$B$98+'Plan-Annahmen'!$B$99)</f>
        <v>10199</v>
      </c>
      <c r="C82" s="104" t="n">
        <f aca="false">MAX(0,A82-B82-'Plan-Annahmen'!$B$102)</f>
        <v>36765</v>
      </c>
      <c r="D82" s="70" t="n">
        <f aca="false">IF(INT(MAX(0,C82))&lt;=12348,0,IF(INT(MAX(0,C82))&lt;=17799,(914.51*((INT(MAX(0,C82))-12348)/10000)+1400)*((INT(MAX(0,C82))-12348)/10000),IF(INT(MAX(0,C82))&lt;=69878,(173.1*((INT(MAX(0,C82))-17799)/10000)+2397)*((INT(MAX(0,C82))-17799)/10000)+1034.87,IF(INT(MAX(0,C82))&lt;=277825,0.42*INT(MAX(0,C82))-11135.63,0.45*INT(MAX(0,C82))-19470.38))))</f>
        <v>6203.676749036</v>
      </c>
      <c r="E82" s="70" t="n">
        <f aca="false">A82-B82-D82</f>
        <v>30597.323250964</v>
      </c>
      <c r="F82" s="104" t="n">
        <f aca="false">MAX(0,A82-B82-'Plan-Annahmen'!$B$88*12-'Plan-Annahmen'!$B$102)</f>
        <v>33165</v>
      </c>
      <c r="G82" s="70" t="n">
        <f aca="false">IF(INT(MAX(0,F82))&lt;=12348,0,IF(INT(MAX(0,F82))&lt;=17799,(914.51*((INT(MAX(0,F82))-12348)/10000)+1400)*((INT(MAX(0,F82))-12348)/10000),IF(INT(MAX(0,F82))&lt;=69878,(173.1*((INT(MAX(0,F82))-17799)/10000)+2397)*((INT(MAX(0,F82))-17799)/10000)+1034.87,IF(INT(MAX(0,F82))&lt;=277825,0.42*INT(MAX(0,F82))-11135.63,0.45*INT(MAX(0,F82))-19470.38))))</f>
        <v>5126.813457836</v>
      </c>
      <c r="H82" s="70" t="n">
        <f aca="false">A82-B82-G82-'Plan-Annahmen'!$B$88*12</f>
        <v>28074.186542164</v>
      </c>
    </row>
    <row r="83" customFormat="false" ht="15" hidden="false" customHeight="true" outlineLevel="0" collapsed="false">
      <c r="A83" s="106" t="n">
        <v>48000</v>
      </c>
      <c r="B83" s="104" t="n">
        <f aca="false">MIN(MAX(A83/12,'Plan-Annahmen'!$B$100),'Plan-Annahmen'!$B$101)*12*('Plan-Annahmen'!$B$97+'Plan-Annahmen'!$B$98+'Plan-Annahmen'!$B$99)</f>
        <v>10416</v>
      </c>
      <c r="C83" s="104" t="n">
        <f aca="false">MAX(0,A83-B83-'Plan-Annahmen'!$B$102)</f>
        <v>37548</v>
      </c>
      <c r="D83" s="70" t="n">
        <f aca="false">IF(INT(MAX(0,C83))&lt;=12348,0,IF(INT(MAX(0,C83))&lt;=17799,(914.51*((INT(MAX(0,C83))-12348)/10000)+1400)*((INT(MAX(0,C83))-12348)/10000),IF(INT(MAX(0,C83))&lt;=69878,(173.1*((INT(MAX(0,C83))-17799)/10000)+2397)*((INT(MAX(0,C83))-17799)/10000)+1034.87,IF(INT(MAX(0,C83))&lt;=277825,0.42*INT(MAX(0,C83))-11135.63,0.45*INT(MAX(0,C83))-19470.38))))</f>
        <v>6443.835114731</v>
      </c>
      <c r="E83" s="70" t="n">
        <f aca="false">A83-B83-D83</f>
        <v>31140.164885269</v>
      </c>
      <c r="F83" s="104" t="n">
        <f aca="false">MAX(0,A83-B83-'Plan-Annahmen'!$B$88*12-'Plan-Annahmen'!$B$102)</f>
        <v>33948</v>
      </c>
      <c r="G83" s="70" t="n">
        <f aca="false">IF(INT(MAX(0,F83))&lt;=12348,0,IF(INT(MAX(0,F83))&lt;=17799,(914.51*((INT(MAX(0,F83))-12348)/10000)+1400)*((INT(MAX(0,F83))-12348)/10000),IF(INT(MAX(0,F83))&lt;=69878,(173.1*((INT(MAX(0,F83))-17799)/10000)+2397)*((INT(MAX(0,F83))-17799)/10000)+1034.87,IF(INT(MAX(0,F83))&lt;=277825,0.42*INT(MAX(0,F83))-11135.63,0.45*INT(MAX(0,F83))-19470.38))))</f>
        <v>5357.213137931</v>
      </c>
      <c r="H83" s="70" t="n">
        <f aca="false">A83-B83-G83-'Plan-Annahmen'!$B$88*12</f>
        <v>28626.786862069</v>
      </c>
    </row>
    <row r="84" customFormat="false" ht="15" hidden="false" customHeight="true" outlineLevel="0" collapsed="false">
      <c r="A84" s="106" t="n">
        <v>49000</v>
      </c>
      <c r="B84" s="104" t="n">
        <f aca="false">MIN(MAX(A84/12,'Plan-Annahmen'!$B$100),'Plan-Annahmen'!$B$101)*12*('Plan-Annahmen'!$B$97+'Plan-Annahmen'!$B$98+'Plan-Annahmen'!$B$99)</f>
        <v>10633</v>
      </c>
      <c r="C84" s="104" t="n">
        <f aca="false">MAX(0,A84-B84-'Plan-Annahmen'!$B$102)</f>
        <v>38331</v>
      </c>
      <c r="D84" s="70" t="n">
        <f aca="false">IF(INT(MAX(0,C84))&lt;=12348,0,IF(INT(MAX(0,C84))&lt;=17799,(914.51*((INT(MAX(0,C84))-12348)/10000)+1400)*((INT(MAX(0,C84))-12348)/10000),IF(INT(MAX(0,C84))&lt;=69878,(173.1*((INT(MAX(0,C84))-17799)/10000)+2397)*((INT(MAX(0,C84))-17799)/10000)+1034.87,IF(INT(MAX(0,C84))&lt;=277825,0.42*INT(MAX(0,C84))-11135.63,0.45*INT(MAX(0,C84))-19470.38))))</f>
        <v>6686.115994544</v>
      </c>
      <c r="E84" s="70" t="n">
        <f aca="false">A84-B84-D84</f>
        <v>31680.884005456</v>
      </c>
      <c r="F84" s="104" t="n">
        <f aca="false">MAX(0,A84-B84-'Plan-Annahmen'!$B$88*12-'Plan-Annahmen'!$B$102)</f>
        <v>34731</v>
      </c>
      <c r="G84" s="70" t="n">
        <f aca="false">IF(INT(MAX(0,F84))&lt;=12348,0,IF(INT(MAX(0,F84))&lt;=17799,(914.51*((INT(MAX(0,F84))-12348)/10000)+1400)*((INT(MAX(0,F84))-12348)/10000),IF(INT(MAX(0,F84))&lt;=69878,(173.1*((INT(MAX(0,F84))-17799)/10000)+2397)*((INT(MAX(0,F84))-17799)/10000)+1034.87,IF(INT(MAX(0,F84))&lt;=277825,0.42*INT(MAX(0,F84))-11135.63,0.45*INT(MAX(0,F84))-19470.38))))</f>
        <v>5589.735332144</v>
      </c>
      <c r="H84" s="70" t="n">
        <f aca="false">A84-B84-G84-'Plan-Annahmen'!$B$88*12</f>
        <v>29177.264667856</v>
      </c>
    </row>
    <row r="85" customFormat="false" ht="15" hidden="false" customHeight="true" outlineLevel="0" collapsed="false">
      <c r="A85" s="106" t="n">
        <v>50000</v>
      </c>
      <c r="B85" s="104" t="n">
        <f aca="false">MIN(MAX(A85/12,'Plan-Annahmen'!$B$100),'Plan-Annahmen'!$B$101)*12*('Plan-Annahmen'!$B$97+'Plan-Annahmen'!$B$98+'Plan-Annahmen'!$B$99)</f>
        <v>10850</v>
      </c>
      <c r="C85" s="104" t="n">
        <f aca="false">MAX(0,A85-B85-'Plan-Annahmen'!$B$102)</f>
        <v>39114</v>
      </c>
      <c r="D85" s="70" t="n">
        <f aca="false">IF(INT(MAX(0,C85))&lt;=12348,0,IF(INT(MAX(0,C85))&lt;=17799,(914.51*((INT(MAX(0,C85))-12348)/10000)+1400)*((INT(MAX(0,C85))-12348)/10000),IF(INT(MAX(0,C85))&lt;=69878,(173.1*((INT(MAX(0,C85))-17799)/10000)+2397)*((INT(MAX(0,C85))-17799)/10000)+1034.87,IF(INT(MAX(0,C85))&lt;=277825,0.42*INT(MAX(0,C85))-11135.63,0.45*INT(MAX(0,C85))-19470.38))))</f>
        <v>6930.519388475</v>
      </c>
      <c r="E85" s="70" t="n">
        <f aca="false">A85-B85-D85</f>
        <v>32219.480611525</v>
      </c>
      <c r="F85" s="104" t="n">
        <f aca="false">MAX(0,A85-B85-'Plan-Annahmen'!$B$88*12-'Plan-Annahmen'!$B$102)</f>
        <v>35514</v>
      </c>
      <c r="G85" s="70" t="n">
        <f aca="false">IF(INT(MAX(0,F85))&lt;=12348,0,IF(INT(MAX(0,F85))&lt;=17799,(914.51*((INT(MAX(0,F85))-12348)/10000)+1400)*((INT(MAX(0,F85))-12348)/10000),IF(INT(MAX(0,F85))&lt;=69878,(173.1*((INT(MAX(0,F85))-17799)/10000)+2397)*((INT(MAX(0,F85))-17799)/10000)+1034.87,IF(INT(MAX(0,F85))&lt;=277825,0.42*INT(MAX(0,F85))-11135.63,0.45*INT(MAX(0,F85))-19470.38))))</f>
        <v>5824.380040475</v>
      </c>
      <c r="H85" s="70" t="n">
        <f aca="false">A85-B85-G85-'Plan-Annahmen'!$B$88*12</f>
        <v>29725.619959525</v>
      </c>
    </row>
    <row r="86" customFormat="false" ht="15" hidden="false" customHeight="true" outlineLevel="0" collapsed="false">
      <c r="A86" s="106" t="n">
        <v>51000</v>
      </c>
      <c r="B86" s="104" t="n">
        <f aca="false">MIN(MAX(A86/12,'Plan-Annahmen'!$B$100),'Plan-Annahmen'!$B$101)*12*('Plan-Annahmen'!$B$97+'Plan-Annahmen'!$B$98+'Plan-Annahmen'!$B$99)</f>
        <v>11067</v>
      </c>
      <c r="C86" s="104" t="n">
        <f aca="false">MAX(0,A86-B86-'Plan-Annahmen'!$B$102)</f>
        <v>39897</v>
      </c>
      <c r="D86" s="70" t="n">
        <f aca="false">IF(INT(MAX(0,C86))&lt;=12348,0,IF(INT(MAX(0,C86))&lt;=17799,(914.51*((INT(MAX(0,C86))-12348)/10000)+1400)*((INT(MAX(0,C86))-12348)/10000),IF(INT(MAX(0,C86))&lt;=69878,(173.1*((INT(MAX(0,C86))-17799)/10000)+2397)*((INT(MAX(0,C86))-17799)/10000)+1034.87,IF(INT(MAX(0,C86))&lt;=277825,0.42*INT(MAX(0,C86))-11135.63,0.45*INT(MAX(0,C86))-19470.38))))</f>
        <v>7177.045296524</v>
      </c>
      <c r="E86" s="70" t="n">
        <f aca="false">A86-B86-D86</f>
        <v>32755.954703476</v>
      </c>
      <c r="F86" s="104" t="n">
        <f aca="false">MAX(0,A86-B86-'Plan-Annahmen'!$B$88*12-'Plan-Annahmen'!$B$102)</f>
        <v>36297</v>
      </c>
      <c r="G86" s="70" t="n">
        <f aca="false">IF(INT(MAX(0,F86))&lt;=12348,0,IF(INT(MAX(0,F86))&lt;=17799,(914.51*((INT(MAX(0,F86))-12348)/10000)+1400)*((INT(MAX(0,F86))-12348)/10000),IF(INT(MAX(0,F86))&lt;=69878,(173.1*((INT(MAX(0,F86))-17799)/10000)+2397)*((INT(MAX(0,F86))-17799)/10000)+1034.87,IF(INT(MAX(0,F86))&lt;=277825,0.42*INT(MAX(0,F86))-11135.63,0.45*INT(MAX(0,F86))-19470.38))))</f>
        <v>6061.147262924</v>
      </c>
      <c r="H86" s="70" t="n">
        <f aca="false">A86-B86-G86-'Plan-Annahmen'!$B$88*12</f>
        <v>30271.852737076</v>
      </c>
    </row>
    <row r="87" customFormat="false" ht="15" hidden="false" customHeight="true" outlineLevel="0" collapsed="false">
      <c r="A87" s="106" t="n">
        <v>52000</v>
      </c>
      <c r="B87" s="104" t="n">
        <f aca="false">MIN(MAX(A87/12,'Plan-Annahmen'!$B$100),'Plan-Annahmen'!$B$101)*12*('Plan-Annahmen'!$B$97+'Plan-Annahmen'!$B$98+'Plan-Annahmen'!$B$99)</f>
        <v>11284</v>
      </c>
      <c r="C87" s="104" t="n">
        <f aca="false">MAX(0,A87-B87-'Plan-Annahmen'!$B$102)</f>
        <v>40680</v>
      </c>
      <c r="D87" s="70" t="n">
        <f aca="false">IF(INT(MAX(0,C87))&lt;=12348,0,IF(INT(MAX(0,C87))&lt;=17799,(914.51*((INT(MAX(0,C87))-12348)/10000)+1400)*((INT(MAX(0,C87))-12348)/10000),IF(INT(MAX(0,C87))&lt;=69878,(173.1*((INT(MAX(0,C87))-17799)/10000)+2397)*((INT(MAX(0,C87))-17799)/10000)+1034.87,IF(INT(MAX(0,C87))&lt;=277825,0.42*INT(MAX(0,C87))-11135.63,0.45*INT(MAX(0,C87))-19470.38))))</f>
        <v>7425.693718691</v>
      </c>
      <c r="E87" s="70" t="n">
        <f aca="false">A87-B87-D87</f>
        <v>33290.306281309</v>
      </c>
      <c r="F87" s="104" t="n">
        <f aca="false">MAX(0,A87-B87-'Plan-Annahmen'!$B$88*12-'Plan-Annahmen'!$B$102)</f>
        <v>37080</v>
      </c>
      <c r="G87" s="70" t="n">
        <f aca="false">IF(INT(MAX(0,F87))&lt;=12348,0,IF(INT(MAX(0,F87))&lt;=17799,(914.51*((INT(MAX(0,F87))-12348)/10000)+1400)*((INT(MAX(0,F87))-12348)/10000),IF(INT(MAX(0,F87))&lt;=69878,(173.1*((INT(MAX(0,F87))-17799)/10000)+2397)*((INT(MAX(0,F87))-17799)/10000)+1034.87,IF(INT(MAX(0,F87))&lt;=277825,0.42*INT(MAX(0,F87))-11135.63,0.45*INT(MAX(0,F87))-19470.38))))</f>
        <v>6300.036999491</v>
      </c>
      <c r="H87" s="70" t="n">
        <f aca="false">A87-B87-G87-'Plan-Annahmen'!$B$88*12</f>
        <v>30815.963000509</v>
      </c>
    </row>
    <row r="88" customFormat="false" ht="15" hidden="false" customHeight="true" outlineLevel="0" collapsed="false">
      <c r="A88" s="106" t="n">
        <v>53000</v>
      </c>
      <c r="B88" s="104" t="n">
        <f aca="false">MIN(MAX(A88/12,'Plan-Annahmen'!$B$100),'Plan-Annahmen'!$B$101)*12*('Plan-Annahmen'!$B$97+'Plan-Annahmen'!$B$98+'Plan-Annahmen'!$B$99)</f>
        <v>11501</v>
      </c>
      <c r="C88" s="104" t="n">
        <f aca="false">MAX(0,A88-B88-'Plan-Annahmen'!$B$102)</f>
        <v>41463</v>
      </c>
      <c r="D88" s="70" t="n">
        <f aca="false">IF(INT(MAX(0,C88))&lt;=12348,0,IF(INT(MAX(0,C88))&lt;=17799,(914.51*((INT(MAX(0,C88))-12348)/10000)+1400)*((INT(MAX(0,C88))-12348)/10000),IF(INT(MAX(0,C88))&lt;=69878,(173.1*((INT(MAX(0,C88))-17799)/10000)+2397)*((INT(MAX(0,C88))-17799)/10000)+1034.87,IF(INT(MAX(0,C88))&lt;=277825,0.42*INT(MAX(0,C88))-11135.63,0.45*INT(MAX(0,C88))-19470.38))))</f>
        <v>7676.464654976</v>
      </c>
      <c r="E88" s="70" t="n">
        <f aca="false">A88-B88-D88</f>
        <v>33822.535345024</v>
      </c>
      <c r="F88" s="104" t="n">
        <f aca="false">MAX(0,A88-B88-'Plan-Annahmen'!$B$88*12-'Plan-Annahmen'!$B$102)</f>
        <v>37863</v>
      </c>
      <c r="G88" s="70" t="n">
        <f aca="false">IF(INT(MAX(0,F88))&lt;=12348,0,IF(INT(MAX(0,F88))&lt;=17799,(914.51*((INT(MAX(0,F88))-12348)/10000)+1400)*((INT(MAX(0,F88))-12348)/10000),IF(INT(MAX(0,F88))&lt;=69878,(173.1*((INT(MAX(0,F88))-17799)/10000)+2397)*((INT(MAX(0,F88))-17799)/10000)+1034.87,IF(INT(MAX(0,F88))&lt;=277825,0.42*INT(MAX(0,F88))-11135.63,0.45*INT(MAX(0,F88))-19470.38))))</f>
        <v>6541.049250176</v>
      </c>
      <c r="H88" s="70" t="n">
        <f aca="false">A88-B88-G88-'Plan-Annahmen'!$B$88*12</f>
        <v>31357.950749824</v>
      </c>
    </row>
    <row r="89" customFormat="false" ht="15" hidden="false" customHeight="true" outlineLevel="0" collapsed="false">
      <c r="A89" s="106" t="n">
        <v>54000</v>
      </c>
      <c r="B89" s="104" t="n">
        <f aca="false">MIN(MAX(A89/12,'Plan-Annahmen'!$B$100),'Plan-Annahmen'!$B$101)*12*('Plan-Annahmen'!$B$97+'Plan-Annahmen'!$B$98+'Plan-Annahmen'!$B$99)</f>
        <v>11718</v>
      </c>
      <c r="C89" s="104" t="n">
        <f aca="false">MAX(0,A89-B89-'Plan-Annahmen'!$B$102)</f>
        <v>42246</v>
      </c>
      <c r="D89" s="70" t="n">
        <f aca="false">IF(INT(MAX(0,C89))&lt;=12348,0,IF(INT(MAX(0,C89))&lt;=17799,(914.51*((INT(MAX(0,C89))-12348)/10000)+1400)*((INT(MAX(0,C89))-12348)/10000),IF(INT(MAX(0,C89))&lt;=69878,(173.1*((INT(MAX(0,C89))-17799)/10000)+2397)*((INT(MAX(0,C89))-17799)/10000)+1034.87,IF(INT(MAX(0,C89))&lt;=277825,0.42*INT(MAX(0,C89))-11135.63,0.45*INT(MAX(0,C89))-19470.38))))</f>
        <v>7929.358105379</v>
      </c>
      <c r="E89" s="70" t="n">
        <f aca="false">A89-B89-D89</f>
        <v>34352.641894621</v>
      </c>
      <c r="F89" s="104" t="n">
        <f aca="false">MAX(0,A89-B89-'Plan-Annahmen'!$B$88*12-'Plan-Annahmen'!$B$102)</f>
        <v>38646</v>
      </c>
      <c r="G89" s="70" t="n">
        <f aca="false">IF(INT(MAX(0,F89))&lt;=12348,0,IF(INT(MAX(0,F89))&lt;=17799,(914.51*((INT(MAX(0,F89))-12348)/10000)+1400)*((INT(MAX(0,F89))-12348)/10000),IF(INT(MAX(0,F89))&lt;=69878,(173.1*((INT(MAX(0,F89))-17799)/10000)+2397)*((INT(MAX(0,F89))-17799)/10000)+1034.87,IF(INT(MAX(0,F89))&lt;=277825,0.42*INT(MAX(0,F89))-11135.63,0.45*INT(MAX(0,F89))-19470.38))))</f>
        <v>6784.184014979</v>
      </c>
      <c r="H89" s="70" t="n">
        <f aca="false">A89-B89-G89-'Plan-Annahmen'!$B$88*12</f>
        <v>31897.815985021</v>
      </c>
    </row>
    <row r="90" customFormat="false" ht="15" hidden="false" customHeight="true" outlineLevel="0" collapsed="false">
      <c r="A90" s="106" t="n">
        <v>55000</v>
      </c>
      <c r="B90" s="104" t="n">
        <f aca="false">MIN(MAX(A90/12,'Plan-Annahmen'!$B$100),'Plan-Annahmen'!$B$101)*12*('Plan-Annahmen'!$B$97+'Plan-Annahmen'!$B$98+'Plan-Annahmen'!$B$99)</f>
        <v>11935</v>
      </c>
      <c r="C90" s="104" t="n">
        <f aca="false">MAX(0,A90-B90-'Plan-Annahmen'!$B$102)</f>
        <v>43029</v>
      </c>
      <c r="D90" s="70" t="n">
        <f aca="false">IF(INT(MAX(0,C90))&lt;=12348,0,IF(INT(MAX(0,C90))&lt;=17799,(914.51*((INT(MAX(0,C90))-12348)/10000)+1400)*((INT(MAX(0,C90))-12348)/10000),IF(INT(MAX(0,C90))&lt;=69878,(173.1*((INT(MAX(0,C90))-17799)/10000)+2397)*((INT(MAX(0,C90))-17799)/10000)+1034.87,IF(INT(MAX(0,C90))&lt;=277825,0.42*INT(MAX(0,C90))-11135.63,0.45*INT(MAX(0,C90))-19470.38))))</f>
        <v>8184.3740699</v>
      </c>
      <c r="E90" s="70" t="n">
        <f aca="false">A90-B90-D90</f>
        <v>34880.6259301</v>
      </c>
      <c r="F90" s="104" t="n">
        <f aca="false">MAX(0,A90-B90-'Plan-Annahmen'!$B$88*12-'Plan-Annahmen'!$B$102)</f>
        <v>39429</v>
      </c>
      <c r="G90" s="70" t="n">
        <f aca="false">IF(INT(MAX(0,F90))&lt;=12348,0,IF(INT(MAX(0,F90))&lt;=17799,(914.51*((INT(MAX(0,F90))-12348)/10000)+1400)*((INT(MAX(0,F90))-12348)/10000),IF(INT(MAX(0,F90))&lt;=69878,(173.1*((INT(MAX(0,F90))-17799)/10000)+2397)*((INT(MAX(0,F90))-17799)/10000)+1034.87,IF(INT(MAX(0,F90))&lt;=277825,0.42*INT(MAX(0,F90))-11135.63,0.45*INT(MAX(0,F90))-19470.38))))</f>
        <v>7029.4412939</v>
      </c>
      <c r="H90" s="70" t="n">
        <f aca="false">A90-B90-G90-'Plan-Annahmen'!$B$88*12</f>
        <v>32435.5587061</v>
      </c>
    </row>
    <row r="91" customFormat="false" ht="15" hidden="false" customHeight="true" outlineLevel="0" collapsed="false">
      <c r="A91" s="106" t="n">
        <v>56000</v>
      </c>
      <c r="B91" s="104" t="n">
        <f aca="false">MIN(MAX(A91/12,'Plan-Annahmen'!$B$100),'Plan-Annahmen'!$B$101)*12*('Plan-Annahmen'!$B$97+'Plan-Annahmen'!$B$98+'Plan-Annahmen'!$B$99)</f>
        <v>12152</v>
      </c>
      <c r="C91" s="104" t="n">
        <f aca="false">MAX(0,A91-B91-'Plan-Annahmen'!$B$102)</f>
        <v>43812</v>
      </c>
      <c r="D91" s="70" t="n">
        <f aca="false">IF(INT(MAX(0,C91))&lt;=12348,0,IF(INT(MAX(0,C91))&lt;=17799,(914.51*((INT(MAX(0,C91))-12348)/10000)+1400)*((INT(MAX(0,C91))-12348)/10000),IF(INT(MAX(0,C91))&lt;=69878,(173.1*((INT(MAX(0,C91))-17799)/10000)+2397)*((INT(MAX(0,C91))-17799)/10000)+1034.87,IF(INT(MAX(0,C91))&lt;=277825,0.42*INT(MAX(0,C91))-11135.63,0.45*INT(MAX(0,C91))-19470.38))))</f>
        <v>8441.512548539</v>
      </c>
      <c r="E91" s="70" t="n">
        <f aca="false">A91-B91-D91</f>
        <v>35406.487451461</v>
      </c>
      <c r="F91" s="104" t="n">
        <f aca="false">MAX(0,A91-B91-'Plan-Annahmen'!$B$88*12-'Plan-Annahmen'!$B$102)</f>
        <v>40212</v>
      </c>
      <c r="G91" s="70" t="n">
        <f aca="false">IF(INT(MAX(0,F91))&lt;=12348,0,IF(INT(MAX(0,F91))&lt;=17799,(914.51*((INT(MAX(0,F91))-12348)/10000)+1400)*((INT(MAX(0,F91))-12348)/10000),IF(INT(MAX(0,F91))&lt;=69878,(173.1*((INT(MAX(0,F91))-17799)/10000)+2397)*((INT(MAX(0,F91))-17799)/10000)+1034.87,IF(INT(MAX(0,F91))&lt;=277825,0.42*INT(MAX(0,F91))-11135.63,0.45*INT(MAX(0,F91))-19470.38))))</f>
        <v>7276.821086939</v>
      </c>
      <c r="H91" s="70" t="n">
        <f aca="false">A91-B91-G91-'Plan-Annahmen'!$B$88*12</f>
        <v>32971.178913061</v>
      </c>
    </row>
    <row r="92" customFormat="false" ht="15" hidden="false" customHeight="true" outlineLevel="0" collapsed="false">
      <c r="A92" s="106" t="n">
        <v>57000</v>
      </c>
      <c r="B92" s="104" t="n">
        <f aca="false">MIN(MAX(A92/12,'Plan-Annahmen'!$B$100),'Plan-Annahmen'!$B$101)*12*('Plan-Annahmen'!$B$97+'Plan-Annahmen'!$B$98+'Plan-Annahmen'!$B$99)</f>
        <v>12369</v>
      </c>
      <c r="C92" s="104" t="n">
        <f aca="false">MAX(0,A92-B92-'Plan-Annahmen'!$B$102)</f>
        <v>44595</v>
      </c>
      <c r="D92" s="70" t="n">
        <f aca="false">IF(INT(MAX(0,C92))&lt;=12348,0,IF(INT(MAX(0,C92))&lt;=17799,(914.51*((INT(MAX(0,C92))-12348)/10000)+1400)*((INT(MAX(0,C92))-12348)/10000),IF(INT(MAX(0,C92))&lt;=69878,(173.1*((INT(MAX(0,C92))-17799)/10000)+2397)*((INT(MAX(0,C92))-17799)/10000)+1034.87,IF(INT(MAX(0,C92))&lt;=277825,0.42*INT(MAX(0,C92))-11135.63,0.45*INT(MAX(0,C92))-19470.38))))</f>
        <v>8700.773541296</v>
      </c>
      <c r="E92" s="70" t="n">
        <f aca="false">A92-B92-D92</f>
        <v>35930.226458704</v>
      </c>
      <c r="F92" s="104" t="n">
        <f aca="false">MAX(0,A92-B92-'Plan-Annahmen'!$B$88*12-'Plan-Annahmen'!$B$102)</f>
        <v>40995</v>
      </c>
      <c r="G92" s="70" t="n">
        <f aca="false">IF(INT(MAX(0,F92))&lt;=12348,0,IF(INT(MAX(0,F92))&lt;=17799,(914.51*((INT(MAX(0,F92))-12348)/10000)+1400)*((INT(MAX(0,F92))-12348)/10000),IF(INT(MAX(0,F92))&lt;=69878,(173.1*((INT(MAX(0,F92))-17799)/10000)+2397)*((INT(MAX(0,F92))-17799)/10000)+1034.87,IF(INT(MAX(0,F92))&lt;=277825,0.42*INT(MAX(0,F92))-11135.63,0.45*INT(MAX(0,F92))-19470.38))))</f>
        <v>7526.323394096</v>
      </c>
      <c r="H92" s="70" t="n">
        <f aca="false">A92-B92-G92-'Plan-Annahmen'!$B$88*12</f>
        <v>33504.676605904</v>
      </c>
    </row>
    <row r="93" customFormat="false" ht="15" hidden="false" customHeight="true" outlineLevel="0" collapsed="false">
      <c r="A93" s="106" t="n">
        <v>58000</v>
      </c>
      <c r="B93" s="104" t="n">
        <f aca="false">MIN(MAX(A93/12,'Plan-Annahmen'!$B$100),'Plan-Annahmen'!$B$101)*12*('Plan-Annahmen'!$B$97+'Plan-Annahmen'!$B$98+'Plan-Annahmen'!$B$99)</f>
        <v>12586</v>
      </c>
      <c r="C93" s="104" t="n">
        <f aca="false">MAX(0,A93-B93-'Plan-Annahmen'!$B$102)</f>
        <v>45378</v>
      </c>
      <c r="D93" s="70" t="n">
        <f aca="false">IF(INT(MAX(0,C93))&lt;=12348,0,IF(INT(MAX(0,C93))&lt;=17799,(914.51*((INT(MAX(0,C93))-12348)/10000)+1400)*((INT(MAX(0,C93))-12348)/10000),IF(INT(MAX(0,C93))&lt;=69878,(173.1*((INT(MAX(0,C93))-17799)/10000)+2397)*((INT(MAX(0,C93))-17799)/10000)+1034.87,IF(INT(MAX(0,C93))&lt;=277825,0.42*INT(MAX(0,C93))-11135.63,0.45*INT(MAX(0,C93))-19470.38))))</f>
        <v>8962.157048171</v>
      </c>
      <c r="E93" s="70" t="n">
        <f aca="false">A93-B93-D93</f>
        <v>36451.842951829</v>
      </c>
      <c r="F93" s="104" t="n">
        <f aca="false">MAX(0,A93-B93-'Plan-Annahmen'!$B$88*12-'Plan-Annahmen'!$B$102)</f>
        <v>41778</v>
      </c>
      <c r="G93" s="70" t="n">
        <f aca="false">IF(INT(MAX(0,F93))&lt;=12348,0,IF(INT(MAX(0,F93))&lt;=17799,(914.51*((INT(MAX(0,F93))-12348)/10000)+1400)*((INT(MAX(0,F93))-12348)/10000),IF(INT(MAX(0,F93))&lt;=69878,(173.1*((INT(MAX(0,F93))-17799)/10000)+2397)*((INT(MAX(0,F93))-17799)/10000)+1034.87,IF(INT(MAX(0,F93))&lt;=277825,0.42*INT(MAX(0,F93))-11135.63,0.45*INT(MAX(0,F93))-19470.38))))</f>
        <v>7777.948215371</v>
      </c>
      <c r="H93" s="70" t="n">
        <f aca="false">A93-B93-G93-'Plan-Annahmen'!$B$88*12</f>
        <v>34036.051784629</v>
      </c>
    </row>
    <row r="94" customFormat="false" ht="15" hidden="false" customHeight="true" outlineLevel="0" collapsed="false">
      <c r="A94" s="106" t="n">
        <v>59000</v>
      </c>
      <c r="B94" s="104" t="n">
        <f aca="false">MIN(MAX(A94/12,'Plan-Annahmen'!$B$100),'Plan-Annahmen'!$B$101)*12*('Plan-Annahmen'!$B$97+'Plan-Annahmen'!$B$98+'Plan-Annahmen'!$B$99)</f>
        <v>12803</v>
      </c>
      <c r="C94" s="104" t="n">
        <f aca="false">MAX(0,A94-B94-'Plan-Annahmen'!$B$102)</f>
        <v>46161</v>
      </c>
      <c r="D94" s="70" t="n">
        <f aca="false">IF(INT(MAX(0,C94))&lt;=12348,0,IF(INT(MAX(0,C94))&lt;=17799,(914.51*((INT(MAX(0,C94))-12348)/10000)+1400)*((INT(MAX(0,C94))-12348)/10000),IF(INT(MAX(0,C94))&lt;=69878,(173.1*((INT(MAX(0,C94))-17799)/10000)+2397)*((INT(MAX(0,C94))-17799)/10000)+1034.87,IF(INT(MAX(0,C94))&lt;=277825,0.42*INT(MAX(0,C94))-11135.63,0.45*INT(MAX(0,C94))-19470.38))))</f>
        <v>9225.663069164</v>
      </c>
      <c r="E94" s="70" t="n">
        <f aca="false">A94-B94-D94</f>
        <v>36971.336930836</v>
      </c>
      <c r="F94" s="104" t="n">
        <f aca="false">MAX(0,A94-B94-'Plan-Annahmen'!$B$88*12-'Plan-Annahmen'!$B$102)</f>
        <v>42561</v>
      </c>
      <c r="G94" s="70" t="n">
        <f aca="false">IF(INT(MAX(0,F94))&lt;=12348,0,IF(INT(MAX(0,F94))&lt;=17799,(914.51*((INT(MAX(0,F94))-12348)/10000)+1400)*((INT(MAX(0,F94))-12348)/10000),IF(INT(MAX(0,F94))&lt;=69878,(173.1*((INT(MAX(0,F94))-17799)/10000)+2397)*((INT(MAX(0,F94))-17799)/10000)+1034.87,IF(INT(MAX(0,F94))&lt;=277825,0.42*INT(MAX(0,F94))-11135.63,0.45*INT(MAX(0,F94))-19470.38))))</f>
        <v>8031.695550764</v>
      </c>
      <c r="H94" s="70" t="n">
        <f aca="false">A94-B94-G94-'Plan-Annahmen'!$B$88*12</f>
        <v>34565.304449236</v>
      </c>
    </row>
    <row r="95" customFormat="false" ht="15" hidden="false" customHeight="true" outlineLevel="0" collapsed="false">
      <c r="A95" s="106" t="n">
        <v>60000</v>
      </c>
      <c r="B95" s="104" t="n">
        <f aca="false">MIN(MAX(A95/12,'Plan-Annahmen'!$B$100),'Plan-Annahmen'!$B$101)*12*('Plan-Annahmen'!$B$97+'Plan-Annahmen'!$B$98+'Plan-Annahmen'!$B$99)</f>
        <v>13020</v>
      </c>
      <c r="C95" s="104" t="n">
        <f aca="false">MAX(0,A95-B95-'Plan-Annahmen'!$B$102)</f>
        <v>46944</v>
      </c>
      <c r="D95" s="70" t="n">
        <f aca="false">IF(INT(MAX(0,C95))&lt;=12348,0,IF(INT(MAX(0,C95))&lt;=17799,(914.51*((INT(MAX(0,C95))-12348)/10000)+1400)*((INT(MAX(0,C95))-12348)/10000),IF(INT(MAX(0,C95))&lt;=69878,(173.1*((INT(MAX(0,C95))-17799)/10000)+2397)*((INT(MAX(0,C95))-17799)/10000)+1034.87,IF(INT(MAX(0,C95))&lt;=277825,0.42*INT(MAX(0,C95))-11135.63,0.45*INT(MAX(0,C95))-19470.38))))</f>
        <v>9491.291604275</v>
      </c>
      <c r="E95" s="70" t="n">
        <f aca="false">A95-B95-D95</f>
        <v>37488.708395725</v>
      </c>
      <c r="F95" s="104" t="n">
        <f aca="false">MAX(0,A95-B95-'Plan-Annahmen'!$B$88*12-'Plan-Annahmen'!$B$102)</f>
        <v>43344</v>
      </c>
      <c r="G95" s="70" t="n">
        <f aca="false">IF(INT(MAX(0,F95))&lt;=12348,0,IF(INT(MAX(0,F95))&lt;=17799,(914.51*((INT(MAX(0,F95))-12348)/10000)+1400)*((INT(MAX(0,F95))-12348)/10000),IF(INT(MAX(0,F95))&lt;=69878,(173.1*((INT(MAX(0,F95))-17799)/10000)+2397)*((INT(MAX(0,F95))-17799)/10000)+1034.87,IF(INT(MAX(0,F95))&lt;=277825,0.42*INT(MAX(0,F95))-11135.63,0.45*INT(MAX(0,F95))-19470.38))))</f>
        <v>8287.565400275</v>
      </c>
      <c r="H95" s="70" t="n">
        <f aca="false">A95-B95-G95-'Plan-Annahmen'!$B$88*12</f>
        <v>35092.434599725</v>
      </c>
    </row>
    <row r="96" customFormat="false" ht="15" hidden="false" customHeight="true" outlineLevel="0" collapsed="false">
      <c r="A96" s="106" t="n">
        <v>61000</v>
      </c>
      <c r="B96" s="104" t="n">
        <f aca="false">MIN(MAX(A96/12,'Plan-Annahmen'!$B$100),'Plan-Annahmen'!$B$101)*12*('Plan-Annahmen'!$B$97+'Plan-Annahmen'!$B$98+'Plan-Annahmen'!$B$99)</f>
        <v>13237</v>
      </c>
      <c r="C96" s="104" t="n">
        <f aca="false">MAX(0,A96-B96-'Plan-Annahmen'!$B$102)</f>
        <v>47727</v>
      </c>
      <c r="D96" s="70" t="n">
        <f aca="false">IF(INT(MAX(0,C96))&lt;=12348,0,IF(INT(MAX(0,C96))&lt;=17799,(914.51*((INT(MAX(0,C96))-12348)/10000)+1400)*((INT(MAX(0,C96))-12348)/10000),IF(INT(MAX(0,C96))&lt;=69878,(173.1*((INT(MAX(0,C96))-17799)/10000)+2397)*((INT(MAX(0,C96))-17799)/10000)+1034.87,IF(INT(MAX(0,C96))&lt;=277825,0.42*INT(MAX(0,C96))-11135.63,0.45*INT(MAX(0,C96))-19470.38))))</f>
        <v>9759.042653504</v>
      </c>
      <c r="E96" s="70" t="n">
        <f aca="false">A96-B96-D96</f>
        <v>38003.957346496</v>
      </c>
      <c r="F96" s="104" t="n">
        <f aca="false">MAX(0,A96-B96-'Plan-Annahmen'!$B$88*12-'Plan-Annahmen'!$B$102)</f>
        <v>44127</v>
      </c>
      <c r="G96" s="70" t="n">
        <f aca="false">IF(INT(MAX(0,F96))&lt;=12348,0,IF(INT(MAX(0,F96))&lt;=17799,(914.51*((INT(MAX(0,F96))-12348)/10000)+1400)*((INT(MAX(0,F96))-12348)/10000),IF(INT(MAX(0,F96))&lt;=69878,(173.1*((INT(MAX(0,F96))-17799)/10000)+2397)*((INT(MAX(0,F96))-17799)/10000)+1034.87,IF(INT(MAX(0,F96))&lt;=277825,0.42*INT(MAX(0,F96))-11135.63,0.45*INT(MAX(0,F96))-19470.38))))</f>
        <v>8545.557763904</v>
      </c>
      <c r="H96" s="70" t="n">
        <f aca="false">A96-B96-G96-'Plan-Annahmen'!$B$88*12</f>
        <v>35617.442236096</v>
      </c>
    </row>
    <row r="97" customFormat="false" ht="15" hidden="false" customHeight="true" outlineLevel="0" collapsed="false">
      <c r="A97" s="106" t="n">
        <v>62000</v>
      </c>
      <c r="B97" s="104" t="n">
        <f aca="false">MIN(MAX(A97/12,'Plan-Annahmen'!$B$100),'Plan-Annahmen'!$B$101)*12*('Plan-Annahmen'!$B$97+'Plan-Annahmen'!$B$98+'Plan-Annahmen'!$B$99)</f>
        <v>13454</v>
      </c>
      <c r="C97" s="104" t="n">
        <f aca="false">MAX(0,A97-B97-'Plan-Annahmen'!$B$102)</f>
        <v>48510</v>
      </c>
      <c r="D97" s="70" t="n">
        <f aca="false">IF(INT(MAX(0,C97))&lt;=12348,0,IF(INT(MAX(0,C97))&lt;=17799,(914.51*((INT(MAX(0,C97))-12348)/10000)+1400)*((INT(MAX(0,C97))-12348)/10000),IF(INT(MAX(0,C97))&lt;=69878,(173.1*((INT(MAX(0,C97))-17799)/10000)+2397)*((INT(MAX(0,C97))-17799)/10000)+1034.87,IF(INT(MAX(0,C97))&lt;=277825,0.42*INT(MAX(0,C97))-11135.63,0.45*INT(MAX(0,C97))-19470.38))))</f>
        <v>10028.916216851</v>
      </c>
      <c r="E97" s="70" t="n">
        <f aca="false">A97-B97-D97</f>
        <v>38517.083783149</v>
      </c>
      <c r="F97" s="104" t="n">
        <f aca="false">MAX(0,A97-B97-'Plan-Annahmen'!$B$88*12-'Plan-Annahmen'!$B$102)</f>
        <v>44910</v>
      </c>
      <c r="G97" s="70" t="n">
        <f aca="false">IF(INT(MAX(0,F97))&lt;=12348,0,IF(INT(MAX(0,F97))&lt;=17799,(914.51*((INT(MAX(0,F97))-12348)/10000)+1400)*((INT(MAX(0,F97))-12348)/10000),IF(INT(MAX(0,F97))&lt;=69878,(173.1*((INT(MAX(0,F97))-17799)/10000)+2397)*((INT(MAX(0,F97))-17799)/10000)+1034.87,IF(INT(MAX(0,F97))&lt;=277825,0.42*INT(MAX(0,F97))-11135.63,0.45*INT(MAX(0,F97))-19470.38))))</f>
        <v>8805.672641651</v>
      </c>
      <c r="H97" s="70" t="n">
        <f aca="false">A97-B97-G97-'Plan-Annahmen'!$B$88*12</f>
        <v>36140.327358349</v>
      </c>
    </row>
    <row r="98" customFormat="false" ht="15" hidden="false" customHeight="true" outlineLevel="0" collapsed="false">
      <c r="A98" s="106" t="n">
        <v>63000</v>
      </c>
      <c r="B98" s="104" t="n">
        <f aca="false">MIN(MAX(A98/12,'Plan-Annahmen'!$B$100),'Plan-Annahmen'!$B$101)*12*('Plan-Annahmen'!$B$97+'Plan-Annahmen'!$B$98+'Plan-Annahmen'!$B$99)</f>
        <v>13671</v>
      </c>
      <c r="C98" s="104" t="n">
        <f aca="false">MAX(0,A98-B98-'Plan-Annahmen'!$B$102)</f>
        <v>49293</v>
      </c>
      <c r="D98" s="70" t="n">
        <f aca="false">IF(INT(MAX(0,C98))&lt;=12348,0,IF(INT(MAX(0,C98))&lt;=17799,(914.51*((INT(MAX(0,C98))-12348)/10000)+1400)*((INT(MAX(0,C98))-12348)/10000),IF(INT(MAX(0,C98))&lt;=69878,(173.1*((INT(MAX(0,C98))-17799)/10000)+2397)*((INT(MAX(0,C98))-17799)/10000)+1034.87,IF(INT(MAX(0,C98))&lt;=277825,0.42*INT(MAX(0,C98))-11135.63,0.45*INT(MAX(0,C98))-19470.38))))</f>
        <v>10300.912294316</v>
      </c>
      <c r="E98" s="70" t="n">
        <f aca="false">A98-B98-D98</f>
        <v>39028.087705684</v>
      </c>
      <c r="F98" s="104" t="n">
        <f aca="false">MAX(0,A98-B98-'Plan-Annahmen'!$B$88*12-'Plan-Annahmen'!$B$102)</f>
        <v>45693</v>
      </c>
      <c r="G98" s="70" t="n">
        <f aca="false">IF(INT(MAX(0,F98))&lt;=12348,0,IF(INT(MAX(0,F98))&lt;=17799,(914.51*((INT(MAX(0,F98))-12348)/10000)+1400)*((INT(MAX(0,F98))-12348)/10000),IF(INT(MAX(0,F98))&lt;=69878,(173.1*((INT(MAX(0,F98))-17799)/10000)+2397)*((INT(MAX(0,F98))-17799)/10000)+1034.87,IF(INT(MAX(0,F98))&lt;=277825,0.42*INT(MAX(0,F98))-11135.63,0.45*INT(MAX(0,F98))-19470.38))))</f>
        <v>9067.910033516</v>
      </c>
      <c r="H98" s="70" t="n">
        <f aca="false">A98-B98-G98-'Plan-Annahmen'!$B$88*12</f>
        <v>36661.089966484</v>
      </c>
    </row>
    <row r="99" customFormat="false" ht="15" hidden="false" customHeight="true" outlineLevel="0" collapsed="false">
      <c r="A99" s="106" t="n">
        <v>64000</v>
      </c>
      <c r="B99" s="104" t="n">
        <f aca="false">MIN(MAX(A99/12,'Plan-Annahmen'!$B$100),'Plan-Annahmen'!$B$101)*12*('Plan-Annahmen'!$B$97+'Plan-Annahmen'!$B$98+'Plan-Annahmen'!$B$99)</f>
        <v>13888</v>
      </c>
      <c r="C99" s="104" t="n">
        <f aca="false">MAX(0,A99-B99-'Plan-Annahmen'!$B$102)</f>
        <v>50076</v>
      </c>
      <c r="D99" s="70" t="n">
        <f aca="false">IF(INT(MAX(0,C99))&lt;=12348,0,IF(INT(MAX(0,C99))&lt;=17799,(914.51*((INT(MAX(0,C99))-12348)/10000)+1400)*((INT(MAX(0,C99))-12348)/10000),IF(INT(MAX(0,C99))&lt;=69878,(173.1*((INT(MAX(0,C99))-17799)/10000)+2397)*((INT(MAX(0,C99))-17799)/10000)+1034.87,IF(INT(MAX(0,C99))&lt;=277825,0.42*INT(MAX(0,C99))-11135.63,0.45*INT(MAX(0,C99))-19470.38))))</f>
        <v>10575.030885899</v>
      </c>
      <c r="E99" s="70" t="n">
        <f aca="false">A99-B99-D99</f>
        <v>39536.969114101</v>
      </c>
      <c r="F99" s="104" t="n">
        <f aca="false">MAX(0,A99-B99-'Plan-Annahmen'!$B$88*12-'Plan-Annahmen'!$B$102)</f>
        <v>46476</v>
      </c>
      <c r="G99" s="70" t="n">
        <f aca="false">IF(INT(MAX(0,F99))&lt;=12348,0,IF(INT(MAX(0,F99))&lt;=17799,(914.51*((INT(MAX(0,F99))-12348)/10000)+1400)*((INT(MAX(0,F99))-12348)/10000),IF(INT(MAX(0,F99))&lt;=69878,(173.1*((INT(MAX(0,F99))-17799)/10000)+2397)*((INT(MAX(0,F99))-17799)/10000)+1034.87,IF(INT(MAX(0,F99))&lt;=277825,0.42*INT(MAX(0,F99))-11135.63,0.45*INT(MAX(0,F99))-19470.38))))</f>
        <v>9332.269939499</v>
      </c>
      <c r="H99" s="70" t="n">
        <f aca="false">A99-B99-G99-'Plan-Annahmen'!$B$88*12</f>
        <v>37179.730060501</v>
      </c>
    </row>
    <row r="100" customFormat="false" ht="15" hidden="false" customHeight="true" outlineLevel="0" collapsed="false">
      <c r="A100" s="106" t="n">
        <v>65000</v>
      </c>
      <c r="B100" s="104" t="n">
        <f aca="false">MIN(MAX(A100/12,'Plan-Annahmen'!$B$100),'Plan-Annahmen'!$B$101)*12*('Plan-Annahmen'!$B$97+'Plan-Annahmen'!$B$98+'Plan-Annahmen'!$B$99)</f>
        <v>14105</v>
      </c>
      <c r="C100" s="104" t="n">
        <f aca="false">MAX(0,A100-B100-'Plan-Annahmen'!$B$102)</f>
        <v>50859</v>
      </c>
      <c r="D100" s="70" t="n">
        <f aca="false">IF(INT(MAX(0,C100))&lt;=12348,0,IF(INT(MAX(0,C100))&lt;=17799,(914.51*((INT(MAX(0,C100))-12348)/10000)+1400)*((INT(MAX(0,C100))-12348)/10000),IF(INT(MAX(0,C100))&lt;=69878,(173.1*((INT(MAX(0,C100))-17799)/10000)+2397)*((INT(MAX(0,C100))-17799)/10000)+1034.87,IF(INT(MAX(0,C100))&lt;=277825,0.42*INT(MAX(0,C100))-11135.63,0.45*INT(MAX(0,C100))-19470.38))))</f>
        <v>10851.2719916</v>
      </c>
      <c r="E100" s="70" t="n">
        <f aca="false">A100-B100-D100</f>
        <v>40043.7280084</v>
      </c>
      <c r="F100" s="104" t="n">
        <f aca="false">MAX(0,A100-B100-'Plan-Annahmen'!$B$88*12-'Plan-Annahmen'!$B$102)</f>
        <v>47259</v>
      </c>
      <c r="G100" s="70" t="n">
        <f aca="false">IF(INT(MAX(0,F100))&lt;=12348,0,IF(INT(MAX(0,F100))&lt;=17799,(914.51*((INT(MAX(0,F100))-12348)/10000)+1400)*((INT(MAX(0,F100))-12348)/10000),IF(INT(MAX(0,F100))&lt;=69878,(173.1*((INT(MAX(0,F100))-17799)/10000)+2397)*((INT(MAX(0,F100))-17799)/10000)+1034.87,IF(INT(MAX(0,F100))&lt;=277825,0.42*INT(MAX(0,F100))-11135.63,0.45*INT(MAX(0,F100))-19470.38))))</f>
        <v>9598.7523596</v>
      </c>
      <c r="H100" s="70" t="n">
        <f aca="false">A100-B100-G100-'Plan-Annahmen'!$B$88*12</f>
        <v>37696.2476404</v>
      </c>
    </row>
    <row r="101" customFormat="false" ht="15" hidden="false" customHeight="true" outlineLevel="0" collapsed="false">
      <c r="A101" s="106" t="n">
        <v>66000</v>
      </c>
      <c r="B101" s="104" t="n">
        <f aca="false">MIN(MAX(A101/12,'Plan-Annahmen'!$B$100),'Plan-Annahmen'!$B$101)*12*('Plan-Annahmen'!$B$97+'Plan-Annahmen'!$B$98+'Plan-Annahmen'!$B$99)</f>
        <v>14322</v>
      </c>
      <c r="C101" s="104" t="n">
        <f aca="false">MAX(0,A101-B101-'Plan-Annahmen'!$B$102)</f>
        <v>51642</v>
      </c>
      <c r="D101" s="70" t="n">
        <f aca="false">IF(INT(MAX(0,C101))&lt;=12348,0,IF(INT(MAX(0,C101))&lt;=17799,(914.51*((INT(MAX(0,C101))-12348)/10000)+1400)*((INT(MAX(0,C101))-12348)/10000),IF(INT(MAX(0,C101))&lt;=69878,(173.1*((INT(MAX(0,C101))-17799)/10000)+2397)*((INT(MAX(0,C101))-17799)/10000)+1034.87,IF(INT(MAX(0,C101))&lt;=277825,0.42*INT(MAX(0,C101))-11135.63,0.45*INT(MAX(0,C101))-19470.38))))</f>
        <v>11129.635611419</v>
      </c>
      <c r="E101" s="70" t="n">
        <f aca="false">A101-B101-D101</f>
        <v>40548.364388581</v>
      </c>
      <c r="F101" s="104" t="n">
        <f aca="false">MAX(0,A101-B101-'Plan-Annahmen'!$B$88*12-'Plan-Annahmen'!$B$102)</f>
        <v>48042</v>
      </c>
      <c r="G101" s="70" t="n">
        <f aca="false">IF(INT(MAX(0,F101))&lt;=12348,0,IF(INT(MAX(0,F101))&lt;=17799,(914.51*((INT(MAX(0,F101))-12348)/10000)+1400)*((INT(MAX(0,F101))-12348)/10000),IF(INT(MAX(0,F101))&lt;=69878,(173.1*((INT(MAX(0,F101))-17799)/10000)+2397)*((INT(MAX(0,F101))-17799)/10000)+1034.87,IF(INT(MAX(0,F101))&lt;=277825,0.42*INT(MAX(0,F101))-11135.63,0.45*INT(MAX(0,F101))-19470.38))))</f>
        <v>9867.357293819</v>
      </c>
      <c r="H101" s="70" t="n">
        <f aca="false">A101-B101-G101-'Plan-Annahmen'!$B$88*12</f>
        <v>38210.642706181</v>
      </c>
    </row>
    <row r="102" customFormat="false" ht="15" hidden="false" customHeight="true" outlineLevel="0" collapsed="false">
      <c r="A102" s="106" t="n">
        <v>67000</v>
      </c>
      <c r="B102" s="104" t="n">
        <f aca="false">MIN(MAX(A102/12,'Plan-Annahmen'!$B$100),'Plan-Annahmen'!$B$101)*12*('Plan-Annahmen'!$B$97+'Plan-Annahmen'!$B$98+'Plan-Annahmen'!$B$99)</f>
        <v>14539</v>
      </c>
      <c r="C102" s="104" t="n">
        <f aca="false">MAX(0,A102-B102-'Plan-Annahmen'!$B$102)</f>
        <v>52425</v>
      </c>
      <c r="D102" s="70" t="n">
        <f aca="false">IF(INT(MAX(0,C102))&lt;=12348,0,IF(INT(MAX(0,C102))&lt;=17799,(914.51*((INT(MAX(0,C102))-12348)/10000)+1400)*((INT(MAX(0,C102))-12348)/10000),IF(INT(MAX(0,C102))&lt;=69878,(173.1*((INT(MAX(0,C102))-17799)/10000)+2397)*((INT(MAX(0,C102))-17799)/10000)+1034.87,IF(INT(MAX(0,C102))&lt;=277825,0.42*INT(MAX(0,C102))-11135.63,0.45*INT(MAX(0,C102))-19470.38))))</f>
        <v>11410.121745356</v>
      </c>
      <c r="E102" s="70" t="n">
        <f aca="false">A102-B102-D102</f>
        <v>41050.878254644</v>
      </c>
      <c r="F102" s="104" t="n">
        <f aca="false">MAX(0,A102-B102-'Plan-Annahmen'!$B$88*12-'Plan-Annahmen'!$B$102)</f>
        <v>48825</v>
      </c>
      <c r="G102" s="70" t="n">
        <f aca="false">IF(INT(MAX(0,F102))&lt;=12348,0,IF(INT(MAX(0,F102))&lt;=17799,(914.51*((INT(MAX(0,F102))-12348)/10000)+1400)*((INT(MAX(0,F102))-12348)/10000),IF(INT(MAX(0,F102))&lt;=69878,(173.1*((INT(MAX(0,F102))-17799)/10000)+2397)*((INT(MAX(0,F102))-17799)/10000)+1034.87,IF(INT(MAX(0,F102))&lt;=277825,0.42*INT(MAX(0,F102))-11135.63,0.45*INT(MAX(0,F102))-19470.38))))</f>
        <v>10138.084742156</v>
      </c>
      <c r="H102" s="70" t="n">
        <f aca="false">A102-B102-G102-'Plan-Annahmen'!$B$88*12</f>
        <v>38722.915257844</v>
      </c>
    </row>
    <row r="103" customFormat="false" ht="15" hidden="false" customHeight="true" outlineLevel="0" collapsed="false">
      <c r="A103" s="106" t="n">
        <v>68000</v>
      </c>
      <c r="B103" s="104" t="n">
        <f aca="false">MIN(MAX(A103/12,'Plan-Annahmen'!$B$100),'Plan-Annahmen'!$B$101)*12*('Plan-Annahmen'!$B$97+'Plan-Annahmen'!$B$98+'Plan-Annahmen'!$B$99)</f>
        <v>14756</v>
      </c>
      <c r="C103" s="104" t="n">
        <f aca="false">MAX(0,A103-B103-'Plan-Annahmen'!$B$102)</f>
        <v>53208</v>
      </c>
      <c r="D103" s="70" t="n">
        <f aca="false">IF(INT(MAX(0,C103))&lt;=12348,0,IF(INT(MAX(0,C103))&lt;=17799,(914.51*((INT(MAX(0,C103))-12348)/10000)+1400)*((INT(MAX(0,C103))-12348)/10000),IF(INT(MAX(0,C103))&lt;=69878,(173.1*((INT(MAX(0,C103))-17799)/10000)+2397)*((INT(MAX(0,C103))-17799)/10000)+1034.87,IF(INT(MAX(0,C103))&lt;=277825,0.42*INT(MAX(0,C103))-11135.63,0.45*INT(MAX(0,C103))-19470.38))))</f>
        <v>11692.730393411</v>
      </c>
      <c r="E103" s="70" t="n">
        <f aca="false">A103-B103-D103</f>
        <v>41551.269606589</v>
      </c>
      <c r="F103" s="104" t="n">
        <f aca="false">MAX(0,A103-B103-'Plan-Annahmen'!$B$88*12-'Plan-Annahmen'!$B$102)</f>
        <v>49608</v>
      </c>
      <c r="G103" s="70" t="n">
        <f aca="false">IF(INT(MAX(0,F103))&lt;=12348,0,IF(INT(MAX(0,F103))&lt;=17799,(914.51*((INT(MAX(0,F103))-12348)/10000)+1400)*((INT(MAX(0,F103))-12348)/10000),IF(INT(MAX(0,F103))&lt;=69878,(173.1*((INT(MAX(0,F103))-17799)/10000)+2397)*((INT(MAX(0,F103))-17799)/10000)+1034.87,IF(INT(MAX(0,F103))&lt;=277825,0.42*INT(MAX(0,F103))-11135.63,0.45*INT(MAX(0,F103))-19470.38))))</f>
        <v>10410.934704611</v>
      </c>
      <c r="H103" s="70" t="n">
        <f aca="false">A103-B103-G103-'Plan-Annahmen'!$B$88*12</f>
        <v>39233.065295389</v>
      </c>
    </row>
    <row r="104" customFormat="false" ht="15" hidden="false" customHeight="true" outlineLevel="0" collapsed="false">
      <c r="A104" s="106" t="n">
        <v>69000</v>
      </c>
      <c r="B104" s="104" t="n">
        <f aca="false">MIN(MAX(A104/12,'Plan-Annahmen'!$B$100),'Plan-Annahmen'!$B$101)*12*('Plan-Annahmen'!$B$97+'Plan-Annahmen'!$B$98+'Plan-Annahmen'!$B$99)</f>
        <v>14973</v>
      </c>
      <c r="C104" s="104" t="n">
        <f aca="false">MAX(0,A104-B104-'Plan-Annahmen'!$B$102)</f>
        <v>53991</v>
      </c>
      <c r="D104" s="70" t="n">
        <f aca="false">IF(INT(MAX(0,C104))&lt;=12348,0,IF(INT(MAX(0,C104))&lt;=17799,(914.51*((INT(MAX(0,C104))-12348)/10000)+1400)*((INT(MAX(0,C104))-12348)/10000),IF(INT(MAX(0,C104))&lt;=69878,(173.1*((INT(MAX(0,C104))-17799)/10000)+2397)*((INT(MAX(0,C104))-17799)/10000)+1034.87,IF(INT(MAX(0,C104))&lt;=277825,0.42*INT(MAX(0,C104))-11135.63,0.45*INT(MAX(0,C104))-19470.38))))</f>
        <v>11977.461555584</v>
      </c>
      <c r="E104" s="70" t="n">
        <f aca="false">A104-B104-D104</f>
        <v>42049.538444416</v>
      </c>
      <c r="F104" s="104" t="n">
        <f aca="false">MAX(0,A104-B104-'Plan-Annahmen'!$B$88*12-'Plan-Annahmen'!$B$102)</f>
        <v>50391</v>
      </c>
      <c r="G104" s="70" t="n">
        <f aca="false">IF(INT(MAX(0,F104))&lt;=12348,0,IF(INT(MAX(0,F104))&lt;=17799,(914.51*((INT(MAX(0,F104))-12348)/10000)+1400)*((INT(MAX(0,F104))-12348)/10000),IF(INT(MAX(0,F104))&lt;=69878,(173.1*((INT(MAX(0,F104))-17799)/10000)+2397)*((INT(MAX(0,F104))-17799)/10000)+1034.87,IF(INT(MAX(0,F104))&lt;=277825,0.42*INT(MAX(0,F104))-11135.63,0.45*INT(MAX(0,F104))-19470.38))))</f>
        <v>10685.907181184</v>
      </c>
      <c r="H104" s="70" t="n">
        <f aca="false">A104-B104-G104-'Plan-Annahmen'!$B$88*12</f>
        <v>39741.092818816</v>
      </c>
    </row>
    <row r="105" customFormat="false" ht="15" hidden="false" customHeight="true" outlineLevel="0" collapsed="false">
      <c r="A105" s="106" t="n">
        <v>70000</v>
      </c>
      <c r="B105" s="104" t="n">
        <f aca="false">MIN(MAX(A105/12,'Plan-Annahmen'!$B$100),'Plan-Annahmen'!$B$101)*12*('Plan-Annahmen'!$B$97+'Plan-Annahmen'!$B$98+'Plan-Annahmen'!$B$99)</f>
        <v>15135.75</v>
      </c>
      <c r="C105" s="104" t="n">
        <f aca="false">MAX(0,A105-B105-'Plan-Annahmen'!$B$102)</f>
        <v>54828.25</v>
      </c>
      <c r="D105" s="70" t="n">
        <f aca="false">IF(INT(MAX(0,C105))&lt;=12348,0,IF(INT(MAX(0,C105))&lt;=17799,(914.51*((INT(MAX(0,C105))-12348)/10000)+1400)*((INT(MAX(0,C105))-12348)/10000),IF(INT(MAX(0,C105))&lt;=69878,(173.1*((INT(MAX(0,C105))-17799)/10000)+2397)*((INT(MAX(0,C105))-17799)/10000)+1034.87,IF(INT(MAX(0,C105))&lt;=277825,0.42*INT(MAX(0,C105))-11135.63,0.45*INT(MAX(0,C105))-19470.38))))</f>
        <v>12284.176481771</v>
      </c>
      <c r="E105" s="70" t="n">
        <f aca="false">A105-B105-D105</f>
        <v>42580.073518229</v>
      </c>
      <c r="F105" s="104" t="n">
        <f aca="false">MAX(0,A105-B105-'Plan-Annahmen'!$B$88*12-'Plan-Annahmen'!$B$102)</f>
        <v>51228.25</v>
      </c>
      <c r="G105" s="70" t="n">
        <f aca="false">IF(INT(MAX(0,F105))&lt;=12348,0,IF(INT(MAX(0,F105))&lt;=17799,(914.51*((INT(MAX(0,F105))-12348)/10000)+1400)*((INT(MAX(0,F105))-12348)/10000),IF(INT(MAX(0,F105))&lt;=69878,(173.1*((INT(MAX(0,F105))-17799)/10000)+2397)*((INT(MAX(0,F105))-17799)/10000)+1034.87,IF(INT(MAX(0,F105))&lt;=277825,0.42*INT(MAX(0,F105))-11135.63,0.45*INT(MAX(0,F105))-19470.38))))</f>
        <v>10982.190408971</v>
      </c>
      <c r="H105" s="70" t="n">
        <f aca="false">A105-B105-G105-'Plan-Annahmen'!$B$88*12</f>
        <v>40282.059591029</v>
      </c>
    </row>
    <row r="106" customFormat="false" ht="15" hidden="false" customHeight="true" outlineLevel="0" collapsed="false">
      <c r="A106" s="106" t="n">
        <v>71000</v>
      </c>
      <c r="B106" s="104" t="n">
        <f aca="false">MIN(MAX(A106/12,'Plan-Annahmen'!$B$100),'Plan-Annahmen'!$B$101)*12*('Plan-Annahmen'!$B$97+'Plan-Annahmen'!$B$98+'Plan-Annahmen'!$B$99)</f>
        <v>15135.75</v>
      </c>
      <c r="C106" s="104" t="n">
        <f aca="false">MAX(0,A106-B106-'Plan-Annahmen'!$B$102)</f>
        <v>55828.25</v>
      </c>
      <c r="D106" s="70" t="n">
        <f aca="false">IF(INT(MAX(0,C106))&lt;=12348,0,IF(INT(MAX(0,C106))&lt;=17799,(914.51*((INT(MAX(0,C106))-12348)/10000)+1400)*((INT(MAX(0,C106))-12348)/10000),IF(INT(MAX(0,C106))&lt;=69878,(173.1*((INT(MAX(0,C106))-17799)/10000)+2397)*((INT(MAX(0,C106))-17799)/10000)+1034.87,IF(INT(MAX(0,C106))&lt;=277825,0.42*INT(MAX(0,C106))-11135.63,0.45*INT(MAX(0,C106))-19470.38))))</f>
        <v>12653.801879771</v>
      </c>
      <c r="E106" s="70" t="n">
        <f aca="false">A106-B106-D106</f>
        <v>43210.448120229</v>
      </c>
      <c r="F106" s="104" t="n">
        <f aca="false">MAX(0,A106-B106-'Plan-Annahmen'!$B$88*12-'Plan-Annahmen'!$B$102)</f>
        <v>52228.25</v>
      </c>
      <c r="G106" s="70" t="n">
        <f aca="false">IF(INT(MAX(0,F106))&lt;=12348,0,IF(INT(MAX(0,F106))&lt;=17799,(914.51*((INT(MAX(0,F106))-12348)/10000)+1400)*((INT(MAX(0,F106))-12348)/10000),IF(INT(MAX(0,F106))&lt;=69878,(173.1*((INT(MAX(0,F106))-17799)/10000)+2397)*((INT(MAX(0,F106))-17799)/10000)+1034.87,IF(INT(MAX(0,F106))&lt;=277825,0.42*INT(MAX(0,F106))-11135.63,0.45*INT(MAX(0,F106))-19470.38))))</f>
        <v>11339.352606971</v>
      </c>
      <c r="H106" s="70" t="n">
        <f aca="false">A106-B106-G106-'Plan-Annahmen'!$B$88*12</f>
        <v>40924.897393029</v>
      </c>
    </row>
    <row r="107" customFormat="false" ht="15" hidden="false" customHeight="true" outlineLevel="0" collapsed="false">
      <c r="A107" s="106" t="n">
        <v>72000</v>
      </c>
      <c r="B107" s="104" t="n">
        <f aca="false">MIN(MAX(A107/12,'Plan-Annahmen'!$B$100),'Plan-Annahmen'!$B$101)*12*('Plan-Annahmen'!$B$97+'Plan-Annahmen'!$B$98+'Plan-Annahmen'!$B$99)</f>
        <v>15135.75</v>
      </c>
      <c r="C107" s="104" t="n">
        <f aca="false">MAX(0,A107-B107-'Plan-Annahmen'!$B$102)</f>
        <v>56828.25</v>
      </c>
      <c r="D107" s="70" t="n">
        <f aca="false">IF(INT(MAX(0,C107))&lt;=12348,0,IF(INT(MAX(0,C107))&lt;=17799,(914.51*((INT(MAX(0,C107))-12348)/10000)+1400)*((INT(MAX(0,C107))-12348)/10000),IF(INT(MAX(0,C107))&lt;=69878,(173.1*((INT(MAX(0,C107))-17799)/10000)+2397)*((INT(MAX(0,C107))-17799)/10000)+1034.87,IF(INT(MAX(0,C107))&lt;=277825,0.42*INT(MAX(0,C107))-11135.63,0.45*INT(MAX(0,C107))-19470.38))))</f>
        <v>13026.889277771</v>
      </c>
      <c r="E107" s="70" t="n">
        <f aca="false">A107-B107-D107</f>
        <v>43837.360722229</v>
      </c>
      <c r="F107" s="104" t="n">
        <f aca="false">MAX(0,A107-B107-'Plan-Annahmen'!$B$88*12-'Plan-Annahmen'!$B$102)</f>
        <v>53228.25</v>
      </c>
      <c r="G107" s="70" t="n">
        <f aca="false">IF(INT(MAX(0,F107))&lt;=12348,0,IF(INT(MAX(0,F107))&lt;=17799,(914.51*((INT(MAX(0,F107))-12348)/10000)+1400)*((INT(MAX(0,F107))-12348)/10000),IF(INT(MAX(0,F107))&lt;=69878,(173.1*((INT(MAX(0,F107))-17799)/10000)+2397)*((INT(MAX(0,F107))-17799)/10000)+1034.87,IF(INT(MAX(0,F107))&lt;=277825,0.42*INT(MAX(0,F107))-11135.63,0.45*INT(MAX(0,F107))-19470.38))))</f>
        <v>11699.976804971</v>
      </c>
      <c r="H107" s="70" t="n">
        <f aca="false">A107-B107-G107-'Plan-Annahmen'!$B$88*12</f>
        <v>41564.273195029</v>
      </c>
    </row>
    <row r="108" customFormat="false" ht="15" hidden="false" customHeight="true" outlineLevel="0" collapsed="false">
      <c r="A108" s="106" t="n">
        <v>73000</v>
      </c>
      <c r="B108" s="104" t="n">
        <f aca="false">MIN(MAX(A108/12,'Plan-Annahmen'!$B$100),'Plan-Annahmen'!$B$101)*12*('Plan-Annahmen'!$B$97+'Plan-Annahmen'!$B$98+'Plan-Annahmen'!$B$99)</f>
        <v>15135.75</v>
      </c>
      <c r="C108" s="104" t="n">
        <f aca="false">MAX(0,A108-B108-'Plan-Annahmen'!$B$102)</f>
        <v>57828.25</v>
      </c>
      <c r="D108" s="70" t="n">
        <f aca="false">IF(INT(MAX(0,C108))&lt;=12348,0,IF(INT(MAX(0,C108))&lt;=17799,(914.51*((INT(MAX(0,C108))-12348)/10000)+1400)*((INT(MAX(0,C108))-12348)/10000),IF(INT(MAX(0,C108))&lt;=69878,(173.1*((INT(MAX(0,C108))-17799)/10000)+2397)*((INT(MAX(0,C108))-17799)/10000)+1034.87,IF(INT(MAX(0,C108))&lt;=277825,0.42*INT(MAX(0,C108))-11135.63,0.45*INT(MAX(0,C108))-19470.38))))</f>
        <v>13403.438675771</v>
      </c>
      <c r="E108" s="70" t="n">
        <f aca="false">A108-B108-D108</f>
        <v>44460.811324229</v>
      </c>
      <c r="F108" s="104" t="n">
        <f aca="false">MAX(0,A108-B108-'Plan-Annahmen'!$B$88*12-'Plan-Annahmen'!$B$102)</f>
        <v>54228.25</v>
      </c>
      <c r="G108" s="70" t="n">
        <f aca="false">IF(INT(MAX(0,F108))&lt;=12348,0,IF(INT(MAX(0,F108))&lt;=17799,(914.51*((INT(MAX(0,F108))-12348)/10000)+1400)*((INT(MAX(0,F108))-12348)/10000),IF(INT(MAX(0,F108))&lt;=69878,(173.1*((INT(MAX(0,F108))-17799)/10000)+2397)*((INT(MAX(0,F108))-17799)/10000)+1034.87,IF(INT(MAX(0,F108))&lt;=277825,0.42*INT(MAX(0,F108))-11135.63,0.45*INT(MAX(0,F108))-19470.38))))</f>
        <v>12064.063002971</v>
      </c>
      <c r="H108" s="70" t="n">
        <f aca="false">A108-B108-G108-'Plan-Annahmen'!$B$88*12</f>
        <v>42200.186997029</v>
      </c>
    </row>
    <row r="109" customFormat="false" ht="15" hidden="false" customHeight="true" outlineLevel="0" collapsed="false">
      <c r="A109" s="106" t="n">
        <v>74000</v>
      </c>
      <c r="B109" s="104" t="n">
        <f aca="false">MIN(MAX(A109/12,'Plan-Annahmen'!$B$100),'Plan-Annahmen'!$B$101)*12*('Plan-Annahmen'!$B$97+'Plan-Annahmen'!$B$98+'Plan-Annahmen'!$B$99)</f>
        <v>15135.75</v>
      </c>
      <c r="C109" s="104" t="n">
        <f aca="false">MAX(0,A109-B109-'Plan-Annahmen'!$B$102)</f>
        <v>58828.25</v>
      </c>
      <c r="D109" s="70" t="n">
        <f aca="false">IF(INT(MAX(0,C109))&lt;=12348,0,IF(INT(MAX(0,C109))&lt;=17799,(914.51*((INT(MAX(0,C109))-12348)/10000)+1400)*((INT(MAX(0,C109))-12348)/10000),IF(INT(MAX(0,C109))&lt;=69878,(173.1*((INT(MAX(0,C109))-17799)/10000)+2397)*((INT(MAX(0,C109))-17799)/10000)+1034.87,IF(INT(MAX(0,C109))&lt;=277825,0.42*INT(MAX(0,C109))-11135.63,0.45*INT(MAX(0,C109))-19470.38))))</f>
        <v>13783.450073771</v>
      </c>
      <c r="E109" s="70" t="n">
        <f aca="false">A109-B109-D109</f>
        <v>45080.799926229</v>
      </c>
      <c r="F109" s="104" t="n">
        <f aca="false">MAX(0,A109-B109-'Plan-Annahmen'!$B$88*12-'Plan-Annahmen'!$B$102)</f>
        <v>55228.25</v>
      </c>
      <c r="G109" s="70" t="n">
        <f aca="false">IF(INT(MAX(0,F109))&lt;=12348,0,IF(INT(MAX(0,F109))&lt;=17799,(914.51*((INT(MAX(0,F109))-12348)/10000)+1400)*((INT(MAX(0,F109))-12348)/10000),IF(INT(MAX(0,F109))&lt;=69878,(173.1*((INT(MAX(0,F109))-17799)/10000)+2397)*((INT(MAX(0,F109))-17799)/10000)+1034.87,IF(INT(MAX(0,F109))&lt;=277825,0.42*INT(MAX(0,F109))-11135.63,0.45*INT(MAX(0,F109))-19470.38))))</f>
        <v>12431.611200971</v>
      </c>
      <c r="H109" s="70" t="n">
        <f aca="false">A109-B109-G109-'Plan-Annahmen'!$B$88*12</f>
        <v>42832.638799029</v>
      </c>
    </row>
    <row r="110" customFormat="false" ht="15" hidden="false" customHeight="true" outlineLevel="0" collapsed="false">
      <c r="A110" s="106" t="n">
        <v>75000</v>
      </c>
      <c r="B110" s="104" t="n">
        <f aca="false">MIN(MAX(A110/12,'Plan-Annahmen'!$B$100),'Plan-Annahmen'!$B$101)*12*('Plan-Annahmen'!$B$97+'Plan-Annahmen'!$B$98+'Plan-Annahmen'!$B$99)</f>
        <v>15135.75</v>
      </c>
      <c r="C110" s="104" t="n">
        <f aca="false">MAX(0,A110-B110-'Plan-Annahmen'!$B$102)</f>
        <v>59828.25</v>
      </c>
      <c r="D110" s="70" t="n">
        <f aca="false">IF(INT(MAX(0,C110))&lt;=12348,0,IF(INT(MAX(0,C110))&lt;=17799,(914.51*((INT(MAX(0,C110))-12348)/10000)+1400)*((INT(MAX(0,C110))-12348)/10000),IF(INT(MAX(0,C110))&lt;=69878,(173.1*((INT(MAX(0,C110))-17799)/10000)+2397)*((INT(MAX(0,C110))-17799)/10000)+1034.87,IF(INT(MAX(0,C110))&lt;=277825,0.42*INT(MAX(0,C110))-11135.63,0.45*INT(MAX(0,C110))-19470.38))))</f>
        <v>14166.923471771</v>
      </c>
      <c r="E110" s="70" t="n">
        <f aca="false">A110-B110-D110</f>
        <v>45697.326528229</v>
      </c>
      <c r="F110" s="104" t="n">
        <f aca="false">MAX(0,A110-B110-'Plan-Annahmen'!$B$88*12-'Plan-Annahmen'!$B$102)</f>
        <v>56228.25</v>
      </c>
      <c r="G110" s="70" t="n">
        <f aca="false">IF(INT(MAX(0,F110))&lt;=12348,0,IF(INT(MAX(0,F110))&lt;=17799,(914.51*((INT(MAX(0,F110))-12348)/10000)+1400)*((INT(MAX(0,F110))-12348)/10000),IF(INT(MAX(0,F110))&lt;=69878,(173.1*((INT(MAX(0,F110))-17799)/10000)+2397)*((INT(MAX(0,F110))-17799)/10000)+1034.87,IF(INT(MAX(0,F110))&lt;=277825,0.42*INT(MAX(0,F110))-11135.63,0.45*INT(MAX(0,F110))-19470.38))))</f>
        <v>12802.621398971</v>
      </c>
      <c r="H110" s="70" t="n">
        <f aca="false">A110-B110-G110-'Plan-Annahmen'!$B$88*12</f>
        <v>43461.628601029</v>
      </c>
    </row>
    <row r="111" customFormat="false" ht="15" hidden="false" customHeight="true" outlineLevel="0" collapsed="false">
      <c r="A111" s="106" t="n">
        <v>76000</v>
      </c>
      <c r="B111" s="104" t="n">
        <f aca="false">MIN(MAX(A111/12,'Plan-Annahmen'!$B$100),'Plan-Annahmen'!$B$101)*12*('Plan-Annahmen'!$B$97+'Plan-Annahmen'!$B$98+'Plan-Annahmen'!$B$99)</f>
        <v>15135.75</v>
      </c>
      <c r="C111" s="104" t="n">
        <f aca="false">MAX(0,A111-B111-'Plan-Annahmen'!$B$102)</f>
        <v>60828.25</v>
      </c>
      <c r="D111" s="70" t="n">
        <f aca="false">IF(INT(MAX(0,C111))&lt;=12348,0,IF(INT(MAX(0,C111))&lt;=17799,(914.51*((INT(MAX(0,C111))-12348)/10000)+1400)*((INT(MAX(0,C111))-12348)/10000),IF(INT(MAX(0,C111))&lt;=69878,(173.1*((INT(MAX(0,C111))-17799)/10000)+2397)*((INT(MAX(0,C111))-17799)/10000)+1034.87,IF(INT(MAX(0,C111))&lt;=277825,0.42*INT(MAX(0,C111))-11135.63,0.45*INT(MAX(0,C111))-19470.38))))</f>
        <v>14553.858869771</v>
      </c>
      <c r="E111" s="70" t="n">
        <f aca="false">A111-B111-D111</f>
        <v>46310.391130229</v>
      </c>
      <c r="F111" s="104" t="n">
        <f aca="false">MAX(0,A111-B111-'Plan-Annahmen'!$B$88*12-'Plan-Annahmen'!$B$102)</f>
        <v>57228.25</v>
      </c>
      <c r="G111" s="70" t="n">
        <f aca="false">IF(INT(MAX(0,F111))&lt;=12348,0,IF(INT(MAX(0,F111))&lt;=17799,(914.51*((INT(MAX(0,F111))-12348)/10000)+1400)*((INT(MAX(0,F111))-12348)/10000),IF(INT(MAX(0,F111))&lt;=69878,(173.1*((INT(MAX(0,F111))-17799)/10000)+2397)*((INT(MAX(0,F111))-17799)/10000)+1034.87,IF(INT(MAX(0,F111))&lt;=277825,0.42*INT(MAX(0,F111))-11135.63,0.45*INT(MAX(0,F111))-19470.38))))</f>
        <v>13177.093596971</v>
      </c>
      <c r="H111" s="70" t="n">
        <f aca="false">A111-B111-G111-'Plan-Annahmen'!$B$88*12</f>
        <v>44087.156403029</v>
      </c>
    </row>
    <row r="112" customFormat="false" ht="15" hidden="false" customHeight="true" outlineLevel="0" collapsed="false">
      <c r="A112" s="106" t="n">
        <v>77000</v>
      </c>
      <c r="B112" s="104" t="n">
        <f aca="false">MIN(MAX(A112/12,'Plan-Annahmen'!$B$100),'Plan-Annahmen'!$B$101)*12*('Plan-Annahmen'!$B$97+'Plan-Annahmen'!$B$98+'Plan-Annahmen'!$B$99)</f>
        <v>15135.75</v>
      </c>
      <c r="C112" s="104" t="n">
        <f aca="false">MAX(0,A112-B112-'Plan-Annahmen'!$B$102)</f>
        <v>61828.25</v>
      </c>
      <c r="D112" s="70" t="n">
        <f aca="false">IF(INT(MAX(0,C112))&lt;=12348,0,IF(INT(MAX(0,C112))&lt;=17799,(914.51*((INT(MAX(0,C112))-12348)/10000)+1400)*((INT(MAX(0,C112))-12348)/10000),IF(INT(MAX(0,C112))&lt;=69878,(173.1*((INT(MAX(0,C112))-17799)/10000)+2397)*((INT(MAX(0,C112))-17799)/10000)+1034.87,IF(INT(MAX(0,C112))&lt;=277825,0.42*INT(MAX(0,C112))-11135.63,0.45*INT(MAX(0,C112))-19470.38))))</f>
        <v>14944.256267771</v>
      </c>
      <c r="E112" s="70" t="n">
        <f aca="false">A112-B112-D112</f>
        <v>46919.993732229</v>
      </c>
      <c r="F112" s="104" t="n">
        <f aca="false">MAX(0,A112-B112-'Plan-Annahmen'!$B$88*12-'Plan-Annahmen'!$B$102)</f>
        <v>58228.25</v>
      </c>
      <c r="G112" s="70" t="n">
        <f aca="false">IF(INT(MAX(0,F112))&lt;=12348,0,IF(INT(MAX(0,F112))&lt;=17799,(914.51*((INT(MAX(0,F112))-12348)/10000)+1400)*((INT(MAX(0,F112))-12348)/10000),IF(INT(MAX(0,F112))&lt;=69878,(173.1*((INT(MAX(0,F112))-17799)/10000)+2397)*((INT(MAX(0,F112))-17799)/10000)+1034.87,IF(INT(MAX(0,F112))&lt;=277825,0.42*INT(MAX(0,F112))-11135.63,0.45*INT(MAX(0,F112))-19470.38))))</f>
        <v>13555.027794971</v>
      </c>
      <c r="H112" s="70" t="n">
        <f aca="false">A112-B112-G112-'Plan-Annahmen'!$B$88*12</f>
        <v>44709.222205029</v>
      </c>
    </row>
    <row r="113" customFormat="false" ht="15" hidden="false" customHeight="true" outlineLevel="0" collapsed="false">
      <c r="A113" s="106" t="n">
        <v>78000</v>
      </c>
      <c r="B113" s="104" t="n">
        <f aca="false">MIN(MAX(A113/12,'Plan-Annahmen'!$B$100),'Plan-Annahmen'!$B$101)*12*('Plan-Annahmen'!$B$97+'Plan-Annahmen'!$B$98+'Plan-Annahmen'!$B$99)</f>
        <v>15135.75</v>
      </c>
      <c r="C113" s="104" t="n">
        <f aca="false">MAX(0,A113-B113-'Plan-Annahmen'!$B$102)</f>
        <v>62828.25</v>
      </c>
      <c r="D113" s="70" t="n">
        <f aca="false">IF(INT(MAX(0,C113))&lt;=12348,0,IF(INT(MAX(0,C113))&lt;=17799,(914.51*((INT(MAX(0,C113))-12348)/10000)+1400)*((INT(MAX(0,C113))-12348)/10000),IF(INT(MAX(0,C113))&lt;=69878,(173.1*((INT(MAX(0,C113))-17799)/10000)+2397)*((INT(MAX(0,C113))-17799)/10000)+1034.87,IF(INT(MAX(0,C113))&lt;=277825,0.42*INT(MAX(0,C113))-11135.63,0.45*INT(MAX(0,C113))-19470.38))))</f>
        <v>15338.115665771</v>
      </c>
      <c r="E113" s="70" t="n">
        <f aca="false">A113-B113-D113</f>
        <v>47526.134334229</v>
      </c>
      <c r="F113" s="104" t="n">
        <f aca="false">MAX(0,A113-B113-'Plan-Annahmen'!$B$88*12-'Plan-Annahmen'!$B$102)</f>
        <v>59228.25</v>
      </c>
      <c r="G113" s="70" t="n">
        <f aca="false">IF(INT(MAX(0,F113))&lt;=12348,0,IF(INT(MAX(0,F113))&lt;=17799,(914.51*((INT(MAX(0,F113))-12348)/10000)+1400)*((INT(MAX(0,F113))-12348)/10000),IF(INT(MAX(0,F113))&lt;=69878,(173.1*((INT(MAX(0,F113))-17799)/10000)+2397)*((INT(MAX(0,F113))-17799)/10000)+1034.87,IF(INT(MAX(0,F113))&lt;=277825,0.42*INT(MAX(0,F113))-11135.63,0.45*INT(MAX(0,F113))-19470.38))))</f>
        <v>13936.423992971</v>
      </c>
      <c r="H113" s="70" t="n">
        <f aca="false">A113-B113-G113-'Plan-Annahmen'!$B$88*12</f>
        <v>45327.826007029</v>
      </c>
    </row>
    <row r="114" customFormat="false" ht="15" hidden="false" customHeight="true" outlineLevel="0" collapsed="false">
      <c r="A114" s="106" t="n">
        <v>79000</v>
      </c>
      <c r="B114" s="104" t="n">
        <f aca="false">MIN(MAX(A114/12,'Plan-Annahmen'!$B$100),'Plan-Annahmen'!$B$101)*12*('Plan-Annahmen'!$B$97+'Plan-Annahmen'!$B$98+'Plan-Annahmen'!$B$99)</f>
        <v>15135.75</v>
      </c>
      <c r="C114" s="104" t="n">
        <f aca="false">MAX(0,A114-B114-'Plan-Annahmen'!$B$102)</f>
        <v>63828.25</v>
      </c>
      <c r="D114" s="70" t="n">
        <f aca="false">IF(INT(MAX(0,C114))&lt;=12348,0,IF(INT(MAX(0,C114))&lt;=17799,(914.51*((INT(MAX(0,C114))-12348)/10000)+1400)*((INT(MAX(0,C114))-12348)/10000),IF(INT(MAX(0,C114))&lt;=69878,(173.1*((INT(MAX(0,C114))-17799)/10000)+2397)*((INT(MAX(0,C114))-17799)/10000)+1034.87,IF(INT(MAX(0,C114))&lt;=277825,0.42*INT(MAX(0,C114))-11135.63,0.45*INT(MAX(0,C114))-19470.38))))</f>
        <v>15735.437063771</v>
      </c>
      <c r="E114" s="70" t="n">
        <f aca="false">A114-B114-D114</f>
        <v>48128.812936229</v>
      </c>
      <c r="F114" s="104" t="n">
        <f aca="false">MAX(0,A114-B114-'Plan-Annahmen'!$B$88*12-'Plan-Annahmen'!$B$102)</f>
        <v>60228.25</v>
      </c>
      <c r="G114" s="70" t="n">
        <f aca="false">IF(INT(MAX(0,F114))&lt;=12348,0,IF(INT(MAX(0,F114))&lt;=17799,(914.51*((INT(MAX(0,F114))-12348)/10000)+1400)*((INT(MAX(0,F114))-12348)/10000),IF(INT(MAX(0,F114))&lt;=69878,(173.1*((INT(MAX(0,F114))-17799)/10000)+2397)*((INT(MAX(0,F114))-17799)/10000)+1034.87,IF(INT(MAX(0,F114))&lt;=277825,0.42*INT(MAX(0,F114))-11135.63,0.45*INT(MAX(0,F114))-19470.38))))</f>
        <v>14321.282190971</v>
      </c>
      <c r="H114" s="70" t="n">
        <f aca="false">A114-B114-G114-'Plan-Annahmen'!$B$88*12</f>
        <v>45942.967809029</v>
      </c>
    </row>
    <row r="115" customFormat="false" ht="15" hidden="false" customHeight="true" outlineLevel="0" collapsed="false">
      <c r="A115" s="106" t="n">
        <v>80000</v>
      </c>
      <c r="B115" s="104" t="n">
        <f aca="false">MIN(MAX(A115/12,'Plan-Annahmen'!$B$100),'Plan-Annahmen'!$B$101)*12*('Plan-Annahmen'!$B$97+'Plan-Annahmen'!$B$98+'Plan-Annahmen'!$B$99)</f>
        <v>15135.75</v>
      </c>
      <c r="C115" s="104" t="n">
        <f aca="false">MAX(0,A115-B115-'Plan-Annahmen'!$B$102)</f>
        <v>64828.25</v>
      </c>
      <c r="D115" s="70" t="n">
        <f aca="false">IF(INT(MAX(0,C115))&lt;=12348,0,IF(INT(MAX(0,C115))&lt;=17799,(914.51*((INT(MAX(0,C115))-12348)/10000)+1400)*((INT(MAX(0,C115))-12348)/10000),IF(INT(MAX(0,C115))&lt;=69878,(173.1*((INT(MAX(0,C115))-17799)/10000)+2397)*((INT(MAX(0,C115))-17799)/10000)+1034.87,IF(INT(MAX(0,C115))&lt;=277825,0.42*INT(MAX(0,C115))-11135.63,0.45*INT(MAX(0,C115))-19470.38))))</f>
        <v>16136.220461771</v>
      </c>
      <c r="E115" s="70" t="n">
        <f aca="false">A115-B115-D115</f>
        <v>48728.029538229</v>
      </c>
      <c r="F115" s="104" t="n">
        <f aca="false">MAX(0,A115-B115-'Plan-Annahmen'!$B$88*12-'Plan-Annahmen'!$B$102)</f>
        <v>61228.25</v>
      </c>
      <c r="G115" s="70" t="n">
        <f aca="false">IF(INT(MAX(0,F115))&lt;=12348,0,IF(INT(MAX(0,F115))&lt;=17799,(914.51*((INT(MAX(0,F115))-12348)/10000)+1400)*((INT(MAX(0,F115))-12348)/10000),IF(INT(MAX(0,F115))&lt;=69878,(173.1*((INT(MAX(0,F115))-17799)/10000)+2397)*((INT(MAX(0,F115))-17799)/10000)+1034.87,IF(INT(MAX(0,F115))&lt;=277825,0.42*INT(MAX(0,F115))-11135.63,0.45*INT(MAX(0,F115))-19470.38))))</f>
        <v>14709.602388971</v>
      </c>
      <c r="H115" s="70" t="n">
        <f aca="false">A115-B115-G115-'Plan-Annahmen'!$B$88*12</f>
        <v>46554.647611029</v>
      </c>
    </row>
    <row r="116" customFormat="false" ht="15" hidden="false" customHeight="true" outlineLevel="0" collapsed="false">
      <c r="A116" s="106" t="n">
        <v>81000</v>
      </c>
      <c r="B116" s="104" t="n">
        <f aca="false">MIN(MAX(A116/12,'Plan-Annahmen'!$B$100),'Plan-Annahmen'!$B$101)*12*('Plan-Annahmen'!$B$97+'Plan-Annahmen'!$B$98+'Plan-Annahmen'!$B$99)</f>
        <v>15135.75</v>
      </c>
      <c r="C116" s="104" t="n">
        <f aca="false">MAX(0,A116-B116-'Plan-Annahmen'!$B$102)</f>
        <v>65828.25</v>
      </c>
      <c r="D116" s="70" t="n">
        <f aca="false">IF(INT(MAX(0,C116))&lt;=12348,0,IF(INT(MAX(0,C116))&lt;=17799,(914.51*((INT(MAX(0,C116))-12348)/10000)+1400)*((INT(MAX(0,C116))-12348)/10000),IF(INT(MAX(0,C116))&lt;=69878,(173.1*((INT(MAX(0,C116))-17799)/10000)+2397)*((INT(MAX(0,C116))-17799)/10000)+1034.87,IF(INT(MAX(0,C116))&lt;=277825,0.42*INT(MAX(0,C116))-11135.63,0.45*INT(MAX(0,C116))-19470.38))))</f>
        <v>16540.465859771</v>
      </c>
      <c r="E116" s="70" t="n">
        <f aca="false">A116-B116-D116</f>
        <v>49323.784140229</v>
      </c>
      <c r="F116" s="104" t="n">
        <f aca="false">MAX(0,A116-B116-'Plan-Annahmen'!$B$88*12-'Plan-Annahmen'!$B$102)</f>
        <v>62228.25</v>
      </c>
      <c r="G116" s="70" t="n">
        <f aca="false">IF(INT(MAX(0,F116))&lt;=12348,0,IF(INT(MAX(0,F116))&lt;=17799,(914.51*((INT(MAX(0,F116))-12348)/10000)+1400)*((INT(MAX(0,F116))-12348)/10000),IF(INT(MAX(0,F116))&lt;=69878,(173.1*((INT(MAX(0,F116))-17799)/10000)+2397)*((INT(MAX(0,F116))-17799)/10000)+1034.87,IF(INT(MAX(0,F116))&lt;=277825,0.42*INT(MAX(0,F116))-11135.63,0.45*INT(MAX(0,F116))-19470.38))))</f>
        <v>15101.384586971</v>
      </c>
      <c r="H116" s="70" t="n">
        <f aca="false">A116-B116-G116-'Plan-Annahmen'!$B$88*12</f>
        <v>47162.865413029</v>
      </c>
    </row>
    <row r="117" customFormat="false" ht="15" hidden="false" customHeight="true" outlineLevel="0" collapsed="false">
      <c r="A117" s="106" t="n">
        <v>82000</v>
      </c>
      <c r="B117" s="104" t="n">
        <f aca="false">MIN(MAX(A117/12,'Plan-Annahmen'!$B$100),'Plan-Annahmen'!$B$101)*12*('Plan-Annahmen'!$B$97+'Plan-Annahmen'!$B$98+'Plan-Annahmen'!$B$99)</f>
        <v>15135.75</v>
      </c>
      <c r="C117" s="104" t="n">
        <f aca="false">MAX(0,A117-B117-'Plan-Annahmen'!$B$102)</f>
        <v>66828.25</v>
      </c>
      <c r="D117" s="70" t="n">
        <f aca="false">IF(INT(MAX(0,C117))&lt;=12348,0,IF(INT(MAX(0,C117))&lt;=17799,(914.51*((INT(MAX(0,C117))-12348)/10000)+1400)*((INT(MAX(0,C117))-12348)/10000),IF(INT(MAX(0,C117))&lt;=69878,(173.1*((INT(MAX(0,C117))-17799)/10000)+2397)*((INT(MAX(0,C117))-17799)/10000)+1034.87,IF(INT(MAX(0,C117))&lt;=277825,0.42*INT(MAX(0,C117))-11135.63,0.45*INT(MAX(0,C117))-19470.38))))</f>
        <v>16948.173257771</v>
      </c>
      <c r="E117" s="70" t="n">
        <f aca="false">A117-B117-D117</f>
        <v>49916.076742229</v>
      </c>
      <c r="F117" s="104" t="n">
        <f aca="false">MAX(0,A117-B117-'Plan-Annahmen'!$B$88*12-'Plan-Annahmen'!$B$102)</f>
        <v>63228.25</v>
      </c>
      <c r="G117" s="70" t="n">
        <f aca="false">IF(INT(MAX(0,F117))&lt;=12348,0,IF(INT(MAX(0,F117))&lt;=17799,(914.51*((INT(MAX(0,F117))-12348)/10000)+1400)*((INT(MAX(0,F117))-12348)/10000),IF(INT(MAX(0,F117))&lt;=69878,(173.1*((INT(MAX(0,F117))-17799)/10000)+2397)*((INT(MAX(0,F117))-17799)/10000)+1034.87,IF(INT(MAX(0,F117))&lt;=277825,0.42*INT(MAX(0,F117))-11135.63,0.45*INT(MAX(0,F117))-19470.38))))</f>
        <v>15496.628784971</v>
      </c>
      <c r="H117" s="70" t="n">
        <f aca="false">A117-B117-G117-'Plan-Annahmen'!$B$88*12</f>
        <v>47767.621215029</v>
      </c>
    </row>
    <row r="118" customFormat="false" ht="15" hidden="false" customHeight="true" outlineLevel="0" collapsed="false">
      <c r="A118" s="106" t="n">
        <v>83000</v>
      </c>
      <c r="B118" s="104" t="n">
        <f aca="false">MIN(MAX(A118/12,'Plan-Annahmen'!$B$100),'Plan-Annahmen'!$B$101)*12*('Plan-Annahmen'!$B$97+'Plan-Annahmen'!$B$98+'Plan-Annahmen'!$B$99)</f>
        <v>15135.75</v>
      </c>
      <c r="C118" s="104" t="n">
        <f aca="false">MAX(0,A118-B118-'Plan-Annahmen'!$B$102)</f>
        <v>67828.25</v>
      </c>
      <c r="D118" s="70" t="n">
        <f aca="false">IF(INT(MAX(0,C118))&lt;=12348,0,IF(INT(MAX(0,C118))&lt;=17799,(914.51*((INT(MAX(0,C118))-12348)/10000)+1400)*((INT(MAX(0,C118))-12348)/10000),IF(INT(MAX(0,C118))&lt;=69878,(173.1*((INT(MAX(0,C118))-17799)/10000)+2397)*((INT(MAX(0,C118))-17799)/10000)+1034.87,IF(INT(MAX(0,C118))&lt;=277825,0.42*INT(MAX(0,C118))-11135.63,0.45*INT(MAX(0,C118))-19470.38))))</f>
        <v>17359.342655771</v>
      </c>
      <c r="E118" s="70" t="n">
        <f aca="false">A118-B118-D118</f>
        <v>50504.907344229</v>
      </c>
      <c r="F118" s="104" t="n">
        <f aca="false">MAX(0,A118-B118-'Plan-Annahmen'!$B$88*12-'Plan-Annahmen'!$B$102)</f>
        <v>64228.25</v>
      </c>
      <c r="G118" s="70" t="n">
        <f aca="false">IF(INT(MAX(0,F118))&lt;=12348,0,IF(INT(MAX(0,F118))&lt;=17799,(914.51*((INT(MAX(0,F118))-12348)/10000)+1400)*((INT(MAX(0,F118))-12348)/10000),IF(INT(MAX(0,F118))&lt;=69878,(173.1*((INT(MAX(0,F118))-17799)/10000)+2397)*((INT(MAX(0,F118))-17799)/10000)+1034.87,IF(INT(MAX(0,F118))&lt;=277825,0.42*INT(MAX(0,F118))-11135.63,0.45*INT(MAX(0,F118))-19470.38))))</f>
        <v>15895.334982971</v>
      </c>
      <c r="H118" s="70" t="n">
        <f aca="false">A118-B118-G118-'Plan-Annahmen'!$B$88*12</f>
        <v>48368.915017029</v>
      </c>
    </row>
    <row r="119" customFormat="false" ht="15" hidden="false" customHeight="true" outlineLevel="0" collapsed="false">
      <c r="A119" s="106" t="n">
        <v>84000</v>
      </c>
      <c r="B119" s="104" t="n">
        <f aca="false">MIN(MAX(A119/12,'Plan-Annahmen'!$B$100),'Plan-Annahmen'!$B$101)*12*('Plan-Annahmen'!$B$97+'Plan-Annahmen'!$B$98+'Plan-Annahmen'!$B$99)</f>
        <v>15135.75</v>
      </c>
      <c r="C119" s="104" t="n">
        <f aca="false">MAX(0,A119-B119-'Plan-Annahmen'!$B$102)</f>
        <v>68828.25</v>
      </c>
      <c r="D119" s="70" t="n">
        <f aca="false">IF(INT(MAX(0,C119))&lt;=12348,0,IF(INT(MAX(0,C119))&lt;=17799,(914.51*((INT(MAX(0,C119))-12348)/10000)+1400)*((INT(MAX(0,C119))-12348)/10000),IF(INT(MAX(0,C119))&lt;=69878,(173.1*((INT(MAX(0,C119))-17799)/10000)+2397)*((INT(MAX(0,C119))-17799)/10000)+1034.87,IF(INT(MAX(0,C119))&lt;=277825,0.42*INT(MAX(0,C119))-11135.63,0.45*INT(MAX(0,C119))-19470.38))))</f>
        <v>17773.974053771</v>
      </c>
      <c r="E119" s="70" t="n">
        <f aca="false">A119-B119-D119</f>
        <v>51090.275946229</v>
      </c>
      <c r="F119" s="104" t="n">
        <f aca="false">MAX(0,A119-B119-'Plan-Annahmen'!$B$88*12-'Plan-Annahmen'!$B$102)</f>
        <v>65228.25</v>
      </c>
      <c r="G119" s="70" t="n">
        <f aca="false">IF(INT(MAX(0,F119))&lt;=12348,0,IF(INT(MAX(0,F119))&lt;=17799,(914.51*((INT(MAX(0,F119))-12348)/10000)+1400)*((INT(MAX(0,F119))-12348)/10000),IF(INT(MAX(0,F119))&lt;=69878,(173.1*((INT(MAX(0,F119))-17799)/10000)+2397)*((INT(MAX(0,F119))-17799)/10000)+1034.87,IF(INT(MAX(0,F119))&lt;=277825,0.42*INT(MAX(0,F119))-11135.63,0.45*INT(MAX(0,F119))-19470.38))))</f>
        <v>16297.503180971</v>
      </c>
      <c r="H119" s="70" t="n">
        <f aca="false">A119-B119-G119-'Plan-Annahmen'!$B$88*12</f>
        <v>48966.746819029</v>
      </c>
    </row>
    <row r="120" customFormat="false" ht="15" hidden="false" customHeight="true" outlineLevel="0" collapsed="false">
      <c r="A120" s="106" t="n">
        <v>85000</v>
      </c>
      <c r="B120" s="104" t="n">
        <f aca="false">MIN(MAX(A120/12,'Plan-Annahmen'!$B$100),'Plan-Annahmen'!$B$101)*12*('Plan-Annahmen'!$B$97+'Plan-Annahmen'!$B$98+'Plan-Annahmen'!$B$99)</f>
        <v>15135.75</v>
      </c>
      <c r="C120" s="104" t="n">
        <f aca="false">MAX(0,A120-B120-'Plan-Annahmen'!$B$102)</f>
        <v>69828.25</v>
      </c>
      <c r="D120" s="70" t="n">
        <f aca="false">IF(INT(MAX(0,C120))&lt;=12348,0,IF(INT(MAX(0,C120))&lt;=17799,(914.51*((INT(MAX(0,C120))-12348)/10000)+1400)*((INT(MAX(0,C120))-12348)/10000),IF(INT(MAX(0,C120))&lt;=69878,(173.1*((INT(MAX(0,C120))-17799)/10000)+2397)*((INT(MAX(0,C120))-17799)/10000)+1034.87,IF(INT(MAX(0,C120))&lt;=277825,0.42*INT(MAX(0,C120))-11135.63,0.45*INT(MAX(0,C120))-19470.38))))</f>
        <v>18192.067451771</v>
      </c>
      <c r="E120" s="70" t="n">
        <f aca="false">A120-B120-D120</f>
        <v>51672.182548229</v>
      </c>
      <c r="F120" s="104" t="n">
        <f aca="false">MAX(0,A120-B120-'Plan-Annahmen'!$B$88*12-'Plan-Annahmen'!$B$102)</f>
        <v>66228.25</v>
      </c>
      <c r="G120" s="70" t="n">
        <f aca="false">IF(INT(MAX(0,F120))&lt;=12348,0,IF(INT(MAX(0,F120))&lt;=17799,(914.51*((INT(MAX(0,F120))-12348)/10000)+1400)*((INT(MAX(0,F120))-12348)/10000),IF(INT(MAX(0,F120))&lt;=69878,(173.1*((INT(MAX(0,F120))-17799)/10000)+2397)*((INT(MAX(0,F120))-17799)/10000)+1034.87,IF(INT(MAX(0,F120))&lt;=277825,0.42*INT(MAX(0,F120))-11135.63,0.45*INT(MAX(0,F120))-19470.38))))</f>
        <v>16703.133378971</v>
      </c>
      <c r="H120" s="70" t="n">
        <f aca="false">A120-B120-G120-'Plan-Annahmen'!$B$88*12</f>
        <v>49561.116621029</v>
      </c>
    </row>
    <row r="121" customFormat="false" ht="15" hidden="false" customHeight="true" outlineLevel="0" collapsed="false">
      <c r="A121" s="106" t="n">
        <v>86000</v>
      </c>
      <c r="B121" s="104" t="n">
        <f aca="false">MIN(MAX(A121/12,'Plan-Annahmen'!$B$100),'Plan-Annahmen'!$B$101)*12*('Plan-Annahmen'!$B$97+'Plan-Annahmen'!$B$98+'Plan-Annahmen'!$B$99)</f>
        <v>15135.75</v>
      </c>
      <c r="C121" s="104" t="n">
        <f aca="false">MAX(0,A121-B121-'Plan-Annahmen'!$B$102)</f>
        <v>70828.25</v>
      </c>
      <c r="D121" s="70" t="n">
        <f aca="false">IF(INT(MAX(0,C121))&lt;=12348,0,IF(INT(MAX(0,C121))&lt;=17799,(914.51*((INT(MAX(0,C121))-12348)/10000)+1400)*((INT(MAX(0,C121))-12348)/10000),IF(INT(MAX(0,C121))&lt;=69878,(173.1*((INT(MAX(0,C121))-17799)/10000)+2397)*((INT(MAX(0,C121))-17799)/10000)+1034.87,IF(INT(MAX(0,C121))&lt;=277825,0.42*INT(MAX(0,C121))-11135.63,0.45*INT(MAX(0,C121))-19470.38))))</f>
        <v>18612.13</v>
      </c>
      <c r="E121" s="70" t="n">
        <f aca="false">A121-B121-D121</f>
        <v>52252.12</v>
      </c>
      <c r="F121" s="104" t="n">
        <f aca="false">MAX(0,A121-B121-'Plan-Annahmen'!$B$88*12-'Plan-Annahmen'!$B$102)</f>
        <v>67228.25</v>
      </c>
      <c r="G121" s="70" t="n">
        <f aca="false">IF(INT(MAX(0,F121))&lt;=12348,0,IF(INT(MAX(0,F121))&lt;=17799,(914.51*((INT(MAX(0,F121))-12348)/10000)+1400)*((INT(MAX(0,F121))-12348)/10000),IF(INT(MAX(0,F121))&lt;=69878,(173.1*((INT(MAX(0,F121))-17799)/10000)+2397)*((INT(MAX(0,F121))-17799)/10000)+1034.87,IF(INT(MAX(0,F121))&lt;=277825,0.42*INT(MAX(0,F121))-11135.63,0.45*INT(MAX(0,F121))-19470.38))))</f>
        <v>17112.225576971</v>
      </c>
      <c r="H121" s="70" t="n">
        <f aca="false">A121-B121-G121-'Plan-Annahmen'!$B$88*12</f>
        <v>50152.024423029</v>
      </c>
    </row>
    <row r="122" customFormat="false" ht="15" hidden="false" customHeight="true" outlineLevel="0" collapsed="false">
      <c r="A122" s="106" t="n">
        <v>87000</v>
      </c>
      <c r="B122" s="104" t="n">
        <f aca="false">MIN(MAX(A122/12,'Plan-Annahmen'!$B$100),'Plan-Annahmen'!$B$101)*12*('Plan-Annahmen'!$B$97+'Plan-Annahmen'!$B$98+'Plan-Annahmen'!$B$99)</f>
        <v>15135.75</v>
      </c>
      <c r="C122" s="104" t="n">
        <f aca="false">MAX(0,A122-B122-'Plan-Annahmen'!$B$102)</f>
        <v>71828.25</v>
      </c>
      <c r="D122" s="70" t="n">
        <f aca="false">IF(INT(MAX(0,C122))&lt;=12348,0,IF(INT(MAX(0,C122))&lt;=17799,(914.51*((INT(MAX(0,C122))-12348)/10000)+1400)*((INT(MAX(0,C122))-12348)/10000),IF(INT(MAX(0,C122))&lt;=69878,(173.1*((INT(MAX(0,C122))-17799)/10000)+2397)*((INT(MAX(0,C122))-17799)/10000)+1034.87,IF(INT(MAX(0,C122))&lt;=277825,0.42*INT(MAX(0,C122))-11135.63,0.45*INT(MAX(0,C122))-19470.38))))</f>
        <v>19032.13</v>
      </c>
      <c r="E122" s="70" t="n">
        <f aca="false">A122-B122-D122</f>
        <v>52832.12</v>
      </c>
      <c r="F122" s="104" t="n">
        <f aca="false">MAX(0,A122-B122-'Plan-Annahmen'!$B$88*12-'Plan-Annahmen'!$B$102)</f>
        <v>68228.25</v>
      </c>
      <c r="G122" s="70" t="n">
        <f aca="false">IF(INT(MAX(0,F122))&lt;=12348,0,IF(INT(MAX(0,F122))&lt;=17799,(914.51*((INT(MAX(0,F122))-12348)/10000)+1400)*((INT(MAX(0,F122))-12348)/10000),IF(INT(MAX(0,F122))&lt;=69878,(173.1*((INT(MAX(0,F122))-17799)/10000)+2397)*((INT(MAX(0,F122))-17799)/10000)+1034.87,IF(INT(MAX(0,F122))&lt;=277825,0.42*INT(MAX(0,F122))-11135.63,0.45*INT(MAX(0,F122))-19470.38))))</f>
        <v>17524.779774971</v>
      </c>
      <c r="H122" s="70" t="n">
        <f aca="false">A122-B122-G122-'Plan-Annahmen'!$B$88*12</f>
        <v>50739.470225029</v>
      </c>
    </row>
    <row r="123" customFormat="false" ht="15" hidden="false" customHeight="true" outlineLevel="0" collapsed="false">
      <c r="A123" s="106" t="n">
        <v>88000</v>
      </c>
      <c r="B123" s="104" t="n">
        <f aca="false">MIN(MAX(A123/12,'Plan-Annahmen'!$B$100),'Plan-Annahmen'!$B$101)*12*('Plan-Annahmen'!$B$97+'Plan-Annahmen'!$B$98+'Plan-Annahmen'!$B$99)</f>
        <v>15135.75</v>
      </c>
      <c r="C123" s="104" t="n">
        <f aca="false">MAX(0,A123-B123-'Plan-Annahmen'!$B$102)</f>
        <v>72828.25</v>
      </c>
      <c r="D123" s="70" t="n">
        <f aca="false">IF(INT(MAX(0,C123))&lt;=12348,0,IF(INT(MAX(0,C123))&lt;=17799,(914.51*((INT(MAX(0,C123))-12348)/10000)+1400)*((INT(MAX(0,C123))-12348)/10000),IF(INT(MAX(0,C123))&lt;=69878,(173.1*((INT(MAX(0,C123))-17799)/10000)+2397)*((INT(MAX(0,C123))-17799)/10000)+1034.87,IF(INT(MAX(0,C123))&lt;=277825,0.42*INT(MAX(0,C123))-11135.63,0.45*INT(MAX(0,C123))-19470.38))))</f>
        <v>19452.13</v>
      </c>
      <c r="E123" s="70" t="n">
        <f aca="false">A123-B123-D123</f>
        <v>53412.12</v>
      </c>
      <c r="F123" s="104" t="n">
        <f aca="false">MAX(0,A123-B123-'Plan-Annahmen'!$B$88*12-'Plan-Annahmen'!$B$102)</f>
        <v>69228.25</v>
      </c>
      <c r="G123" s="70" t="n">
        <f aca="false">IF(INT(MAX(0,F123))&lt;=12348,0,IF(INT(MAX(0,F123))&lt;=17799,(914.51*((INT(MAX(0,F123))-12348)/10000)+1400)*((INT(MAX(0,F123))-12348)/10000),IF(INT(MAX(0,F123))&lt;=69878,(173.1*((INT(MAX(0,F123))-17799)/10000)+2397)*((INT(MAX(0,F123))-17799)/10000)+1034.87,IF(INT(MAX(0,F123))&lt;=277825,0.42*INT(MAX(0,F123))-11135.63,0.45*INT(MAX(0,F123))-19470.38))))</f>
        <v>17940.795972971</v>
      </c>
      <c r="H123" s="70" t="n">
        <f aca="false">A123-B123-G123-'Plan-Annahmen'!$B$88*12</f>
        <v>51323.454027029</v>
      </c>
    </row>
    <row r="124" customFormat="false" ht="15" hidden="false" customHeight="true" outlineLevel="0" collapsed="false">
      <c r="A124" s="106" t="n">
        <v>89000</v>
      </c>
      <c r="B124" s="104" t="n">
        <f aca="false">MIN(MAX(A124/12,'Plan-Annahmen'!$B$100),'Plan-Annahmen'!$B$101)*12*('Plan-Annahmen'!$B$97+'Plan-Annahmen'!$B$98+'Plan-Annahmen'!$B$99)</f>
        <v>15135.75</v>
      </c>
      <c r="C124" s="104" t="n">
        <f aca="false">MAX(0,A124-B124-'Plan-Annahmen'!$B$102)</f>
        <v>73828.25</v>
      </c>
      <c r="D124" s="70" t="n">
        <f aca="false">IF(INT(MAX(0,C124))&lt;=12348,0,IF(INT(MAX(0,C124))&lt;=17799,(914.51*((INT(MAX(0,C124))-12348)/10000)+1400)*((INT(MAX(0,C124))-12348)/10000),IF(INT(MAX(0,C124))&lt;=69878,(173.1*((INT(MAX(0,C124))-17799)/10000)+2397)*((INT(MAX(0,C124))-17799)/10000)+1034.87,IF(INT(MAX(0,C124))&lt;=277825,0.42*INT(MAX(0,C124))-11135.63,0.45*INT(MAX(0,C124))-19470.38))))</f>
        <v>19872.13</v>
      </c>
      <c r="E124" s="70" t="n">
        <f aca="false">A124-B124-D124</f>
        <v>53992.12</v>
      </c>
      <c r="F124" s="104" t="n">
        <f aca="false">MAX(0,A124-B124-'Plan-Annahmen'!$B$88*12-'Plan-Annahmen'!$B$102)</f>
        <v>70228.25</v>
      </c>
      <c r="G124" s="70" t="n">
        <f aca="false">IF(INT(MAX(0,F124))&lt;=12348,0,IF(INT(MAX(0,F124))&lt;=17799,(914.51*((INT(MAX(0,F124))-12348)/10000)+1400)*((INT(MAX(0,F124))-12348)/10000),IF(INT(MAX(0,F124))&lt;=69878,(173.1*((INT(MAX(0,F124))-17799)/10000)+2397)*((INT(MAX(0,F124))-17799)/10000)+1034.87,IF(INT(MAX(0,F124))&lt;=277825,0.42*INT(MAX(0,F124))-11135.63,0.45*INT(MAX(0,F124))-19470.38))))</f>
        <v>18360.13</v>
      </c>
      <c r="H124" s="70" t="n">
        <f aca="false">A124-B124-G124-'Plan-Annahmen'!$B$88*12</f>
        <v>51904.12</v>
      </c>
    </row>
    <row r="125" customFormat="false" ht="15" hidden="false" customHeight="true" outlineLevel="0" collapsed="false">
      <c r="A125" s="106" t="n">
        <v>90000</v>
      </c>
      <c r="B125" s="104" t="n">
        <f aca="false">MIN(MAX(A125/12,'Plan-Annahmen'!$B$100),'Plan-Annahmen'!$B$101)*12*('Plan-Annahmen'!$B$97+'Plan-Annahmen'!$B$98+'Plan-Annahmen'!$B$99)</f>
        <v>15135.75</v>
      </c>
      <c r="C125" s="104" t="n">
        <f aca="false">MAX(0,A125-B125-'Plan-Annahmen'!$B$102)</f>
        <v>74828.25</v>
      </c>
      <c r="D125" s="70" t="n">
        <f aca="false">IF(INT(MAX(0,C125))&lt;=12348,0,IF(INT(MAX(0,C125))&lt;=17799,(914.51*((INT(MAX(0,C125))-12348)/10000)+1400)*((INT(MAX(0,C125))-12348)/10000),IF(INT(MAX(0,C125))&lt;=69878,(173.1*((INT(MAX(0,C125))-17799)/10000)+2397)*((INT(MAX(0,C125))-17799)/10000)+1034.87,IF(INT(MAX(0,C125))&lt;=277825,0.42*INT(MAX(0,C125))-11135.63,0.45*INT(MAX(0,C125))-19470.38))))</f>
        <v>20292.13</v>
      </c>
      <c r="E125" s="70" t="n">
        <f aca="false">A125-B125-D125</f>
        <v>54572.12</v>
      </c>
      <c r="F125" s="104" t="n">
        <f aca="false">MAX(0,A125-B125-'Plan-Annahmen'!$B$88*12-'Plan-Annahmen'!$B$102)</f>
        <v>71228.25</v>
      </c>
      <c r="G125" s="70" t="n">
        <f aca="false">IF(INT(MAX(0,F125))&lt;=12348,0,IF(INT(MAX(0,F125))&lt;=17799,(914.51*((INT(MAX(0,F125))-12348)/10000)+1400)*((INT(MAX(0,F125))-12348)/10000),IF(INT(MAX(0,F125))&lt;=69878,(173.1*((INT(MAX(0,F125))-17799)/10000)+2397)*((INT(MAX(0,F125))-17799)/10000)+1034.87,IF(INT(MAX(0,F125))&lt;=277825,0.42*INT(MAX(0,F125))-11135.63,0.45*INT(MAX(0,F125))-19470.38))))</f>
        <v>18780.13</v>
      </c>
      <c r="H125" s="70" t="n">
        <f aca="false">A125-B125-G125-'Plan-Annahmen'!$B$88*12</f>
        <v>52484.12</v>
      </c>
    </row>
    <row r="126" customFormat="false" ht="15" hidden="false" customHeight="true" outlineLevel="0" collapsed="false">
      <c r="A126" s="106" t="n">
        <v>91000</v>
      </c>
      <c r="B126" s="104" t="n">
        <f aca="false">MIN(MAX(A126/12,'Plan-Annahmen'!$B$100),'Plan-Annahmen'!$B$101)*12*('Plan-Annahmen'!$B$97+'Plan-Annahmen'!$B$98+'Plan-Annahmen'!$B$99)</f>
        <v>15135.75</v>
      </c>
      <c r="C126" s="104" t="n">
        <f aca="false">MAX(0,A126-B126-'Plan-Annahmen'!$B$102)</f>
        <v>75828.25</v>
      </c>
      <c r="D126" s="70" t="n">
        <f aca="false">IF(INT(MAX(0,C126))&lt;=12348,0,IF(INT(MAX(0,C126))&lt;=17799,(914.51*((INT(MAX(0,C126))-12348)/10000)+1400)*((INT(MAX(0,C126))-12348)/10000),IF(INT(MAX(0,C126))&lt;=69878,(173.1*((INT(MAX(0,C126))-17799)/10000)+2397)*((INT(MAX(0,C126))-17799)/10000)+1034.87,IF(INT(MAX(0,C126))&lt;=277825,0.42*INT(MAX(0,C126))-11135.63,0.45*INT(MAX(0,C126))-19470.38))))</f>
        <v>20712.13</v>
      </c>
      <c r="E126" s="70" t="n">
        <f aca="false">A126-B126-D126</f>
        <v>55152.12</v>
      </c>
      <c r="F126" s="104" t="n">
        <f aca="false">MAX(0,A126-B126-'Plan-Annahmen'!$B$88*12-'Plan-Annahmen'!$B$102)</f>
        <v>72228.25</v>
      </c>
      <c r="G126" s="70" t="n">
        <f aca="false">IF(INT(MAX(0,F126))&lt;=12348,0,IF(INT(MAX(0,F126))&lt;=17799,(914.51*((INT(MAX(0,F126))-12348)/10000)+1400)*((INT(MAX(0,F126))-12348)/10000),IF(INT(MAX(0,F126))&lt;=69878,(173.1*((INT(MAX(0,F126))-17799)/10000)+2397)*((INT(MAX(0,F126))-17799)/10000)+1034.87,IF(INT(MAX(0,F126))&lt;=277825,0.42*INT(MAX(0,F126))-11135.63,0.45*INT(MAX(0,F126))-19470.38))))</f>
        <v>19200.13</v>
      </c>
      <c r="H126" s="70" t="n">
        <f aca="false">A126-B126-G126-'Plan-Annahmen'!$B$88*12</f>
        <v>53064.12</v>
      </c>
    </row>
    <row r="127" customFormat="false" ht="15" hidden="false" customHeight="true" outlineLevel="0" collapsed="false">
      <c r="A127" s="106" t="n">
        <v>92000</v>
      </c>
      <c r="B127" s="104" t="n">
        <f aca="false">MIN(MAX(A127/12,'Plan-Annahmen'!$B$100),'Plan-Annahmen'!$B$101)*12*('Plan-Annahmen'!$B$97+'Plan-Annahmen'!$B$98+'Plan-Annahmen'!$B$99)</f>
        <v>15135.75</v>
      </c>
      <c r="C127" s="104" t="n">
        <f aca="false">MAX(0,A127-B127-'Plan-Annahmen'!$B$102)</f>
        <v>76828.25</v>
      </c>
      <c r="D127" s="70" t="n">
        <f aca="false">IF(INT(MAX(0,C127))&lt;=12348,0,IF(INT(MAX(0,C127))&lt;=17799,(914.51*((INT(MAX(0,C127))-12348)/10000)+1400)*((INT(MAX(0,C127))-12348)/10000),IF(INT(MAX(0,C127))&lt;=69878,(173.1*((INT(MAX(0,C127))-17799)/10000)+2397)*((INT(MAX(0,C127))-17799)/10000)+1034.87,IF(INT(MAX(0,C127))&lt;=277825,0.42*INT(MAX(0,C127))-11135.63,0.45*INT(MAX(0,C127))-19470.38))))</f>
        <v>21132.13</v>
      </c>
      <c r="E127" s="70" t="n">
        <f aca="false">A127-B127-D127</f>
        <v>55732.12</v>
      </c>
      <c r="F127" s="104" t="n">
        <f aca="false">MAX(0,A127-B127-'Plan-Annahmen'!$B$88*12-'Plan-Annahmen'!$B$102)</f>
        <v>73228.25</v>
      </c>
      <c r="G127" s="70" t="n">
        <f aca="false">IF(INT(MAX(0,F127))&lt;=12348,0,IF(INT(MAX(0,F127))&lt;=17799,(914.51*((INT(MAX(0,F127))-12348)/10000)+1400)*((INT(MAX(0,F127))-12348)/10000),IF(INT(MAX(0,F127))&lt;=69878,(173.1*((INT(MAX(0,F127))-17799)/10000)+2397)*((INT(MAX(0,F127))-17799)/10000)+1034.87,IF(INT(MAX(0,F127))&lt;=277825,0.42*INT(MAX(0,F127))-11135.63,0.45*INT(MAX(0,F127))-19470.38))))</f>
        <v>19620.13</v>
      </c>
      <c r="H127" s="70" t="n">
        <f aca="false">A127-B127-G127-'Plan-Annahmen'!$B$88*12</f>
        <v>53644.12</v>
      </c>
    </row>
    <row r="128" customFormat="false" ht="15" hidden="false" customHeight="true" outlineLevel="0" collapsed="false">
      <c r="A128" s="106" t="n">
        <v>93000</v>
      </c>
      <c r="B128" s="104" t="n">
        <f aca="false">MIN(MAX(A128/12,'Plan-Annahmen'!$B$100),'Plan-Annahmen'!$B$101)*12*('Plan-Annahmen'!$B$97+'Plan-Annahmen'!$B$98+'Plan-Annahmen'!$B$99)</f>
        <v>15135.75</v>
      </c>
      <c r="C128" s="104" t="n">
        <f aca="false">MAX(0,A128-B128-'Plan-Annahmen'!$B$102)</f>
        <v>77828.25</v>
      </c>
      <c r="D128" s="70" t="n">
        <f aca="false">IF(INT(MAX(0,C128))&lt;=12348,0,IF(INT(MAX(0,C128))&lt;=17799,(914.51*((INT(MAX(0,C128))-12348)/10000)+1400)*((INT(MAX(0,C128))-12348)/10000),IF(INT(MAX(0,C128))&lt;=69878,(173.1*((INT(MAX(0,C128))-17799)/10000)+2397)*((INT(MAX(0,C128))-17799)/10000)+1034.87,IF(INT(MAX(0,C128))&lt;=277825,0.42*INT(MAX(0,C128))-11135.63,0.45*INT(MAX(0,C128))-19470.38))))</f>
        <v>21552.13</v>
      </c>
      <c r="E128" s="70" t="n">
        <f aca="false">A128-B128-D128</f>
        <v>56312.12</v>
      </c>
      <c r="F128" s="104" t="n">
        <f aca="false">MAX(0,A128-B128-'Plan-Annahmen'!$B$88*12-'Plan-Annahmen'!$B$102)</f>
        <v>74228.25</v>
      </c>
      <c r="G128" s="70" t="n">
        <f aca="false">IF(INT(MAX(0,F128))&lt;=12348,0,IF(INT(MAX(0,F128))&lt;=17799,(914.51*((INT(MAX(0,F128))-12348)/10000)+1400)*((INT(MAX(0,F128))-12348)/10000),IF(INT(MAX(0,F128))&lt;=69878,(173.1*((INT(MAX(0,F128))-17799)/10000)+2397)*((INT(MAX(0,F128))-17799)/10000)+1034.87,IF(INT(MAX(0,F128))&lt;=277825,0.42*INT(MAX(0,F128))-11135.63,0.45*INT(MAX(0,F128))-19470.38))))</f>
        <v>20040.13</v>
      </c>
      <c r="H128" s="70" t="n">
        <f aca="false">A128-B128-G128-'Plan-Annahmen'!$B$88*12</f>
        <v>54224.12</v>
      </c>
    </row>
    <row r="129" customFormat="false" ht="15" hidden="false" customHeight="true" outlineLevel="0" collapsed="false">
      <c r="A129" s="106" t="n">
        <v>94000</v>
      </c>
      <c r="B129" s="104" t="n">
        <f aca="false">MIN(MAX(A129/12,'Plan-Annahmen'!$B$100),'Plan-Annahmen'!$B$101)*12*('Plan-Annahmen'!$B$97+'Plan-Annahmen'!$B$98+'Plan-Annahmen'!$B$99)</f>
        <v>15135.75</v>
      </c>
      <c r="C129" s="104" t="n">
        <f aca="false">MAX(0,A129-B129-'Plan-Annahmen'!$B$102)</f>
        <v>78828.25</v>
      </c>
      <c r="D129" s="70" t="n">
        <f aca="false">IF(INT(MAX(0,C129))&lt;=12348,0,IF(INT(MAX(0,C129))&lt;=17799,(914.51*((INT(MAX(0,C129))-12348)/10000)+1400)*((INT(MAX(0,C129))-12348)/10000),IF(INT(MAX(0,C129))&lt;=69878,(173.1*((INT(MAX(0,C129))-17799)/10000)+2397)*((INT(MAX(0,C129))-17799)/10000)+1034.87,IF(INT(MAX(0,C129))&lt;=277825,0.42*INT(MAX(0,C129))-11135.63,0.45*INT(MAX(0,C129))-19470.38))))</f>
        <v>21972.13</v>
      </c>
      <c r="E129" s="70" t="n">
        <f aca="false">A129-B129-D129</f>
        <v>56892.12</v>
      </c>
      <c r="F129" s="104" t="n">
        <f aca="false">MAX(0,A129-B129-'Plan-Annahmen'!$B$88*12-'Plan-Annahmen'!$B$102)</f>
        <v>75228.25</v>
      </c>
      <c r="G129" s="70" t="n">
        <f aca="false">IF(INT(MAX(0,F129))&lt;=12348,0,IF(INT(MAX(0,F129))&lt;=17799,(914.51*((INT(MAX(0,F129))-12348)/10000)+1400)*((INT(MAX(0,F129))-12348)/10000),IF(INT(MAX(0,F129))&lt;=69878,(173.1*((INT(MAX(0,F129))-17799)/10000)+2397)*((INT(MAX(0,F129))-17799)/10000)+1034.87,IF(INT(MAX(0,F129))&lt;=277825,0.42*INT(MAX(0,F129))-11135.63,0.45*INT(MAX(0,F129))-19470.38))))</f>
        <v>20460.13</v>
      </c>
      <c r="H129" s="70" t="n">
        <f aca="false">A129-B129-G129-'Plan-Annahmen'!$B$88*12</f>
        <v>54804.12</v>
      </c>
    </row>
    <row r="130" customFormat="false" ht="15" hidden="false" customHeight="true" outlineLevel="0" collapsed="false">
      <c r="A130" s="106" t="n">
        <v>95000</v>
      </c>
      <c r="B130" s="104" t="n">
        <f aca="false">MIN(MAX(A130/12,'Plan-Annahmen'!$B$100),'Plan-Annahmen'!$B$101)*12*('Plan-Annahmen'!$B$97+'Plan-Annahmen'!$B$98+'Plan-Annahmen'!$B$99)</f>
        <v>15135.75</v>
      </c>
      <c r="C130" s="104" t="n">
        <f aca="false">MAX(0,A130-B130-'Plan-Annahmen'!$B$102)</f>
        <v>79828.25</v>
      </c>
      <c r="D130" s="70" t="n">
        <f aca="false">IF(INT(MAX(0,C130))&lt;=12348,0,IF(INT(MAX(0,C130))&lt;=17799,(914.51*((INT(MAX(0,C130))-12348)/10000)+1400)*((INT(MAX(0,C130))-12348)/10000),IF(INT(MAX(0,C130))&lt;=69878,(173.1*((INT(MAX(0,C130))-17799)/10000)+2397)*((INT(MAX(0,C130))-17799)/10000)+1034.87,IF(INT(MAX(0,C130))&lt;=277825,0.42*INT(MAX(0,C130))-11135.63,0.45*INT(MAX(0,C130))-19470.38))))</f>
        <v>22392.13</v>
      </c>
      <c r="E130" s="70" t="n">
        <f aca="false">A130-B130-D130</f>
        <v>57472.12</v>
      </c>
      <c r="F130" s="104" t="n">
        <f aca="false">MAX(0,A130-B130-'Plan-Annahmen'!$B$88*12-'Plan-Annahmen'!$B$102)</f>
        <v>76228.25</v>
      </c>
      <c r="G130" s="70" t="n">
        <f aca="false">IF(INT(MAX(0,F130))&lt;=12348,0,IF(INT(MAX(0,F130))&lt;=17799,(914.51*((INT(MAX(0,F130))-12348)/10000)+1400)*((INT(MAX(0,F130))-12348)/10000),IF(INT(MAX(0,F130))&lt;=69878,(173.1*((INT(MAX(0,F130))-17799)/10000)+2397)*((INT(MAX(0,F130))-17799)/10000)+1034.87,IF(INT(MAX(0,F130))&lt;=277825,0.42*INT(MAX(0,F130))-11135.63,0.45*INT(MAX(0,F130))-19470.38))))</f>
        <v>20880.13</v>
      </c>
      <c r="H130" s="70" t="n">
        <f aca="false">A130-B130-G130-'Plan-Annahmen'!$B$88*12</f>
        <v>55384.12</v>
      </c>
    </row>
    <row r="131" customFormat="false" ht="15" hidden="false" customHeight="true" outlineLevel="0" collapsed="false">
      <c r="A131" s="106" t="n">
        <v>96000</v>
      </c>
      <c r="B131" s="104" t="n">
        <f aca="false">MIN(MAX(A131/12,'Plan-Annahmen'!$B$100),'Plan-Annahmen'!$B$101)*12*('Plan-Annahmen'!$B$97+'Plan-Annahmen'!$B$98+'Plan-Annahmen'!$B$99)</f>
        <v>15135.75</v>
      </c>
      <c r="C131" s="104" t="n">
        <f aca="false">MAX(0,A131-B131-'Plan-Annahmen'!$B$102)</f>
        <v>80828.25</v>
      </c>
      <c r="D131" s="70" t="n">
        <f aca="false">IF(INT(MAX(0,C131))&lt;=12348,0,IF(INT(MAX(0,C131))&lt;=17799,(914.51*((INT(MAX(0,C131))-12348)/10000)+1400)*((INT(MAX(0,C131))-12348)/10000),IF(INT(MAX(0,C131))&lt;=69878,(173.1*((INT(MAX(0,C131))-17799)/10000)+2397)*((INT(MAX(0,C131))-17799)/10000)+1034.87,IF(INT(MAX(0,C131))&lt;=277825,0.42*INT(MAX(0,C131))-11135.63,0.45*INT(MAX(0,C131))-19470.38))))</f>
        <v>22812.13</v>
      </c>
      <c r="E131" s="70" t="n">
        <f aca="false">A131-B131-D131</f>
        <v>58052.12</v>
      </c>
      <c r="F131" s="104" t="n">
        <f aca="false">MAX(0,A131-B131-'Plan-Annahmen'!$B$88*12-'Plan-Annahmen'!$B$102)</f>
        <v>77228.25</v>
      </c>
      <c r="G131" s="70" t="n">
        <f aca="false">IF(INT(MAX(0,F131))&lt;=12348,0,IF(INT(MAX(0,F131))&lt;=17799,(914.51*((INT(MAX(0,F131))-12348)/10000)+1400)*((INT(MAX(0,F131))-12348)/10000),IF(INT(MAX(0,F131))&lt;=69878,(173.1*((INT(MAX(0,F131))-17799)/10000)+2397)*((INT(MAX(0,F131))-17799)/10000)+1034.87,IF(INT(MAX(0,F131))&lt;=277825,0.42*INT(MAX(0,F131))-11135.63,0.45*INT(MAX(0,F131))-19470.38))))</f>
        <v>21300.13</v>
      </c>
      <c r="H131" s="70" t="n">
        <f aca="false">A131-B131-G131-'Plan-Annahmen'!$B$88*12</f>
        <v>55964.12</v>
      </c>
    </row>
    <row r="132" customFormat="false" ht="15" hidden="false" customHeight="true" outlineLevel="0" collapsed="false">
      <c r="A132" s="106" t="n">
        <v>97000</v>
      </c>
      <c r="B132" s="104" t="n">
        <f aca="false">MIN(MAX(A132/12,'Plan-Annahmen'!$B$100),'Plan-Annahmen'!$B$101)*12*('Plan-Annahmen'!$B$97+'Plan-Annahmen'!$B$98+'Plan-Annahmen'!$B$99)</f>
        <v>15135.75</v>
      </c>
      <c r="C132" s="104" t="n">
        <f aca="false">MAX(0,A132-B132-'Plan-Annahmen'!$B$102)</f>
        <v>81828.25</v>
      </c>
      <c r="D132" s="70" t="n">
        <f aca="false">IF(INT(MAX(0,C132))&lt;=12348,0,IF(INT(MAX(0,C132))&lt;=17799,(914.51*((INT(MAX(0,C132))-12348)/10000)+1400)*((INT(MAX(0,C132))-12348)/10000),IF(INT(MAX(0,C132))&lt;=69878,(173.1*((INT(MAX(0,C132))-17799)/10000)+2397)*((INT(MAX(0,C132))-17799)/10000)+1034.87,IF(INT(MAX(0,C132))&lt;=277825,0.42*INT(MAX(0,C132))-11135.63,0.45*INT(MAX(0,C132))-19470.38))))</f>
        <v>23232.13</v>
      </c>
      <c r="E132" s="70" t="n">
        <f aca="false">A132-B132-D132</f>
        <v>58632.12</v>
      </c>
      <c r="F132" s="104" t="n">
        <f aca="false">MAX(0,A132-B132-'Plan-Annahmen'!$B$88*12-'Plan-Annahmen'!$B$102)</f>
        <v>78228.25</v>
      </c>
      <c r="G132" s="70" t="n">
        <f aca="false">IF(INT(MAX(0,F132))&lt;=12348,0,IF(INT(MAX(0,F132))&lt;=17799,(914.51*((INT(MAX(0,F132))-12348)/10000)+1400)*((INT(MAX(0,F132))-12348)/10000),IF(INT(MAX(0,F132))&lt;=69878,(173.1*((INT(MAX(0,F132))-17799)/10000)+2397)*((INT(MAX(0,F132))-17799)/10000)+1034.87,IF(INT(MAX(0,F132))&lt;=277825,0.42*INT(MAX(0,F132))-11135.63,0.45*INT(MAX(0,F132))-19470.38))))</f>
        <v>21720.13</v>
      </c>
      <c r="H132" s="70" t="n">
        <f aca="false">A132-B132-G132-'Plan-Annahmen'!$B$88*12</f>
        <v>56544.12</v>
      </c>
    </row>
    <row r="133" customFormat="false" ht="15" hidden="false" customHeight="true" outlineLevel="0" collapsed="false">
      <c r="A133" s="106" t="n">
        <v>98000</v>
      </c>
      <c r="B133" s="104" t="n">
        <f aca="false">MIN(MAX(A133/12,'Plan-Annahmen'!$B$100),'Plan-Annahmen'!$B$101)*12*('Plan-Annahmen'!$B$97+'Plan-Annahmen'!$B$98+'Plan-Annahmen'!$B$99)</f>
        <v>15135.75</v>
      </c>
      <c r="C133" s="104" t="n">
        <f aca="false">MAX(0,A133-B133-'Plan-Annahmen'!$B$102)</f>
        <v>82828.25</v>
      </c>
      <c r="D133" s="70" t="n">
        <f aca="false">IF(INT(MAX(0,C133))&lt;=12348,0,IF(INT(MAX(0,C133))&lt;=17799,(914.51*((INT(MAX(0,C133))-12348)/10000)+1400)*((INT(MAX(0,C133))-12348)/10000),IF(INT(MAX(0,C133))&lt;=69878,(173.1*((INT(MAX(0,C133))-17799)/10000)+2397)*((INT(MAX(0,C133))-17799)/10000)+1034.87,IF(INT(MAX(0,C133))&lt;=277825,0.42*INT(MAX(0,C133))-11135.63,0.45*INT(MAX(0,C133))-19470.38))))</f>
        <v>23652.13</v>
      </c>
      <c r="E133" s="70" t="n">
        <f aca="false">A133-B133-D133</f>
        <v>59212.12</v>
      </c>
      <c r="F133" s="104" t="n">
        <f aca="false">MAX(0,A133-B133-'Plan-Annahmen'!$B$88*12-'Plan-Annahmen'!$B$102)</f>
        <v>79228.25</v>
      </c>
      <c r="G133" s="70" t="n">
        <f aca="false">IF(INT(MAX(0,F133))&lt;=12348,0,IF(INT(MAX(0,F133))&lt;=17799,(914.51*((INT(MAX(0,F133))-12348)/10000)+1400)*((INT(MAX(0,F133))-12348)/10000),IF(INT(MAX(0,F133))&lt;=69878,(173.1*((INT(MAX(0,F133))-17799)/10000)+2397)*((INT(MAX(0,F133))-17799)/10000)+1034.87,IF(INT(MAX(0,F133))&lt;=277825,0.42*INT(MAX(0,F133))-11135.63,0.45*INT(MAX(0,F133))-19470.38))))</f>
        <v>22140.13</v>
      </c>
      <c r="H133" s="70" t="n">
        <f aca="false">A133-B133-G133-'Plan-Annahmen'!$B$88*12</f>
        <v>57124.12</v>
      </c>
    </row>
    <row r="134" customFormat="false" ht="15" hidden="false" customHeight="true" outlineLevel="0" collapsed="false">
      <c r="A134" s="106" t="n">
        <v>99000</v>
      </c>
      <c r="B134" s="104" t="n">
        <f aca="false">MIN(MAX(A134/12,'Plan-Annahmen'!$B$100),'Plan-Annahmen'!$B$101)*12*('Plan-Annahmen'!$B$97+'Plan-Annahmen'!$B$98+'Plan-Annahmen'!$B$99)</f>
        <v>15135.75</v>
      </c>
      <c r="C134" s="104" t="n">
        <f aca="false">MAX(0,A134-B134-'Plan-Annahmen'!$B$102)</f>
        <v>83828.25</v>
      </c>
      <c r="D134" s="70" t="n">
        <f aca="false">IF(INT(MAX(0,C134))&lt;=12348,0,IF(INT(MAX(0,C134))&lt;=17799,(914.51*((INT(MAX(0,C134))-12348)/10000)+1400)*((INT(MAX(0,C134))-12348)/10000),IF(INT(MAX(0,C134))&lt;=69878,(173.1*((INT(MAX(0,C134))-17799)/10000)+2397)*((INT(MAX(0,C134))-17799)/10000)+1034.87,IF(INT(MAX(0,C134))&lt;=277825,0.42*INT(MAX(0,C134))-11135.63,0.45*INT(MAX(0,C134))-19470.38))))</f>
        <v>24072.13</v>
      </c>
      <c r="E134" s="70" t="n">
        <f aca="false">A134-B134-D134</f>
        <v>59792.12</v>
      </c>
      <c r="F134" s="104" t="n">
        <f aca="false">MAX(0,A134-B134-'Plan-Annahmen'!$B$88*12-'Plan-Annahmen'!$B$102)</f>
        <v>80228.25</v>
      </c>
      <c r="G134" s="70" t="n">
        <f aca="false">IF(INT(MAX(0,F134))&lt;=12348,0,IF(INT(MAX(0,F134))&lt;=17799,(914.51*((INT(MAX(0,F134))-12348)/10000)+1400)*((INT(MAX(0,F134))-12348)/10000),IF(INT(MAX(0,F134))&lt;=69878,(173.1*((INT(MAX(0,F134))-17799)/10000)+2397)*((INT(MAX(0,F134))-17799)/10000)+1034.87,IF(INT(MAX(0,F134))&lt;=277825,0.42*INT(MAX(0,F134))-11135.63,0.45*INT(MAX(0,F134))-19470.38))))</f>
        <v>22560.13</v>
      </c>
      <c r="H134" s="70" t="n">
        <f aca="false">A134-B134-G134-'Plan-Annahmen'!$B$88*12</f>
        <v>57704.12</v>
      </c>
    </row>
    <row r="135" customFormat="false" ht="15" hidden="false" customHeight="true" outlineLevel="0" collapsed="false">
      <c r="A135" s="106" t="n">
        <v>100000</v>
      </c>
      <c r="B135" s="104" t="n">
        <f aca="false">MIN(MAX(A135/12,'Plan-Annahmen'!$B$100),'Plan-Annahmen'!$B$101)*12*('Plan-Annahmen'!$B$97+'Plan-Annahmen'!$B$98+'Plan-Annahmen'!$B$99)</f>
        <v>15135.75</v>
      </c>
      <c r="C135" s="104" t="n">
        <f aca="false">MAX(0,A135-B135-'Plan-Annahmen'!$B$102)</f>
        <v>84828.25</v>
      </c>
      <c r="D135" s="70" t="n">
        <f aca="false">IF(INT(MAX(0,C135))&lt;=12348,0,IF(INT(MAX(0,C135))&lt;=17799,(914.51*((INT(MAX(0,C135))-12348)/10000)+1400)*((INT(MAX(0,C135))-12348)/10000),IF(INT(MAX(0,C135))&lt;=69878,(173.1*((INT(MAX(0,C135))-17799)/10000)+2397)*((INT(MAX(0,C135))-17799)/10000)+1034.87,IF(INT(MAX(0,C135))&lt;=277825,0.42*INT(MAX(0,C135))-11135.63,0.45*INT(MAX(0,C135))-19470.38))))</f>
        <v>24492.13</v>
      </c>
      <c r="E135" s="70" t="n">
        <f aca="false">A135-B135-D135</f>
        <v>60372.12</v>
      </c>
      <c r="F135" s="104" t="n">
        <f aca="false">MAX(0,A135-B135-'Plan-Annahmen'!$B$88*12-'Plan-Annahmen'!$B$102)</f>
        <v>81228.25</v>
      </c>
      <c r="G135" s="70" t="n">
        <f aca="false">IF(INT(MAX(0,F135))&lt;=12348,0,IF(INT(MAX(0,F135))&lt;=17799,(914.51*((INT(MAX(0,F135))-12348)/10000)+1400)*((INT(MAX(0,F135))-12348)/10000),IF(INT(MAX(0,F135))&lt;=69878,(173.1*((INT(MAX(0,F135))-17799)/10000)+2397)*((INT(MAX(0,F135))-17799)/10000)+1034.87,IF(INT(MAX(0,F135))&lt;=277825,0.42*INT(MAX(0,F135))-11135.63,0.45*INT(MAX(0,F135))-19470.38))))</f>
        <v>22980.13</v>
      </c>
      <c r="H135" s="70" t="n">
        <f aca="false">A135-B135-G135-'Plan-Annahmen'!$B$88*12</f>
        <v>58284.12</v>
      </c>
    </row>
    <row r="136" customFormat="false" ht="15" hidden="false" customHeight="true" outlineLevel="0" collapsed="false">
      <c r="A136" s="106" t="n">
        <v>101000</v>
      </c>
      <c r="B136" s="104" t="n">
        <f aca="false">MIN(MAX(A136/12,'Plan-Annahmen'!$B$100),'Plan-Annahmen'!$B$101)*12*('Plan-Annahmen'!$B$97+'Plan-Annahmen'!$B$98+'Plan-Annahmen'!$B$99)</f>
        <v>15135.75</v>
      </c>
      <c r="C136" s="104" t="n">
        <f aca="false">MAX(0,A136-B136-'Plan-Annahmen'!$B$102)</f>
        <v>85828.25</v>
      </c>
      <c r="D136" s="70" t="n">
        <f aca="false">IF(INT(MAX(0,C136))&lt;=12348,0,IF(INT(MAX(0,C136))&lt;=17799,(914.51*((INT(MAX(0,C136))-12348)/10000)+1400)*((INT(MAX(0,C136))-12348)/10000),IF(INT(MAX(0,C136))&lt;=69878,(173.1*((INT(MAX(0,C136))-17799)/10000)+2397)*((INT(MAX(0,C136))-17799)/10000)+1034.87,IF(INT(MAX(0,C136))&lt;=277825,0.42*INT(MAX(0,C136))-11135.63,0.45*INT(MAX(0,C136))-19470.38))))</f>
        <v>24912.13</v>
      </c>
      <c r="E136" s="70" t="n">
        <f aca="false">A136-B136-D136</f>
        <v>60952.12</v>
      </c>
      <c r="F136" s="104" t="n">
        <f aca="false">MAX(0,A136-B136-'Plan-Annahmen'!$B$88*12-'Plan-Annahmen'!$B$102)</f>
        <v>82228.25</v>
      </c>
      <c r="G136" s="70" t="n">
        <f aca="false">IF(INT(MAX(0,F136))&lt;=12348,0,IF(INT(MAX(0,F136))&lt;=17799,(914.51*((INT(MAX(0,F136))-12348)/10000)+1400)*((INT(MAX(0,F136))-12348)/10000),IF(INT(MAX(0,F136))&lt;=69878,(173.1*((INT(MAX(0,F136))-17799)/10000)+2397)*((INT(MAX(0,F136))-17799)/10000)+1034.87,IF(INT(MAX(0,F136))&lt;=277825,0.42*INT(MAX(0,F136))-11135.63,0.45*INT(MAX(0,F136))-19470.38))))</f>
        <v>23400.13</v>
      </c>
      <c r="H136" s="70" t="n">
        <f aca="false">A136-B136-G136-'Plan-Annahmen'!$B$88*12</f>
        <v>58864.12</v>
      </c>
    </row>
    <row r="137" customFormat="false" ht="15" hidden="false" customHeight="true" outlineLevel="0" collapsed="false">
      <c r="A137" s="106" t="n">
        <v>102000</v>
      </c>
      <c r="B137" s="104" t="n">
        <f aca="false">MIN(MAX(A137/12,'Plan-Annahmen'!$B$100),'Plan-Annahmen'!$B$101)*12*('Plan-Annahmen'!$B$97+'Plan-Annahmen'!$B$98+'Plan-Annahmen'!$B$99)</f>
        <v>15135.75</v>
      </c>
      <c r="C137" s="104" t="n">
        <f aca="false">MAX(0,A137-B137-'Plan-Annahmen'!$B$102)</f>
        <v>86828.25</v>
      </c>
      <c r="D137" s="70" t="n">
        <f aca="false">IF(INT(MAX(0,C137))&lt;=12348,0,IF(INT(MAX(0,C137))&lt;=17799,(914.51*((INT(MAX(0,C137))-12348)/10000)+1400)*((INT(MAX(0,C137))-12348)/10000),IF(INT(MAX(0,C137))&lt;=69878,(173.1*((INT(MAX(0,C137))-17799)/10000)+2397)*((INT(MAX(0,C137))-17799)/10000)+1034.87,IF(INT(MAX(0,C137))&lt;=277825,0.42*INT(MAX(0,C137))-11135.63,0.45*INT(MAX(0,C137))-19470.38))))</f>
        <v>25332.13</v>
      </c>
      <c r="E137" s="70" t="n">
        <f aca="false">A137-B137-D137</f>
        <v>61532.12</v>
      </c>
      <c r="F137" s="104" t="n">
        <f aca="false">MAX(0,A137-B137-'Plan-Annahmen'!$B$88*12-'Plan-Annahmen'!$B$102)</f>
        <v>83228.25</v>
      </c>
      <c r="G137" s="70" t="n">
        <f aca="false">IF(INT(MAX(0,F137))&lt;=12348,0,IF(INT(MAX(0,F137))&lt;=17799,(914.51*((INT(MAX(0,F137))-12348)/10000)+1400)*((INT(MAX(0,F137))-12348)/10000),IF(INT(MAX(0,F137))&lt;=69878,(173.1*((INT(MAX(0,F137))-17799)/10000)+2397)*((INT(MAX(0,F137))-17799)/10000)+1034.87,IF(INT(MAX(0,F137))&lt;=277825,0.42*INT(MAX(0,F137))-11135.63,0.45*INT(MAX(0,F137))-19470.38))))</f>
        <v>23820.13</v>
      </c>
      <c r="H137" s="70" t="n">
        <f aca="false">A137-B137-G137-'Plan-Annahmen'!$B$88*12</f>
        <v>59444.12</v>
      </c>
    </row>
    <row r="138" customFormat="false" ht="15" hidden="false" customHeight="true" outlineLevel="0" collapsed="false">
      <c r="A138" s="106" t="n">
        <v>103000</v>
      </c>
      <c r="B138" s="104" t="n">
        <f aca="false">MIN(MAX(A138/12,'Plan-Annahmen'!$B$100),'Plan-Annahmen'!$B$101)*12*('Plan-Annahmen'!$B$97+'Plan-Annahmen'!$B$98+'Plan-Annahmen'!$B$99)</f>
        <v>15135.75</v>
      </c>
      <c r="C138" s="104" t="n">
        <f aca="false">MAX(0,A138-B138-'Plan-Annahmen'!$B$102)</f>
        <v>87828.25</v>
      </c>
      <c r="D138" s="70" t="n">
        <f aca="false">IF(INT(MAX(0,C138))&lt;=12348,0,IF(INT(MAX(0,C138))&lt;=17799,(914.51*((INT(MAX(0,C138))-12348)/10000)+1400)*((INT(MAX(0,C138))-12348)/10000),IF(INT(MAX(0,C138))&lt;=69878,(173.1*((INT(MAX(0,C138))-17799)/10000)+2397)*((INT(MAX(0,C138))-17799)/10000)+1034.87,IF(INT(MAX(0,C138))&lt;=277825,0.42*INT(MAX(0,C138))-11135.63,0.45*INT(MAX(0,C138))-19470.38))))</f>
        <v>25752.13</v>
      </c>
      <c r="E138" s="70" t="n">
        <f aca="false">A138-B138-D138</f>
        <v>62112.12</v>
      </c>
      <c r="F138" s="104" t="n">
        <f aca="false">MAX(0,A138-B138-'Plan-Annahmen'!$B$88*12-'Plan-Annahmen'!$B$102)</f>
        <v>84228.25</v>
      </c>
      <c r="G138" s="70" t="n">
        <f aca="false">IF(INT(MAX(0,F138))&lt;=12348,0,IF(INT(MAX(0,F138))&lt;=17799,(914.51*((INT(MAX(0,F138))-12348)/10000)+1400)*((INT(MAX(0,F138))-12348)/10000),IF(INT(MAX(0,F138))&lt;=69878,(173.1*((INT(MAX(0,F138))-17799)/10000)+2397)*((INT(MAX(0,F138))-17799)/10000)+1034.87,IF(INT(MAX(0,F138))&lt;=277825,0.42*INT(MAX(0,F138))-11135.63,0.45*INT(MAX(0,F138))-19470.38))))</f>
        <v>24240.13</v>
      </c>
      <c r="H138" s="70" t="n">
        <f aca="false">A138-B138-G138-'Plan-Annahmen'!$B$88*12</f>
        <v>60024.12</v>
      </c>
    </row>
    <row r="139" customFormat="false" ht="15" hidden="false" customHeight="true" outlineLevel="0" collapsed="false">
      <c r="A139" s="106" t="n">
        <v>104000</v>
      </c>
      <c r="B139" s="104" t="n">
        <f aca="false">MIN(MAX(A139/12,'Plan-Annahmen'!$B$100),'Plan-Annahmen'!$B$101)*12*('Plan-Annahmen'!$B$97+'Plan-Annahmen'!$B$98+'Plan-Annahmen'!$B$99)</f>
        <v>15135.75</v>
      </c>
      <c r="C139" s="104" t="n">
        <f aca="false">MAX(0,A139-B139-'Plan-Annahmen'!$B$102)</f>
        <v>88828.25</v>
      </c>
      <c r="D139" s="70" t="n">
        <f aca="false">IF(INT(MAX(0,C139))&lt;=12348,0,IF(INT(MAX(0,C139))&lt;=17799,(914.51*((INT(MAX(0,C139))-12348)/10000)+1400)*((INT(MAX(0,C139))-12348)/10000),IF(INT(MAX(0,C139))&lt;=69878,(173.1*((INT(MAX(0,C139))-17799)/10000)+2397)*((INT(MAX(0,C139))-17799)/10000)+1034.87,IF(INT(MAX(0,C139))&lt;=277825,0.42*INT(MAX(0,C139))-11135.63,0.45*INT(MAX(0,C139))-19470.38))))</f>
        <v>26172.13</v>
      </c>
      <c r="E139" s="70" t="n">
        <f aca="false">A139-B139-D139</f>
        <v>62692.12</v>
      </c>
      <c r="F139" s="104" t="n">
        <f aca="false">MAX(0,A139-B139-'Plan-Annahmen'!$B$88*12-'Plan-Annahmen'!$B$102)</f>
        <v>85228.25</v>
      </c>
      <c r="G139" s="70" t="n">
        <f aca="false">IF(INT(MAX(0,F139))&lt;=12348,0,IF(INT(MAX(0,F139))&lt;=17799,(914.51*((INT(MAX(0,F139))-12348)/10000)+1400)*((INT(MAX(0,F139))-12348)/10000),IF(INT(MAX(0,F139))&lt;=69878,(173.1*((INT(MAX(0,F139))-17799)/10000)+2397)*((INT(MAX(0,F139))-17799)/10000)+1034.87,IF(INT(MAX(0,F139))&lt;=277825,0.42*INT(MAX(0,F139))-11135.63,0.45*INT(MAX(0,F139))-19470.38))))</f>
        <v>24660.13</v>
      </c>
      <c r="H139" s="70" t="n">
        <f aca="false">A139-B139-G139-'Plan-Annahmen'!$B$88*12</f>
        <v>60604.12</v>
      </c>
    </row>
    <row r="140" customFormat="false" ht="15" hidden="false" customHeight="true" outlineLevel="0" collapsed="false">
      <c r="A140" s="106" t="n">
        <v>105000</v>
      </c>
      <c r="B140" s="104" t="n">
        <f aca="false">MIN(MAX(A140/12,'Plan-Annahmen'!$B$100),'Plan-Annahmen'!$B$101)*12*('Plan-Annahmen'!$B$97+'Plan-Annahmen'!$B$98+'Plan-Annahmen'!$B$99)</f>
        <v>15135.75</v>
      </c>
      <c r="C140" s="104" t="n">
        <f aca="false">MAX(0,A140-B140-'Plan-Annahmen'!$B$102)</f>
        <v>89828.25</v>
      </c>
      <c r="D140" s="70" t="n">
        <f aca="false">IF(INT(MAX(0,C140))&lt;=12348,0,IF(INT(MAX(0,C140))&lt;=17799,(914.51*((INT(MAX(0,C140))-12348)/10000)+1400)*((INT(MAX(0,C140))-12348)/10000),IF(INT(MAX(0,C140))&lt;=69878,(173.1*((INT(MAX(0,C140))-17799)/10000)+2397)*((INT(MAX(0,C140))-17799)/10000)+1034.87,IF(INT(MAX(0,C140))&lt;=277825,0.42*INT(MAX(0,C140))-11135.63,0.45*INT(MAX(0,C140))-19470.38))))</f>
        <v>26592.13</v>
      </c>
      <c r="E140" s="70" t="n">
        <f aca="false">A140-B140-D140</f>
        <v>63272.12</v>
      </c>
      <c r="F140" s="104" t="n">
        <f aca="false">MAX(0,A140-B140-'Plan-Annahmen'!$B$88*12-'Plan-Annahmen'!$B$102)</f>
        <v>86228.25</v>
      </c>
      <c r="G140" s="70" t="n">
        <f aca="false">IF(INT(MAX(0,F140))&lt;=12348,0,IF(INT(MAX(0,F140))&lt;=17799,(914.51*((INT(MAX(0,F140))-12348)/10000)+1400)*((INT(MAX(0,F140))-12348)/10000),IF(INT(MAX(0,F140))&lt;=69878,(173.1*((INT(MAX(0,F140))-17799)/10000)+2397)*((INT(MAX(0,F140))-17799)/10000)+1034.87,IF(INT(MAX(0,F140))&lt;=277825,0.42*INT(MAX(0,F140))-11135.63,0.45*INT(MAX(0,F140))-19470.38))))</f>
        <v>25080.13</v>
      </c>
      <c r="H140" s="70" t="n">
        <f aca="false">A140-B140-G140-'Plan-Annahmen'!$B$88*12</f>
        <v>61184.12</v>
      </c>
    </row>
    <row r="141" customFormat="false" ht="15" hidden="false" customHeight="true" outlineLevel="0" collapsed="false">
      <c r="A141" s="106" t="n">
        <v>106000</v>
      </c>
      <c r="B141" s="104" t="n">
        <f aca="false">MIN(MAX(A141/12,'Plan-Annahmen'!$B$100),'Plan-Annahmen'!$B$101)*12*('Plan-Annahmen'!$B$97+'Plan-Annahmen'!$B$98+'Plan-Annahmen'!$B$99)</f>
        <v>15135.75</v>
      </c>
      <c r="C141" s="104" t="n">
        <f aca="false">MAX(0,A141-B141-'Plan-Annahmen'!$B$102)</f>
        <v>90828.25</v>
      </c>
      <c r="D141" s="70" t="n">
        <f aca="false">IF(INT(MAX(0,C141))&lt;=12348,0,IF(INT(MAX(0,C141))&lt;=17799,(914.51*((INT(MAX(0,C141))-12348)/10000)+1400)*((INT(MAX(0,C141))-12348)/10000),IF(INT(MAX(0,C141))&lt;=69878,(173.1*((INT(MAX(0,C141))-17799)/10000)+2397)*((INT(MAX(0,C141))-17799)/10000)+1034.87,IF(INT(MAX(0,C141))&lt;=277825,0.42*INT(MAX(0,C141))-11135.63,0.45*INT(MAX(0,C141))-19470.38))))</f>
        <v>27012.13</v>
      </c>
      <c r="E141" s="70" t="n">
        <f aca="false">A141-B141-D141</f>
        <v>63852.12</v>
      </c>
      <c r="F141" s="104" t="n">
        <f aca="false">MAX(0,A141-B141-'Plan-Annahmen'!$B$88*12-'Plan-Annahmen'!$B$102)</f>
        <v>87228.25</v>
      </c>
      <c r="G141" s="70" t="n">
        <f aca="false">IF(INT(MAX(0,F141))&lt;=12348,0,IF(INT(MAX(0,F141))&lt;=17799,(914.51*((INT(MAX(0,F141))-12348)/10000)+1400)*((INT(MAX(0,F141))-12348)/10000),IF(INT(MAX(0,F141))&lt;=69878,(173.1*((INT(MAX(0,F141))-17799)/10000)+2397)*((INT(MAX(0,F141))-17799)/10000)+1034.87,IF(INT(MAX(0,F141))&lt;=277825,0.42*INT(MAX(0,F141))-11135.63,0.45*INT(MAX(0,F141))-19470.38))))</f>
        <v>25500.13</v>
      </c>
      <c r="H141" s="70" t="n">
        <f aca="false">A141-B141-G141-'Plan-Annahmen'!$B$88*12</f>
        <v>61764.12</v>
      </c>
    </row>
    <row r="142" customFormat="false" ht="15" hidden="false" customHeight="true" outlineLevel="0" collapsed="false">
      <c r="A142" s="106" t="n">
        <v>107000</v>
      </c>
      <c r="B142" s="104" t="n">
        <f aca="false">MIN(MAX(A142/12,'Plan-Annahmen'!$B$100),'Plan-Annahmen'!$B$101)*12*('Plan-Annahmen'!$B$97+'Plan-Annahmen'!$B$98+'Plan-Annahmen'!$B$99)</f>
        <v>15135.75</v>
      </c>
      <c r="C142" s="104" t="n">
        <f aca="false">MAX(0,A142-B142-'Plan-Annahmen'!$B$102)</f>
        <v>91828.25</v>
      </c>
      <c r="D142" s="70" t="n">
        <f aca="false">IF(INT(MAX(0,C142))&lt;=12348,0,IF(INT(MAX(0,C142))&lt;=17799,(914.51*((INT(MAX(0,C142))-12348)/10000)+1400)*((INT(MAX(0,C142))-12348)/10000),IF(INT(MAX(0,C142))&lt;=69878,(173.1*((INT(MAX(0,C142))-17799)/10000)+2397)*((INT(MAX(0,C142))-17799)/10000)+1034.87,IF(INT(MAX(0,C142))&lt;=277825,0.42*INT(MAX(0,C142))-11135.63,0.45*INT(MAX(0,C142))-19470.38))))</f>
        <v>27432.13</v>
      </c>
      <c r="E142" s="70" t="n">
        <f aca="false">A142-B142-D142</f>
        <v>64432.12</v>
      </c>
      <c r="F142" s="104" t="n">
        <f aca="false">MAX(0,A142-B142-'Plan-Annahmen'!$B$88*12-'Plan-Annahmen'!$B$102)</f>
        <v>88228.25</v>
      </c>
      <c r="G142" s="70" t="n">
        <f aca="false">IF(INT(MAX(0,F142))&lt;=12348,0,IF(INT(MAX(0,F142))&lt;=17799,(914.51*((INT(MAX(0,F142))-12348)/10000)+1400)*((INT(MAX(0,F142))-12348)/10000),IF(INT(MAX(0,F142))&lt;=69878,(173.1*((INT(MAX(0,F142))-17799)/10000)+2397)*((INT(MAX(0,F142))-17799)/10000)+1034.87,IF(INT(MAX(0,F142))&lt;=277825,0.42*INT(MAX(0,F142))-11135.63,0.45*INT(MAX(0,F142))-19470.38))))</f>
        <v>25920.13</v>
      </c>
      <c r="H142" s="70" t="n">
        <f aca="false">A142-B142-G142-'Plan-Annahmen'!$B$88*12</f>
        <v>62344.12</v>
      </c>
    </row>
    <row r="143" customFormat="false" ht="15" hidden="false" customHeight="true" outlineLevel="0" collapsed="false">
      <c r="A143" s="106" t="n">
        <v>108000</v>
      </c>
      <c r="B143" s="104" t="n">
        <f aca="false">MIN(MAX(A143/12,'Plan-Annahmen'!$B$100),'Plan-Annahmen'!$B$101)*12*('Plan-Annahmen'!$B$97+'Plan-Annahmen'!$B$98+'Plan-Annahmen'!$B$99)</f>
        <v>15135.75</v>
      </c>
      <c r="C143" s="104" t="n">
        <f aca="false">MAX(0,A143-B143-'Plan-Annahmen'!$B$102)</f>
        <v>92828.25</v>
      </c>
      <c r="D143" s="70" t="n">
        <f aca="false">IF(INT(MAX(0,C143))&lt;=12348,0,IF(INT(MAX(0,C143))&lt;=17799,(914.51*((INT(MAX(0,C143))-12348)/10000)+1400)*((INT(MAX(0,C143))-12348)/10000),IF(INT(MAX(0,C143))&lt;=69878,(173.1*((INT(MAX(0,C143))-17799)/10000)+2397)*((INT(MAX(0,C143))-17799)/10000)+1034.87,IF(INT(MAX(0,C143))&lt;=277825,0.42*INT(MAX(0,C143))-11135.63,0.45*INT(MAX(0,C143))-19470.38))))</f>
        <v>27852.13</v>
      </c>
      <c r="E143" s="70" t="n">
        <f aca="false">A143-B143-D143</f>
        <v>65012.12</v>
      </c>
      <c r="F143" s="104" t="n">
        <f aca="false">MAX(0,A143-B143-'Plan-Annahmen'!$B$88*12-'Plan-Annahmen'!$B$102)</f>
        <v>89228.25</v>
      </c>
      <c r="G143" s="70" t="n">
        <f aca="false">IF(INT(MAX(0,F143))&lt;=12348,0,IF(INT(MAX(0,F143))&lt;=17799,(914.51*((INT(MAX(0,F143))-12348)/10000)+1400)*((INT(MAX(0,F143))-12348)/10000),IF(INT(MAX(0,F143))&lt;=69878,(173.1*((INT(MAX(0,F143))-17799)/10000)+2397)*((INT(MAX(0,F143))-17799)/10000)+1034.87,IF(INT(MAX(0,F143))&lt;=277825,0.42*INT(MAX(0,F143))-11135.63,0.45*INT(MAX(0,F143))-19470.38))))</f>
        <v>26340.13</v>
      </c>
      <c r="H143" s="70" t="n">
        <f aca="false">A143-B143-G143-'Plan-Annahmen'!$B$88*12</f>
        <v>62924.12</v>
      </c>
    </row>
    <row r="144" customFormat="false" ht="15" hidden="false" customHeight="true" outlineLevel="0" collapsed="false">
      <c r="A144" s="106" t="n">
        <v>109000</v>
      </c>
      <c r="B144" s="104" t="n">
        <f aca="false">MIN(MAX(A144/12,'Plan-Annahmen'!$B$100),'Plan-Annahmen'!$B$101)*12*('Plan-Annahmen'!$B$97+'Plan-Annahmen'!$B$98+'Plan-Annahmen'!$B$99)</f>
        <v>15135.75</v>
      </c>
      <c r="C144" s="104" t="n">
        <f aca="false">MAX(0,A144-B144-'Plan-Annahmen'!$B$102)</f>
        <v>93828.25</v>
      </c>
      <c r="D144" s="70" t="n">
        <f aca="false">IF(INT(MAX(0,C144))&lt;=12348,0,IF(INT(MAX(0,C144))&lt;=17799,(914.51*((INT(MAX(0,C144))-12348)/10000)+1400)*((INT(MAX(0,C144))-12348)/10000),IF(INT(MAX(0,C144))&lt;=69878,(173.1*((INT(MAX(0,C144))-17799)/10000)+2397)*((INT(MAX(0,C144))-17799)/10000)+1034.87,IF(INT(MAX(0,C144))&lt;=277825,0.42*INT(MAX(0,C144))-11135.63,0.45*INT(MAX(0,C144))-19470.38))))</f>
        <v>28272.13</v>
      </c>
      <c r="E144" s="70" t="n">
        <f aca="false">A144-B144-D144</f>
        <v>65592.12</v>
      </c>
      <c r="F144" s="104" t="n">
        <f aca="false">MAX(0,A144-B144-'Plan-Annahmen'!$B$88*12-'Plan-Annahmen'!$B$102)</f>
        <v>90228.25</v>
      </c>
      <c r="G144" s="70" t="n">
        <f aca="false">IF(INT(MAX(0,F144))&lt;=12348,0,IF(INT(MAX(0,F144))&lt;=17799,(914.51*((INT(MAX(0,F144))-12348)/10000)+1400)*((INT(MAX(0,F144))-12348)/10000),IF(INT(MAX(0,F144))&lt;=69878,(173.1*((INT(MAX(0,F144))-17799)/10000)+2397)*((INT(MAX(0,F144))-17799)/10000)+1034.87,IF(INT(MAX(0,F144))&lt;=277825,0.42*INT(MAX(0,F144))-11135.63,0.45*INT(MAX(0,F144))-19470.38))))</f>
        <v>26760.13</v>
      </c>
      <c r="H144" s="70" t="n">
        <f aca="false">A144-B144-G144-'Plan-Annahmen'!$B$88*12</f>
        <v>63504.12</v>
      </c>
    </row>
    <row r="145" customFormat="false" ht="15" hidden="false" customHeight="true" outlineLevel="0" collapsed="false">
      <c r="A145" s="106" t="n">
        <v>110000</v>
      </c>
      <c r="B145" s="104" t="n">
        <f aca="false">MIN(MAX(A145/12,'Plan-Annahmen'!$B$100),'Plan-Annahmen'!$B$101)*12*('Plan-Annahmen'!$B$97+'Plan-Annahmen'!$B$98+'Plan-Annahmen'!$B$99)</f>
        <v>15135.75</v>
      </c>
      <c r="C145" s="104" t="n">
        <f aca="false">MAX(0,A145-B145-'Plan-Annahmen'!$B$102)</f>
        <v>94828.25</v>
      </c>
      <c r="D145" s="70" t="n">
        <f aca="false">IF(INT(MAX(0,C145))&lt;=12348,0,IF(INT(MAX(0,C145))&lt;=17799,(914.51*((INT(MAX(0,C145))-12348)/10000)+1400)*((INT(MAX(0,C145))-12348)/10000),IF(INT(MAX(0,C145))&lt;=69878,(173.1*((INT(MAX(0,C145))-17799)/10000)+2397)*((INT(MAX(0,C145))-17799)/10000)+1034.87,IF(INT(MAX(0,C145))&lt;=277825,0.42*INT(MAX(0,C145))-11135.63,0.45*INT(MAX(0,C145))-19470.38))))</f>
        <v>28692.13</v>
      </c>
      <c r="E145" s="70" t="n">
        <f aca="false">A145-B145-D145</f>
        <v>66172.12</v>
      </c>
      <c r="F145" s="104" t="n">
        <f aca="false">MAX(0,A145-B145-'Plan-Annahmen'!$B$88*12-'Plan-Annahmen'!$B$102)</f>
        <v>91228.25</v>
      </c>
      <c r="G145" s="70" t="n">
        <f aca="false">IF(INT(MAX(0,F145))&lt;=12348,0,IF(INT(MAX(0,F145))&lt;=17799,(914.51*((INT(MAX(0,F145))-12348)/10000)+1400)*((INT(MAX(0,F145))-12348)/10000),IF(INT(MAX(0,F145))&lt;=69878,(173.1*((INT(MAX(0,F145))-17799)/10000)+2397)*((INT(MAX(0,F145))-17799)/10000)+1034.87,IF(INT(MAX(0,F145))&lt;=277825,0.42*INT(MAX(0,F145))-11135.63,0.45*INT(MAX(0,F145))-19470.38))))</f>
        <v>27180.13</v>
      </c>
      <c r="H145" s="70" t="n">
        <f aca="false">A145-B145-G145-'Plan-Annahmen'!$B$88*12</f>
        <v>64084.12</v>
      </c>
    </row>
    <row r="146" customFormat="false" ht="15" hidden="false" customHeight="true" outlineLevel="0" collapsed="false">
      <c r="A146" s="106" t="n">
        <v>111000</v>
      </c>
      <c r="B146" s="104" t="n">
        <f aca="false">MIN(MAX(A146/12,'Plan-Annahmen'!$B$100),'Plan-Annahmen'!$B$101)*12*('Plan-Annahmen'!$B$97+'Plan-Annahmen'!$B$98+'Plan-Annahmen'!$B$99)</f>
        <v>15135.75</v>
      </c>
      <c r="C146" s="104" t="n">
        <f aca="false">MAX(0,A146-B146-'Plan-Annahmen'!$B$102)</f>
        <v>95828.25</v>
      </c>
      <c r="D146" s="70" t="n">
        <f aca="false">IF(INT(MAX(0,C146))&lt;=12348,0,IF(INT(MAX(0,C146))&lt;=17799,(914.51*((INT(MAX(0,C146))-12348)/10000)+1400)*((INT(MAX(0,C146))-12348)/10000),IF(INT(MAX(0,C146))&lt;=69878,(173.1*((INT(MAX(0,C146))-17799)/10000)+2397)*((INT(MAX(0,C146))-17799)/10000)+1034.87,IF(INT(MAX(0,C146))&lt;=277825,0.42*INT(MAX(0,C146))-11135.63,0.45*INT(MAX(0,C146))-19470.38))))</f>
        <v>29112.13</v>
      </c>
      <c r="E146" s="70" t="n">
        <f aca="false">A146-B146-D146</f>
        <v>66752.12</v>
      </c>
      <c r="F146" s="104" t="n">
        <f aca="false">MAX(0,A146-B146-'Plan-Annahmen'!$B$88*12-'Plan-Annahmen'!$B$102)</f>
        <v>92228.25</v>
      </c>
      <c r="G146" s="70" t="n">
        <f aca="false">IF(INT(MAX(0,F146))&lt;=12348,0,IF(INT(MAX(0,F146))&lt;=17799,(914.51*((INT(MAX(0,F146))-12348)/10000)+1400)*((INT(MAX(0,F146))-12348)/10000),IF(INT(MAX(0,F146))&lt;=69878,(173.1*((INT(MAX(0,F146))-17799)/10000)+2397)*((INT(MAX(0,F146))-17799)/10000)+1034.87,IF(INT(MAX(0,F146))&lt;=277825,0.42*INT(MAX(0,F146))-11135.63,0.45*INT(MAX(0,F146))-19470.38))))</f>
        <v>27600.13</v>
      </c>
      <c r="H146" s="70" t="n">
        <f aca="false">A146-B146-G146-'Plan-Annahmen'!$B$88*12</f>
        <v>64664.12</v>
      </c>
    </row>
    <row r="147" customFormat="false" ht="15" hidden="false" customHeight="true" outlineLevel="0" collapsed="false">
      <c r="A147" s="106" t="n">
        <v>112000</v>
      </c>
      <c r="B147" s="104" t="n">
        <f aca="false">MIN(MAX(A147/12,'Plan-Annahmen'!$B$100),'Plan-Annahmen'!$B$101)*12*('Plan-Annahmen'!$B$97+'Plan-Annahmen'!$B$98+'Plan-Annahmen'!$B$99)</f>
        <v>15135.75</v>
      </c>
      <c r="C147" s="104" t="n">
        <f aca="false">MAX(0,A147-B147-'Plan-Annahmen'!$B$102)</f>
        <v>96828.25</v>
      </c>
      <c r="D147" s="70" t="n">
        <f aca="false">IF(INT(MAX(0,C147))&lt;=12348,0,IF(INT(MAX(0,C147))&lt;=17799,(914.51*((INT(MAX(0,C147))-12348)/10000)+1400)*((INT(MAX(0,C147))-12348)/10000),IF(INT(MAX(0,C147))&lt;=69878,(173.1*((INT(MAX(0,C147))-17799)/10000)+2397)*((INT(MAX(0,C147))-17799)/10000)+1034.87,IF(INT(MAX(0,C147))&lt;=277825,0.42*INT(MAX(0,C147))-11135.63,0.45*INT(MAX(0,C147))-19470.38))))</f>
        <v>29532.13</v>
      </c>
      <c r="E147" s="70" t="n">
        <f aca="false">A147-B147-D147</f>
        <v>67332.12</v>
      </c>
      <c r="F147" s="104" t="n">
        <f aca="false">MAX(0,A147-B147-'Plan-Annahmen'!$B$88*12-'Plan-Annahmen'!$B$102)</f>
        <v>93228.25</v>
      </c>
      <c r="G147" s="70" t="n">
        <f aca="false">IF(INT(MAX(0,F147))&lt;=12348,0,IF(INT(MAX(0,F147))&lt;=17799,(914.51*((INT(MAX(0,F147))-12348)/10000)+1400)*((INT(MAX(0,F147))-12348)/10000),IF(INT(MAX(0,F147))&lt;=69878,(173.1*((INT(MAX(0,F147))-17799)/10000)+2397)*((INT(MAX(0,F147))-17799)/10000)+1034.87,IF(INT(MAX(0,F147))&lt;=277825,0.42*INT(MAX(0,F147))-11135.63,0.45*INT(MAX(0,F147))-19470.38))))</f>
        <v>28020.13</v>
      </c>
      <c r="H147" s="70" t="n">
        <f aca="false">A147-B147-G147-'Plan-Annahmen'!$B$88*12</f>
        <v>65244.12</v>
      </c>
    </row>
    <row r="148" customFormat="false" ht="15" hidden="false" customHeight="true" outlineLevel="0" collapsed="false">
      <c r="A148" s="106" t="n">
        <v>113000</v>
      </c>
      <c r="B148" s="104" t="n">
        <f aca="false">MIN(MAX(A148/12,'Plan-Annahmen'!$B$100),'Plan-Annahmen'!$B$101)*12*('Plan-Annahmen'!$B$97+'Plan-Annahmen'!$B$98+'Plan-Annahmen'!$B$99)</f>
        <v>15135.75</v>
      </c>
      <c r="C148" s="104" t="n">
        <f aca="false">MAX(0,A148-B148-'Plan-Annahmen'!$B$102)</f>
        <v>97828.25</v>
      </c>
      <c r="D148" s="70" t="n">
        <f aca="false">IF(INT(MAX(0,C148))&lt;=12348,0,IF(INT(MAX(0,C148))&lt;=17799,(914.51*((INT(MAX(0,C148))-12348)/10000)+1400)*((INT(MAX(0,C148))-12348)/10000),IF(INT(MAX(0,C148))&lt;=69878,(173.1*((INT(MAX(0,C148))-17799)/10000)+2397)*((INT(MAX(0,C148))-17799)/10000)+1034.87,IF(INT(MAX(0,C148))&lt;=277825,0.42*INT(MAX(0,C148))-11135.63,0.45*INT(MAX(0,C148))-19470.38))))</f>
        <v>29952.13</v>
      </c>
      <c r="E148" s="70" t="n">
        <f aca="false">A148-B148-D148</f>
        <v>67912.12</v>
      </c>
      <c r="F148" s="104" t="n">
        <f aca="false">MAX(0,A148-B148-'Plan-Annahmen'!$B$88*12-'Plan-Annahmen'!$B$102)</f>
        <v>94228.25</v>
      </c>
      <c r="G148" s="70" t="n">
        <f aca="false">IF(INT(MAX(0,F148))&lt;=12348,0,IF(INT(MAX(0,F148))&lt;=17799,(914.51*((INT(MAX(0,F148))-12348)/10000)+1400)*((INT(MAX(0,F148))-12348)/10000),IF(INT(MAX(0,F148))&lt;=69878,(173.1*((INT(MAX(0,F148))-17799)/10000)+2397)*((INT(MAX(0,F148))-17799)/10000)+1034.87,IF(INT(MAX(0,F148))&lt;=277825,0.42*INT(MAX(0,F148))-11135.63,0.45*INT(MAX(0,F148))-19470.38))))</f>
        <v>28440.13</v>
      </c>
      <c r="H148" s="70" t="n">
        <f aca="false">A148-B148-G148-'Plan-Annahmen'!$B$88*12</f>
        <v>65824.12</v>
      </c>
    </row>
    <row r="149" customFormat="false" ht="15" hidden="false" customHeight="true" outlineLevel="0" collapsed="false">
      <c r="A149" s="106" t="n">
        <v>114000</v>
      </c>
      <c r="B149" s="104" t="n">
        <f aca="false">MIN(MAX(A149/12,'Plan-Annahmen'!$B$100),'Plan-Annahmen'!$B$101)*12*('Plan-Annahmen'!$B$97+'Plan-Annahmen'!$B$98+'Plan-Annahmen'!$B$99)</f>
        <v>15135.75</v>
      </c>
      <c r="C149" s="104" t="n">
        <f aca="false">MAX(0,A149-B149-'Plan-Annahmen'!$B$102)</f>
        <v>98828.25</v>
      </c>
      <c r="D149" s="70" t="n">
        <f aca="false">IF(INT(MAX(0,C149))&lt;=12348,0,IF(INT(MAX(0,C149))&lt;=17799,(914.51*((INT(MAX(0,C149))-12348)/10000)+1400)*((INT(MAX(0,C149))-12348)/10000),IF(INT(MAX(0,C149))&lt;=69878,(173.1*((INT(MAX(0,C149))-17799)/10000)+2397)*((INT(MAX(0,C149))-17799)/10000)+1034.87,IF(INT(MAX(0,C149))&lt;=277825,0.42*INT(MAX(0,C149))-11135.63,0.45*INT(MAX(0,C149))-19470.38))))</f>
        <v>30372.13</v>
      </c>
      <c r="E149" s="70" t="n">
        <f aca="false">A149-B149-D149</f>
        <v>68492.12</v>
      </c>
      <c r="F149" s="104" t="n">
        <f aca="false">MAX(0,A149-B149-'Plan-Annahmen'!$B$88*12-'Plan-Annahmen'!$B$102)</f>
        <v>95228.25</v>
      </c>
      <c r="G149" s="70" t="n">
        <f aca="false">IF(INT(MAX(0,F149))&lt;=12348,0,IF(INT(MAX(0,F149))&lt;=17799,(914.51*((INT(MAX(0,F149))-12348)/10000)+1400)*((INT(MAX(0,F149))-12348)/10000),IF(INT(MAX(0,F149))&lt;=69878,(173.1*((INT(MAX(0,F149))-17799)/10000)+2397)*((INT(MAX(0,F149))-17799)/10000)+1034.87,IF(INT(MAX(0,F149))&lt;=277825,0.42*INT(MAX(0,F149))-11135.63,0.45*INT(MAX(0,F149))-19470.38))))</f>
        <v>28860.13</v>
      </c>
      <c r="H149" s="70" t="n">
        <f aca="false">A149-B149-G149-'Plan-Annahmen'!$B$88*12</f>
        <v>66404.12</v>
      </c>
    </row>
    <row r="150" customFormat="false" ht="15" hidden="false" customHeight="true" outlineLevel="0" collapsed="false">
      <c r="A150" s="106" t="n">
        <v>115000</v>
      </c>
      <c r="B150" s="104" t="n">
        <f aca="false">MIN(MAX(A150/12,'Plan-Annahmen'!$B$100),'Plan-Annahmen'!$B$101)*12*('Plan-Annahmen'!$B$97+'Plan-Annahmen'!$B$98+'Plan-Annahmen'!$B$99)</f>
        <v>15135.75</v>
      </c>
      <c r="C150" s="104" t="n">
        <f aca="false">MAX(0,A150-B150-'Plan-Annahmen'!$B$102)</f>
        <v>99828.25</v>
      </c>
      <c r="D150" s="70" t="n">
        <f aca="false">IF(INT(MAX(0,C150))&lt;=12348,0,IF(INT(MAX(0,C150))&lt;=17799,(914.51*((INT(MAX(0,C150))-12348)/10000)+1400)*((INT(MAX(0,C150))-12348)/10000),IF(INT(MAX(0,C150))&lt;=69878,(173.1*((INT(MAX(0,C150))-17799)/10000)+2397)*((INT(MAX(0,C150))-17799)/10000)+1034.87,IF(INT(MAX(0,C150))&lt;=277825,0.42*INT(MAX(0,C150))-11135.63,0.45*INT(MAX(0,C150))-19470.38))))</f>
        <v>30792.13</v>
      </c>
      <c r="E150" s="70" t="n">
        <f aca="false">A150-B150-D150</f>
        <v>69072.12</v>
      </c>
      <c r="F150" s="104" t="n">
        <f aca="false">MAX(0,A150-B150-'Plan-Annahmen'!$B$88*12-'Plan-Annahmen'!$B$102)</f>
        <v>96228.25</v>
      </c>
      <c r="G150" s="70" t="n">
        <f aca="false">IF(INT(MAX(0,F150))&lt;=12348,0,IF(INT(MAX(0,F150))&lt;=17799,(914.51*((INT(MAX(0,F150))-12348)/10000)+1400)*((INT(MAX(0,F150))-12348)/10000),IF(INT(MAX(0,F150))&lt;=69878,(173.1*((INT(MAX(0,F150))-17799)/10000)+2397)*((INT(MAX(0,F150))-17799)/10000)+1034.87,IF(INT(MAX(0,F150))&lt;=277825,0.42*INT(MAX(0,F150))-11135.63,0.45*INT(MAX(0,F150))-19470.38))))</f>
        <v>29280.13</v>
      </c>
      <c r="H150" s="70" t="n">
        <f aca="false">A150-B150-G150-'Plan-Annahmen'!$B$88*12</f>
        <v>66984.12</v>
      </c>
    </row>
    <row r="151" customFormat="false" ht="15" hidden="false" customHeight="true" outlineLevel="0" collapsed="false">
      <c r="A151" s="106" t="n">
        <v>116000</v>
      </c>
      <c r="B151" s="104" t="n">
        <f aca="false">MIN(MAX(A151/12,'Plan-Annahmen'!$B$100),'Plan-Annahmen'!$B$101)*12*('Plan-Annahmen'!$B$97+'Plan-Annahmen'!$B$98+'Plan-Annahmen'!$B$99)</f>
        <v>15135.75</v>
      </c>
      <c r="C151" s="104" t="n">
        <f aca="false">MAX(0,A151-B151-'Plan-Annahmen'!$B$102)</f>
        <v>100828.25</v>
      </c>
      <c r="D151" s="70" t="n">
        <f aca="false">IF(INT(MAX(0,C151))&lt;=12348,0,IF(INT(MAX(0,C151))&lt;=17799,(914.51*((INT(MAX(0,C151))-12348)/10000)+1400)*((INT(MAX(0,C151))-12348)/10000),IF(INT(MAX(0,C151))&lt;=69878,(173.1*((INT(MAX(0,C151))-17799)/10000)+2397)*((INT(MAX(0,C151))-17799)/10000)+1034.87,IF(INT(MAX(0,C151))&lt;=277825,0.42*INT(MAX(0,C151))-11135.63,0.45*INT(MAX(0,C151))-19470.38))))</f>
        <v>31212.13</v>
      </c>
      <c r="E151" s="70" t="n">
        <f aca="false">A151-B151-D151</f>
        <v>69652.12</v>
      </c>
      <c r="F151" s="104" t="n">
        <f aca="false">MAX(0,A151-B151-'Plan-Annahmen'!$B$88*12-'Plan-Annahmen'!$B$102)</f>
        <v>97228.25</v>
      </c>
      <c r="G151" s="70" t="n">
        <f aca="false">IF(INT(MAX(0,F151))&lt;=12348,0,IF(INT(MAX(0,F151))&lt;=17799,(914.51*((INT(MAX(0,F151))-12348)/10000)+1400)*((INT(MAX(0,F151))-12348)/10000),IF(INT(MAX(0,F151))&lt;=69878,(173.1*((INT(MAX(0,F151))-17799)/10000)+2397)*((INT(MAX(0,F151))-17799)/10000)+1034.87,IF(INT(MAX(0,F151))&lt;=277825,0.42*INT(MAX(0,F151))-11135.63,0.45*INT(MAX(0,F151))-19470.38))))</f>
        <v>29700.13</v>
      </c>
      <c r="H151" s="70" t="n">
        <f aca="false">A151-B151-G151-'Plan-Annahmen'!$B$88*12</f>
        <v>67564.12</v>
      </c>
    </row>
    <row r="152" customFormat="false" ht="15" hidden="false" customHeight="true" outlineLevel="0" collapsed="false">
      <c r="A152" s="106" t="n">
        <v>117000</v>
      </c>
      <c r="B152" s="104" t="n">
        <f aca="false">MIN(MAX(A152/12,'Plan-Annahmen'!$B$100),'Plan-Annahmen'!$B$101)*12*('Plan-Annahmen'!$B$97+'Plan-Annahmen'!$B$98+'Plan-Annahmen'!$B$99)</f>
        <v>15135.75</v>
      </c>
      <c r="C152" s="104" t="n">
        <f aca="false">MAX(0,A152-B152-'Plan-Annahmen'!$B$102)</f>
        <v>101828.25</v>
      </c>
      <c r="D152" s="70" t="n">
        <f aca="false">IF(INT(MAX(0,C152))&lt;=12348,0,IF(INT(MAX(0,C152))&lt;=17799,(914.51*((INT(MAX(0,C152))-12348)/10000)+1400)*((INT(MAX(0,C152))-12348)/10000),IF(INT(MAX(0,C152))&lt;=69878,(173.1*((INT(MAX(0,C152))-17799)/10000)+2397)*((INT(MAX(0,C152))-17799)/10000)+1034.87,IF(INT(MAX(0,C152))&lt;=277825,0.42*INT(MAX(0,C152))-11135.63,0.45*INT(MAX(0,C152))-19470.38))))</f>
        <v>31632.13</v>
      </c>
      <c r="E152" s="70" t="n">
        <f aca="false">A152-B152-D152</f>
        <v>70232.12</v>
      </c>
      <c r="F152" s="104" t="n">
        <f aca="false">MAX(0,A152-B152-'Plan-Annahmen'!$B$88*12-'Plan-Annahmen'!$B$102)</f>
        <v>98228.25</v>
      </c>
      <c r="G152" s="70" t="n">
        <f aca="false">IF(INT(MAX(0,F152))&lt;=12348,0,IF(INT(MAX(0,F152))&lt;=17799,(914.51*((INT(MAX(0,F152))-12348)/10000)+1400)*((INT(MAX(0,F152))-12348)/10000),IF(INT(MAX(0,F152))&lt;=69878,(173.1*((INT(MAX(0,F152))-17799)/10000)+2397)*((INT(MAX(0,F152))-17799)/10000)+1034.87,IF(INT(MAX(0,F152))&lt;=277825,0.42*INT(MAX(0,F152))-11135.63,0.45*INT(MAX(0,F152))-19470.38))))</f>
        <v>30120.13</v>
      </c>
      <c r="H152" s="70" t="n">
        <f aca="false">A152-B152-G152-'Plan-Annahmen'!$B$88*12</f>
        <v>68144.12</v>
      </c>
    </row>
    <row r="153" customFormat="false" ht="15" hidden="false" customHeight="true" outlineLevel="0" collapsed="false">
      <c r="A153" s="106" t="n">
        <v>118000</v>
      </c>
      <c r="B153" s="104" t="n">
        <f aca="false">MIN(MAX(A153/12,'Plan-Annahmen'!$B$100),'Plan-Annahmen'!$B$101)*12*('Plan-Annahmen'!$B$97+'Plan-Annahmen'!$B$98+'Plan-Annahmen'!$B$99)</f>
        <v>15135.75</v>
      </c>
      <c r="C153" s="104" t="n">
        <f aca="false">MAX(0,A153-B153-'Plan-Annahmen'!$B$102)</f>
        <v>102828.25</v>
      </c>
      <c r="D153" s="70" t="n">
        <f aca="false">IF(INT(MAX(0,C153))&lt;=12348,0,IF(INT(MAX(0,C153))&lt;=17799,(914.51*((INT(MAX(0,C153))-12348)/10000)+1400)*((INT(MAX(0,C153))-12348)/10000),IF(INT(MAX(0,C153))&lt;=69878,(173.1*((INT(MAX(0,C153))-17799)/10000)+2397)*((INT(MAX(0,C153))-17799)/10000)+1034.87,IF(INT(MAX(0,C153))&lt;=277825,0.42*INT(MAX(0,C153))-11135.63,0.45*INT(MAX(0,C153))-19470.38))))</f>
        <v>32052.13</v>
      </c>
      <c r="E153" s="70" t="n">
        <f aca="false">A153-B153-D153</f>
        <v>70812.12</v>
      </c>
      <c r="F153" s="104" t="n">
        <f aca="false">MAX(0,A153-B153-'Plan-Annahmen'!$B$88*12-'Plan-Annahmen'!$B$102)</f>
        <v>99228.25</v>
      </c>
      <c r="G153" s="70" t="n">
        <f aca="false">IF(INT(MAX(0,F153))&lt;=12348,0,IF(INT(MAX(0,F153))&lt;=17799,(914.51*((INT(MAX(0,F153))-12348)/10000)+1400)*((INT(MAX(0,F153))-12348)/10000),IF(INT(MAX(0,F153))&lt;=69878,(173.1*((INT(MAX(0,F153))-17799)/10000)+2397)*((INT(MAX(0,F153))-17799)/10000)+1034.87,IF(INT(MAX(0,F153))&lt;=277825,0.42*INT(MAX(0,F153))-11135.63,0.45*INT(MAX(0,F153))-19470.38))))</f>
        <v>30540.13</v>
      </c>
      <c r="H153" s="70" t="n">
        <f aca="false">A153-B153-G153-'Plan-Annahmen'!$B$88*12</f>
        <v>68724.12</v>
      </c>
    </row>
    <row r="154" customFormat="false" ht="15" hidden="false" customHeight="true" outlineLevel="0" collapsed="false">
      <c r="A154" s="106" t="n">
        <v>119000</v>
      </c>
      <c r="B154" s="104" t="n">
        <f aca="false">MIN(MAX(A154/12,'Plan-Annahmen'!$B$100),'Plan-Annahmen'!$B$101)*12*('Plan-Annahmen'!$B$97+'Plan-Annahmen'!$B$98+'Plan-Annahmen'!$B$99)</f>
        <v>15135.75</v>
      </c>
      <c r="C154" s="104" t="n">
        <f aca="false">MAX(0,A154-B154-'Plan-Annahmen'!$B$102)</f>
        <v>103828.25</v>
      </c>
      <c r="D154" s="70" t="n">
        <f aca="false">IF(INT(MAX(0,C154))&lt;=12348,0,IF(INT(MAX(0,C154))&lt;=17799,(914.51*((INT(MAX(0,C154))-12348)/10000)+1400)*((INT(MAX(0,C154))-12348)/10000),IF(INT(MAX(0,C154))&lt;=69878,(173.1*((INT(MAX(0,C154))-17799)/10000)+2397)*((INT(MAX(0,C154))-17799)/10000)+1034.87,IF(INT(MAX(0,C154))&lt;=277825,0.42*INT(MAX(0,C154))-11135.63,0.45*INT(MAX(0,C154))-19470.38))))</f>
        <v>32472.13</v>
      </c>
      <c r="E154" s="70" t="n">
        <f aca="false">A154-B154-D154</f>
        <v>71392.12</v>
      </c>
      <c r="F154" s="104" t="n">
        <f aca="false">MAX(0,A154-B154-'Plan-Annahmen'!$B$88*12-'Plan-Annahmen'!$B$102)</f>
        <v>100228.25</v>
      </c>
      <c r="G154" s="70" t="n">
        <f aca="false">IF(INT(MAX(0,F154))&lt;=12348,0,IF(INT(MAX(0,F154))&lt;=17799,(914.51*((INT(MAX(0,F154))-12348)/10000)+1400)*((INT(MAX(0,F154))-12348)/10000),IF(INT(MAX(0,F154))&lt;=69878,(173.1*((INT(MAX(0,F154))-17799)/10000)+2397)*((INT(MAX(0,F154))-17799)/10000)+1034.87,IF(INT(MAX(0,F154))&lt;=277825,0.42*INT(MAX(0,F154))-11135.63,0.45*INT(MAX(0,F154))-19470.38))))</f>
        <v>30960.13</v>
      </c>
      <c r="H154" s="70" t="n">
        <f aca="false">A154-B154-G154-'Plan-Annahmen'!$B$88*12</f>
        <v>69304.12</v>
      </c>
    </row>
    <row r="155" customFormat="false" ht="15" hidden="false" customHeight="true" outlineLevel="0" collapsed="false">
      <c r="A155" s="106" t="n">
        <v>120000</v>
      </c>
      <c r="B155" s="104" t="n">
        <f aca="false">MIN(MAX(A155/12,'Plan-Annahmen'!$B$100),'Plan-Annahmen'!$B$101)*12*('Plan-Annahmen'!$B$97+'Plan-Annahmen'!$B$98+'Plan-Annahmen'!$B$99)</f>
        <v>15135.75</v>
      </c>
      <c r="C155" s="104" t="n">
        <f aca="false">MAX(0,A155-B155-'Plan-Annahmen'!$B$102)</f>
        <v>104828.25</v>
      </c>
      <c r="D155" s="70" t="n">
        <f aca="false">IF(INT(MAX(0,C155))&lt;=12348,0,IF(INT(MAX(0,C155))&lt;=17799,(914.51*((INT(MAX(0,C155))-12348)/10000)+1400)*((INT(MAX(0,C155))-12348)/10000),IF(INT(MAX(0,C155))&lt;=69878,(173.1*((INT(MAX(0,C155))-17799)/10000)+2397)*((INT(MAX(0,C155))-17799)/10000)+1034.87,IF(INT(MAX(0,C155))&lt;=277825,0.42*INT(MAX(0,C155))-11135.63,0.45*INT(MAX(0,C155))-19470.38))))</f>
        <v>32892.13</v>
      </c>
      <c r="E155" s="70" t="n">
        <f aca="false">A155-B155-D155</f>
        <v>71972.12</v>
      </c>
      <c r="F155" s="104" t="n">
        <f aca="false">MAX(0,A155-B155-'Plan-Annahmen'!$B$88*12-'Plan-Annahmen'!$B$102)</f>
        <v>101228.25</v>
      </c>
      <c r="G155" s="70" t="n">
        <f aca="false">IF(INT(MAX(0,F155))&lt;=12348,0,IF(INT(MAX(0,F155))&lt;=17799,(914.51*((INT(MAX(0,F155))-12348)/10000)+1400)*((INT(MAX(0,F155))-12348)/10000),IF(INT(MAX(0,F155))&lt;=69878,(173.1*((INT(MAX(0,F155))-17799)/10000)+2397)*((INT(MAX(0,F155))-17799)/10000)+1034.87,IF(INT(MAX(0,F155))&lt;=277825,0.42*INT(MAX(0,F155))-11135.63,0.45*INT(MAX(0,F155))-19470.38))))</f>
        <v>31380.13</v>
      </c>
      <c r="H155" s="70" t="n">
        <f aca="false">A155-B155-G155-'Plan-Annahmen'!$B$88*12</f>
        <v>69884.12</v>
      </c>
    </row>
    <row r="156" customFormat="false" ht="15" hidden="false" customHeight="true" outlineLevel="0" collapsed="false">
      <c r="A156" s="106" t="n">
        <v>121000</v>
      </c>
      <c r="B156" s="104" t="n">
        <f aca="false">MIN(MAX(A156/12,'Plan-Annahmen'!$B$100),'Plan-Annahmen'!$B$101)*12*('Plan-Annahmen'!$B$97+'Plan-Annahmen'!$B$98+'Plan-Annahmen'!$B$99)</f>
        <v>15135.75</v>
      </c>
      <c r="C156" s="104" t="n">
        <f aca="false">MAX(0,A156-B156-'Plan-Annahmen'!$B$102)</f>
        <v>105828.25</v>
      </c>
      <c r="D156" s="70" t="n">
        <f aca="false">IF(INT(MAX(0,C156))&lt;=12348,0,IF(INT(MAX(0,C156))&lt;=17799,(914.51*((INT(MAX(0,C156))-12348)/10000)+1400)*((INT(MAX(0,C156))-12348)/10000),IF(INT(MAX(0,C156))&lt;=69878,(173.1*((INT(MAX(0,C156))-17799)/10000)+2397)*((INT(MAX(0,C156))-17799)/10000)+1034.87,IF(INT(MAX(0,C156))&lt;=277825,0.42*INT(MAX(0,C156))-11135.63,0.45*INT(MAX(0,C156))-19470.38))))</f>
        <v>33312.13</v>
      </c>
      <c r="E156" s="70" t="n">
        <f aca="false">A156-B156-D156</f>
        <v>72552.12</v>
      </c>
      <c r="F156" s="104" t="n">
        <f aca="false">MAX(0,A156-B156-'Plan-Annahmen'!$B$88*12-'Plan-Annahmen'!$B$102)</f>
        <v>102228.25</v>
      </c>
      <c r="G156" s="70" t="n">
        <f aca="false">IF(INT(MAX(0,F156))&lt;=12348,0,IF(INT(MAX(0,F156))&lt;=17799,(914.51*((INT(MAX(0,F156))-12348)/10000)+1400)*((INT(MAX(0,F156))-12348)/10000),IF(INT(MAX(0,F156))&lt;=69878,(173.1*((INT(MAX(0,F156))-17799)/10000)+2397)*((INT(MAX(0,F156))-17799)/10000)+1034.87,IF(INT(MAX(0,F156))&lt;=277825,0.42*INT(MAX(0,F156))-11135.63,0.45*INT(MAX(0,F156))-19470.38))))</f>
        <v>31800.13</v>
      </c>
      <c r="H156" s="70" t="n">
        <f aca="false">A156-B156-G156-'Plan-Annahmen'!$B$88*12</f>
        <v>70464.12</v>
      </c>
    </row>
    <row r="157" customFormat="false" ht="15" hidden="false" customHeight="true" outlineLevel="0" collapsed="false">
      <c r="A157" s="106" t="n">
        <v>122000</v>
      </c>
      <c r="B157" s="104" t="n">
        <f aca="false">MIN(MAX(A157/12,'Plan-Annahmen'!$B$100),'Plan-Annahmen'!$B$101)*12*('Plan-Annahmen'!$B$97+'Plan-Annahmen'!$B$98+'Plan-Annahmen'!$B$99)</f>
        <v>15135.75</v>
      </c>
      <c r="C157" s="104" t="n">
        <f aca="false">MAX(0,A157-B157-'Plan-Annahmen'!$B$102)</f>
        <v>106828.25</v>
      </c>
      <c r="D157" s="70" t="n">
        <f aca="false">IF(INT(MAX(0,C157))&lt;=12348,0,IF(INT(MAX(0,C157))&lt;=17799,(914.51*((INT(MAX(0,C157))-12348)/10000)+1400)*((INT(MAX(0,C157))-12348)/10000),IF(INT(MAX(0,C157))&lt;=69878,(173.1*((INT(MAX(0,C157))-17799)/10000)+2397)*((INT(MAX(0,C157))-17799)/10000)+1034.87,IF(INT(MAX(0,C157))&lt;=277825,0.42*INT(MAX(0,C157))-11135.63,0.45*INT(MAX(0,C157))-19470.38))))</f>
        <v>33732.13</v>
      </c>
      <c r="E157" s="70" t="n">
        <f aca="false">A157-B157-D157</f>
        <v>73132.12</v>
      </c>
      <c r="F157" s="104" t="n">
        <f aca="false">MAX(0,A157-B157-'Plan-Annahmen'!$B$88*12-'Plan-Annahmen'!$B$102)</f>
        <v>103228.25</v>
      </c>
      <c r="G157" s="70" t="n">
        <f aca="false">IF(INT(MAX(0,F157))&lt;=12348,0,IF(INT(MAX(0,F157))&lt;=17799,(914.51*((INT(MAX(0,F157))-12348)/10000)+1400)*((INT(MAX(0,F157))-12348)/10000),IF(INT(MAX(0,F157))&lt;=69878,(173.1*((INT(MAX(0,F157))-17799)/10000)+2397)*((INT(MAX(0,F157))-17799)/10000)+1034.87,IF(INT(MAX(0,F157))&lt;=277825,0.42*INT(MAX(0,F157))-11135.63,0.45*INT(MAX(0,F157))-19470.38))))</f>
        <v>32220.13</v>
      </c>
      <c r="H157" s="70" t="n">
        <f aca="false">A157-B157-G157-'Plan-Annahmen'!$B$88*12</f>
        <v>71044.12</v>
      </c>
    </row>
    <row r="158" customFormat="false" ht="15" hidden="false" customHeight="true" outlineLevel="0" collapsed="false">
      <c r="A158" s="106" t="n">
        <v>123000</v>
      </c>
      <c r="B158" s="104" t="n">
        <f aca="false">MIN(MAX(A158/12,'Plan-Annahmen'!$B$100),'Plan-Annahmen'!$B$101)*12*('Plan-Annahmen'!$B$97+'Plan-Annahmen'!$B$98+'Plan-Annahmen'!$B$99)</f>
        <v>15135.75</v>
      </c>
      <c r="C158" s="104" t="n">
        <f aca="false">MAX(0,A158-B158-'Plan-Annahmen'!$B$102)</f>
        <v>107828.25</v>
      </c>
      <c r="D158" s="70" t="n">
        <f aca="false">IF(INT(MAX(0,C158))&lt;=12348,0,IF(INT(MAX(0,C158))&lt;=17799,(914.51*((INT(MAX(0,C158))-12348)/10000)+1400)*((INT(MAX(0,C158))-12348)/10000),IF(INT(MAX(0,C158))&lt;=69878,(173.1*((INT(MAX(0,C158))-17799)/10000)+2397)*((INT(MAX(0,C158))-17799)/10000)+1034.87,IF(INT(MAX(0,C158))&lt;=277825,0.42*INT(MAX(0,C158))-11135.63,0.45*INT(MAX(0,C158))-19470.38))))</f>
        <v>34152.13</v>
      </c>
      <c r="E158" s="70" t="n">
        <f aca="false">A158-B158-D158</f>
        <v>73712.12</v>
      </c>
      <c r="F158" s="104" t="n">
        <f aca="false">MAX(0,A158-B158-'Plan-Annahmen'!$B$88*12-'Plan-Annahmen'!$B$102)</f>
        <v>104228.25</v>
      </c>
      <c r="G158" s="70" t="n">
        <f aca="false">IF(INT(MAX(0,F158))&lt;=12348,0,IF(INT(MAX(0,F158))&lt;=17799,(914.51*((INT(MAX(0,F158))-12348)/10000)+1400)*((INT(MAX(0,F158))-12348)/10000),IF(INT(MAX(0,F158))&lt;=69878,(173.1*((INT(MAX(0,F158))-17799)/10000)+2397)*((INT(MAX(0,F158))-17799)/10000)+1034.87,IF(INT(MAX(0,F158))&lt;=277825,0.42*INT(MAX(0,F158))-11135.63,0.45*INT(MAX(0,F158))-19470.38))))</f>
        <v>32640.13</v>
      </c>
      <c r="H158" s="70" t="n">
        <f aca="false">A158-B158-G158-'Plan-Annahmen'!$B$88*12</f>
        <v>71624.12</v>
      </c>
    </row>
    <row r="159" customFormat="false" ht="15" hidden="false" customHeight="true" outlineLevel="0" collapsed="false">
      <c r="A159" s="106" t="n">
        <v>124000</v>
      </c>
      <c r="B159" s="104" t="n">
        <f aca="false">MIN(MAX(A159/12,'Plan-Annahmen'!$B$100),'Plan-Annahmen'!$B$101)*12*('Plan-Annahmen'!$B$97+'Plan-Annahmen'!$B$98+'Plan-Annahmen'!$B$99)</f>
        <v>15135.75</v>
      </c>
      <c r="C159" s="104" t="n">
        <f aca="false">MAX(0,A159-B159-'Plan-Annahmen'!$B$102)</f>
        <v>108828.25</v>
      </c>
      <c r="D159" s="70" t="n">
        <f aca="false">IF(INT(MAX(0,C159))&lt;=12348,0,IF(INT(MAX(0,C159))&lt;=17799,(914.51*((INT(MAX(0,C159))-12348)/10000)+1400)*((INT(MAX(0,C159))-12348)/10000),IF(INT(MAX(0,C159))&lt;=69878,(173.1*((INT(MAX(0,C159))-17799)/10000)+2397)*((INT(MAX(0,C159))-17799)/10000)+1034.87,IF(INT(MAX(0,C159))&lt;=277825,0.42*INT(MAX(0,C159))-11135.63,0.45*INT(MAX(0,C159))-19470.38))))</f>
        <v>34572.13</v>
      </c>
      <c r="E159" s="70" t="n">
        <f aca="false">A159-B159-D159</f>
        <v>74292.12</v>
      </c>
      <c r="F159" s="104" t="n">
        <f aca="false">MAX(0,A159-B159-'Plan-Annahmen'!$B$88*12-'Plan-Annahmen'!$B$102)</f>
        <v>105228.25</v>
      </c>
      <c r="G159" s="70" t="n">
        <f aca="false">IF(INT(MAX(0,F159))&lt;=12348,0,IF(INT(MAX(0,F159))&lt;=17799,(914.51*((INT(MAX(0,F159))-12348)/10000)+1400)*((INT(MAX(0,F159))-12348)/10000),IF(INT(MAX(0,F159))&lt;=69878,(173.1*((INT(MAX(0,F159))-17799)/10000)+2397)*((INT(MAX(0,F159))-17799)/10000)+1034.87,IF(INT(MAX(0,F159))&lt;=277825,0.42*INT(MAX(0,F159))-11135.63,0.45*INT(MAX(0,F159))-19470.38))))</f>
        <v>33060.13</v>
      </c>
      <c r="H159" s="70" t="n">
        <f aca="false">A159-B159-G159-'Plan-Annahmen'!$B$88*12</f>
        <v>72204.12</v>
      </c>
    </row>
    <row r="160" customFormat="false" ht="15" hidden="false" customHeight="true" outlineLevel="0" collapsed="false">
      <c r="A160" s="106" t="n">
        <v>125000</v>
      </c>
      <c r="B160" s="104" t="n">
        <f aca="false">MIN(MAX(A160/12,'Plan-Annahmen'!$B$100),'Plan-Annahmen'!$B$101)*12*('Plan-Annahmen'!$B$97+'Plan-Annahmen'!$B$98+'Plan-Annahmen'!$B$99)</f>
        <v>15135.75</v>
      </c>
      <c r="C160" s="104" t="n">
        <f aca="false">MAX(0,A160-B160-'Plan-Annahmen'!$B$102)</f>
        <v>109828.25</v>
      </c>
      <c r="D160" s="70" t="n">
        <f aca="false">IF(INT(MAX(0,C160))&lt;=12348,0,IF(INT(MAX(0,C160))&lt;=17799,(914.51*((INT(MAX(0,C160))-12348)/10000)+1400)*((INT(MAX(0,C160))-12348)/10000),IF(INT(MAX(0,C160))&lt;=69878,(173.1*((INT(MAX(0,C160))-17799)/10000)+2397)*((INT(MAX(0,C160))-17799)/10000)+1034.87,IF(INT(MAX(0,C160))&lt;=277825,0.42*INT(MAX(0,C160))-11135.63,0.45*INT(MAX(0,C160))-19470.38))))</f>
        <v>34992.13</v>
      </c>
      <c r="E160" s="70" t="n">
        <f aca="false">A160-B160-D160</f>
        <v>74872.12</v>
      </c>
      <c r="F160" s="104" t="n">
        <f aca="false">MAX(0,A160-B160-'Plan-Annahmen'!$B$88*12-'Plan-Annahmen'!$B$102)</f>
        <v>106228.25</v>
      </c>
      <c r="G160" s="70" t="n">
        <f aca="false">IF(INT(MAX(0,F160))&lt;=12348,0,IF(INT(MAX(0,F160))&lt;=17799,(914.51*((INT(MAX(0,F160))-12348)/10000)+1400)*((INT(MAX(0,F160))-12348)/10000),IF(INT(MAX(0,F160))&lt;=69878,(173.1*((INT(MAX(0,F160))-17799)/10000)+2397)*((INT(MAX(0,F160))-17799)/10000)+1034.87,IF(INT(MAX(0,F160))&lt;=277825,0.42*INT(MAX(0,F160))-11135.63,0.45*INT(MAX(0,F160))-19470.38))))</f>
        <v>33480.13</v>
      </c>
      <c r="H160" s="70" t="n">
        <f aca="false">A160-B160-G160-'Plan-Annahmen'!$B$88*12</f>
        <v>72784.12</v>
      </c>
    </row>
    <row r="161" customFormat="false" ht="15" hidden="false" customHeight="true" outlineLevel="0" collapsed="false">
      <c r="A161" s="106" t="n">
        <v>126000</v>
      </c>
      <c r="B161" s="104" t="n">
        <f aca="false">MIN(MAX(A161/12,'Plan-Annahmen'!$B$100),'Plan-Annahmen'!$B$101)*12*('Plan-Annahmen'!$B$97+'Plan-Annahmen'!$B$98+'Plan-Annahmen'!$B$99)</f>
        <v>15135.75</v>
      </c>
      <c r="C161" s="104" t="n">
        <f aca="false">MAX(0,A161-B161-'Plan-Annahmen'!$B$102)</f>
        <v>110828.25</v>
      </c>
      <c r="D161" s="70" t="n">
        <f aca="false">IF(INT(MAX(0,C161))&lt;=12348,0,IF(INT(MAX(0,C161))&lt;=17799,(914.51*((INT(MAX(0,C161))-12348)/10000)+1400)*((INT(MAX(0,C161))-12348)/10000),IF(INT(MAX(0,C161))&lt;=69878,(173.1*((INT(MAX(0,C161))-17799)/10000)+2397)*((INT(MAX(0,C161))-17799)/10000)+1034.87,IF(INT(MAX(0,C161))&lt;=277825,0.42*INT(MAX(0,C161))-11135.63,0.45*INT(MAX(0,C161))-19470.38))))</f>
        <v>35412.13</v>
      </c>
      <c r="E161" s="70" t="n">
        <f aca="false">A161-B161-D161</f>
        <v>75452.12</v>
      </c>
      <c r="F161" s="104" t="n">
        <f aca="false">MAX(0,A161-B161-'Plan-Annahmen'!$B$88*12-'Plan-Annahmen'!$B$102)</f>
        <v>107228.25</v>
      </c>
      <c r="G161" s="70" t="n">
        <f aca="false">IF(INT(MAX(0,F161))&lt;=12348,0,IF(INT(MAX(0,F161))&lt;=17799,(914.51*((INT(MAX(0,F161))-12348)/10000)+1400)*((INT(MAX(0,F161))-12348)/10000),IF(INT(MAX(0,F161))&lt;=69878,(173.1*((INT(MAX(0,F161))-17799)/10000)+2397)*((INT(MAX(0,F161))-17799)/10000)+1034.87,IF(INT(MAX(0,F161))&lt;=277825,0.42*INT(MAX(0,F161))-11135.63,0.45*INT(MAX(0,F161))-19470.38))))</f>
        <v>33900.13</v>
      </c>
      <c r="H161" s="70" t="n">
        <f aca="false">A161-B161-G161-'Plan-Annahmen'!$B$88*12</f>
        <v>73364.12</v>
      </c>
    </row>
    <row r="162" customFormat="false" ht="15" hidden="false" customHeight="true" outlineLevel="0" collapsed="false">
      <c r="A162" s="106" t="n">
        <v>127000</v>
      </c>
      <c r="B162" s="104" t="n">
        <f aca="false">MIN(MAX(A162/12,'Plan-Annahmen'!$B$100),'Plan-Annahmen'!$B$101)*12*('Plan-Annahmen'!$B$97+'Plan-Annahmen'!$B$98+'Plan-Annahmen'!$B$99)</f>
        <v>15135.75</v>
      </c>
      <c r="C162" s="104" t="n">
        <f aca="false">MAX(0,A162-B162-'Plan-Annahmen'!$B$102)</f>
        <v>111828.25</v>
      </c>
      <c r="D162" s="70" t="n">
        <f aca="false">IF(INT(MAX(0,C162))&lt;=12348,0,IF(INT(MAX(0,C162))&lt;=17799,(914.51*((INT(MAX(0,C162))-12348)/10000)+1400)*((INT(MAX(0,C162))-12348)/10000),IF(INT(MAX(0,C162))&lt;=69878,(173.1*((INT(MAX(0,C162))-17799)/10000)+2397)*((INT(MAX(0,C162))-17799)/10000)+1034.87,IF(INT(MAX(0,C162))&lt;=277825,0.42*INT(MAX(0,C162))-11135.63,0.45*INT(MAX(0,C162))-19470.38))))</f>
        <v>35832.13</v>
      </c>
      <c r="E162" s="70" t="n">
        <f aca="false">A162-B162-D162</f>
        <v>76032.12</v>
      </c>
      <c r="F162" s="104" t="n">
        <f aca="false">MAX(0,A162-B162-'Plan-Annahmen'!$B$88*12-'Plan-Annahmen'!$B$102)</f>
        <v>108228.25</v>
      </c>
      <c r="G162" s="70" t="n">
        <f aca="false">IF(INT(MAX(0,F162))&lt;=12348,0,IF(INT(MAX(0,F162))&lt;=17799,(914.51*((INT(MAX(0,F162))-12348)/10000)+1400)*((INT(MAX(0,F162))-12348)/10000),IF(INT(MAX(0,F162))&lt;=69878,(173.1*((INT(MAX(0,F162))-17799)/10000)+2397)*((INT(MAX(0,F162))-17799)/10000)+1034.87,IF(INT(MAX(0,F162))&lt;=277825,0.42*INT(MAX(0,F162))-11135.63,0.45*INT(MAX(0,F162))-19470.38))))</f>
        <v>34320.13</v>
      </c>
      <c r="H162" s="70" t="n">
        <f aca="false">A162-B162-G162-'Plan-Annahmen'!$B$88*12</f>
        <v>73944.12</v>
      </c>
    </row>
    <row r="163" customFormat="false" ht="15" hidden="false" customHeight="true" outlineLevel="0" collapsed="false">
      <c r="A163" s="106" t="n">
        <v>128000</v>
      </c>
      <c r="B163" s="104" t="n">
        <f aca="false">MIN(MAX(A163/12,'Plan-Annahmen'!$B$100),'Plan-Annahmen'!$B$101)*12*('Plan-Annahmen'!$B$97+'Plan-Annahmen'!$B$98+'Plan-Annahmen'!$B$99)</f>
        <v>15135.75</v>
      </c>
      <c r="C163" s="104" t="n">
        <f aca="false">MAX(0,A163-B163-'Plan-Annahmen'!$B$102)</f>
        <v>112828.25</v>
      </c>
      <c r="D163" s="70" t="n">
        <f aca="false">IF(INT(MAX(0,C163))&lt;=12348,0,IF(INT(MAX(0,C163))&lt;=17799,(914.51*((INT(MAX(0,C163))-12348)/10000)+1400)*((INT(MAX(0,C163))-12348)/10000),IF(INT(MAX(0,C163))&lt;=69878,(173.1*((INT(MAX(0,C163))-17799)/10000)+2397)*((INT(MAX(0,C163))-17799)/10000)+1034.87,IF(INT(MAX(0,C163))&lt;=277825,0.42*INT(MAX(0,C163))-11135.63,0.45*INT(MAX(0,C163))-19470.38))))</f>
        <v>36252.13</v>
      </c>
      <c r="E163" s="70" t="n">
        <f aca="false">A163-B163-D163</f>
        <v>76612.12</v>
      </c>
      <c r="F163" s="104" t="n">
        <f aca="false">MAX(0,A163-B163-'Plan-Annahmen'!$B$88*12-'Plan-Annahmen'!$B$102)</f>
        <v>109228.25</v>
      </c>
      <c r="G163" s="70" t="n">
        <f aca="false">IF(INT(MAX(0,F163))&lt;=12348,0,IF(INT(MAX(0,F163))&lt;=17799,(914.51*((INT(MAX(0,F163))-12348)/10000)+1400)*((INT(MAX(0,F163))-12348)/10000),IF(INT(MAX(0,F163))&lt;=69878,(173.1*((INT(MAX(0,F163))-17799)/10000)+2397)*((INT(MAX(0,F163))-17799)/10000)+1034.87,IF(INT(MAX(0,F163))&lt;=277825,0.42*INT(MAX(0,F163))-11135.63,0.45*INT(MAX(0,F163))-19470.38))))</f>
        <v>34740.13</v>
      </c>
      <c r="H163" s="70" t="n">
        <f aca="false">A163-B163-G163-'Plan-Annahmen'!$B$88*12</f>
        <v>74524.12</v>
      </c>
    </row>
    <row r="164" customFormat="false" ht="15" hidden="false" customHeight="true" outlineLevel="0" collapsed="false">
      <c r="A164" s="106" t="n">
        <v>129000</v>
      </c>
      <c r="B164" s="104" t="n">
        <f aca="false">MIN(MAX(A164/12,'Plan-Annahmen'!$B$100),'Plan-Annahmen'!$B$101)*12*('Plan-Annahmen'!$B$97+'Plan-Annahmen'!$B$98+'Plan-Annahmen'!$B$99)</f>
        <v>15135.75</v>
      </c>
      <c r="C164" s="104" t="n">
        <f aca="false">MAX(0,A164-B164-'Plan-Annahmen'!$B$102)</f>
        <v>113828.25</v>
      </c>
      <c r="D164" s="70" t="n">
        <f aca="false">IF(INT(MAX(0,C164))&lt;=12348,0,IF(INT(MAX(0,C164))&lt;=17799,(914.51*((INT(MAX(0,C164))-12348)/10000)+1400)*((INT(MAX(0,C164))-12348)/10000),IF(INT(MAX(0,C164))&lt;=69878,(173.1*((INT(MAX(0,C164))-17799)/10000)+2397)*((INT(MAX(0,C164))-17799)/10000)+1034.87,IF(INT(MAX(0,C164))&lt;=277825,0.42*INT(MAX(0,C164))-11135.63,0.45*INT(MAX(0,C164))-19470.38))))</f>
        <v>36672.13</v>
      </c>
      <c r="E164" s="70" t="n">
        <f aca="false">A164-B164-D164</f>
        <v>77192.12</v>
      </c>
      <c r="F164" s="104" t="n">
        <f aca="false">MAX(0,A164-B164-'Plan-Annahmen'!$B$88*12-'Plan-Annahmen'!$B$102)</f>
        <v>110228.25</v>
      </c>
      <c r="G164" s="70" t="n">
        <f aca="false">IF(INT(MAX(0,F164))&lt;=12348,0,IF(INT(MAX(0,F164))&lt;=17799,(914.51*((INT(MAX(0,F164))-12348)/10000)+1400)*((INT(MAX(0,F164))-12348)/10000),IF(INT(MAX(0,F164))&lt;=69878,(173.1*((INT(MAX(0,F164))-17799)/10000)+2397)*((INT(MAX(0,F164))-17799)/10000)+1034.87,IF(INT(MAX(0,F164))&lt;=277825,0.42*INT(MAX(0,F164))-11135.63,0.45*INT(MAX(0,F164))-19470.38))))</f>
        <v>35160.13</v>
      </c>
      <c r="H164" s="70" t="n">
        <f aca="false">A164-B164-G164-'Plan-Annahmen'!$B$88*12</f>
        <v>75104.12</v>
      </c>
    </row>
    <row r="165" customFormat="false" ht="15" hidden="false" customHeight="true" outlineLevel="0" collapsed="false">
      <c r="A165" s="106" t="n">
        <v>130000</v>
      </c>
      <c r="B165" s="104" t="n">
        <f aca="false">MIN(MAX(A165/12,'Plan-Annahmen'!$B$100),'Plan-Annahmen'!$B$101)*12*('Plan-Annahmen'!$B$97+'Plan-Annahmen'!$B$98+'Plan-Annahmen'!$B$99)</f>
        <v>15135.75</v>
      </c>
      <c r="C165" s="104" t="n">
        <f aca="false">MAX(0,A165-B165-'Plan-Annahmen'!$B$102)</f>
        <v>114828.25</v>
      </c>
      <c r="D165" s="70" t="n">
        <f aca="false">IF(INT(MAX(0,C165))&lt;=12348,0,IF(INT(MAX(0,C165))&lt;=17799,(914.51*((INT(MAX(0,C165))-12348)/10000)+1400)*((INT(MAX(0,C165))-12348)/10000),IF(INT(MAX(0,C165))&lt;=69878,(173.1*((INT(MAX(0,C165))-17799)/10000)+2397)*((INT(MAX(0,C165))-17799)/10000)+1034.87,IF(INT(MAX(0,C165))&lt;=277825,0.42*INT(MAX(0,C165))-11135.63,0.45*INT(MAX(0,C165))-19470.38))))</f>
        <v>37092.13</v>
      </c>
      <c r="E165" s="70" t="n">
        <f aca="false">A165-B165-D165</f>
        <v>77772.12</v>
      </c>
      <c r="F165" s="104" t="n">
        <f aca="false">MAX(0,A165-B165-'Plan-Annahmen'!$B$88*12-'Plan-Annahmen'!$B$102)</f>
        <v>111228.25</v>
      </c>
      <c r="G165" s="70" t="n">
        <f aca="false">IF(INT(MAX(0,F165))&lt;=12348,0,IF(INT(MAX(0,F165))&lt;=17799,(914.51*((INT(MAX(0,F165))-12348)/10000)+1400)*((INT(MAX(0,F165))-12348)/10000),IF(INT(MAX(0,F165))&lt;=69878,(173.1*((INT(MAX(0,F165))-17799)/10000)+2397)*((INT(MAX(0,F165))-17799)/10000)+1034.87,IF(INT(MAX(0,F165))&lt;=277825,0.42*INT(MAX(0,F165))-11135.63,0.45*INT(MAX(0,F165))-19470.38))))</f>
        <v>35580.13</v>
      </c>
      <c r="H165" s="70" t="n">
        <f aca="false">A165-B165-G165-'Plan-Annahmen'!$B$88*12</f>
        <v>75684.12</v>
      </c>
    </row>
    <row r="166" customFormat="false" ht="15" hidden="false" customHeight="true" outlineLevel="0" collapsed="false">
      <c r="A166" s="106" t="n">
        <v>131000</v>
      </c>
      <c r="B166" s="104" t="n">
        <f aca="false">MIN(MAX(A166/12,'Plan-Annahmen'!$B$100),'Plan-Annahmen'!$B$101)*12*('Plan-Annahmen'!$B$97+'Plan-Annahmen'!$B$98+'Plan-Annahmen'!$B$99)</f>
        <v>15135.75</v>
      </c>
      <c r="C166" s="104" t="n">
        <f aca="false">MAX(0,A166-B166-'Plan-Annahmen'!$B$102)</f>
        <v>115828.25</v>
      </c>
      <c r="D166" s="70" t="n">
        <f aca="false">IF(INT(MAX(0,C166))&lt;=12348,0,IF(INT(MAX(0,C166))&lt;=17799,(914.51*((INT(MAX(0,C166))-12348)/10000)+1400)*((INT(MAX(0,C166))-12348)/10000),IF(INT(MAX(0,C166))&lt;=69878,(173.1*((INT(MAX(0,C166))-17799)/10000)+2397)*((INT(MAX(0,C166))-17799)/10000)+1034.87,IF(INT(MAX(0,C166))&lt;=277825,0.42*INT(MAX(0,C166))-11135.63,0.45*INT(MAX(0,C166))-19470.38))))</f>
        <v>37512.13</v>
      </c>
      <c r="E166" s="70" t="n">
        <f aca="false">A166-B166-D166</f>
        <v>78352.12</v>
      </c>
      <c r="F166" s="104" t="n">
        <f aca="false">MAX(0,A166-B166-'Plan-Annahmen'!$B$88*12-'Plan-Annahmen'!$B$102)</f>
        <v>112228.25</v>
      </c>
      <c r="G166" s="70" t="n">
        <f aca="false">IF(INT(MAX(0,F166))&lt;=12348,0,IF(INT(MAX(0,F166))&lt;=17799,(914.51*((INT(MAX(0,F166))-12348)/10000)+1400)*((INT(MAX(0,F166))-12348)/10000),IF(INT(MAX(0,F166))&lt;=69878,(173.1*((INT(MAX(0,F166))-17799)/10000)+2397)*((INT(MAX(0,F166))-17799)/10000)+1034.87,IF(INT(MAX(0,F166))&lt;=277825,0.42*INT(MAX(0,F166))-11135.63,0.45*INT(MAX(0,F166))-19470.38))))</f>
        <v>36000.13</v>
      </c>
      <c r="H166" s="70" t="n">
        <f aca="false">A166-B166-G166-'Plan-Annahmen'!$B$88*12</f>
        <v>76264.12</v>
      </c>
    </row>
    <row r="167" customFormat="false" ht="15" hidden="false" customHeight="true" outlineLevel="0" collapsed="false">
      <c r="A167" s="106" t="n">
        <v>132000</v>
      </c>
      <c r="B167" s="104" t="n">
        <f aca="false">MIN(MAX(A167/12,'Plan-Annahmen'!$B$100),'Plan-Annahmen'!$B$101)*12*('Plan-Annahmen'!$B$97+'Plan-Annahmen'!$B$98+'Plan-Annahmen'!$B$99)</f>
        <v>15135.75</v>
      </c>
      <c r="C167" s="104" t="n">
        <f aca="false">MAX(0,A167-B167-'Plan-Annahmen'!$B$102)</f>
        <v>116828.25</v>
      </c>
      <c r="D167" s="70" t="n">
        <f aca="false">IF(INT(MAX(0,C167))&lt;=12348,0,IF(INT(MAX(0,C167))&lt;=17799,(914.51*((INT(MAX(0,C167))-12348)/10000)+1400)*((INT(MAX(0,C167))-12348)/10000),IF(INT(MAX(0,C167))&lt;=69878,(173.1*((INT(MAX(0,C167))-17799)/10000)+2397)*((INT(MAX(0,C167))-17799)/10000)+1034.87,IF(INT(MAX(0,C167))&lt;=277825,0.42*INT(MAX(0,C167))-11135.63,0.45*INT(MAX(0,C167))-19470.38))))</f>
        <v>37932.13</v>
      </c>
      <c r="E167" s="70" t="n">
        <f aca="false">A167-B167-D167</f>
        <v>78932.12</v>
      </c>
      <c r="F167" s="104" t="n">
        <f aca="false">MAX(0,A167-B167-'Plan-Annahmen'!$B$88*12-'Plan-Annahmen'!$B$102)</f>
        <v>113228.25</v>
      </c>
      <c r="G167" s="70" t="n">
        <f aca="false">IF(INT(MAX(0,F167))&lt;=12348,0,IF(INT(MAX(0,F167))&lt;=17799,(914.51*((INT(MAX(0,F167))-12348)/10000)+1400)*((INT(MAX(0,F167))-12348)/10000),IF(INT(MAX(0,F167))&lt;=69878,(173.1*((INT(MAX(0,F167))-17799)/10000)+2397)*((INT(MAX(0,F167))-17799)/10000)+1034.87,IF(INT(MAX(0,F167))&lt;=277825,0.42*INT(MAX(0,F167))-11135.63,0.45*INT(MAX(0,F167))-19470.38))))</f>
        <v>36420.13</v>
      </c>
      <c r="H167" s="70" t="n">
        <f aca="false">A167-B167-G167-'Plan-Annahmen'!$B$88*12</f>
        <v>76844.12</v>
      </c>
    </row>
    <row r="168" customFormat="false" ht="15" hidden="false" customHeight="true" outlineLevel="0" collapsed="false">
      <c r="A168" s="106" t="n">
        <v>133000</v>
      </c>
      <c r="B168" s="104" t="n">
        <f aca="false">MIN(MAX(A168/12,'Plan-Annahmen'!$B$100),'Plan-Annahmen'!$B$101)*12*('Plan-Annahmen'!$B$97+'Plan-Annahmen'!$B$98+'Plan-Annahmen'!$B$99)</f>
        <v>15135.75</v>
      </c>
      <c r="C168" s="104" t="n">
        <f aca="false">MAX(0,A168-B168-'Plan-Annahmen'!$B$102)</f>
        <v>117828.25</v>
      </c>
      <c r="D168" s="70" t="n">
        <f aca="false">IF(INT(MAX(0,C168))&lt;=12348,0,IF(INT(MAX(0,C168))&lt;=17799,(914.51*((INT(MAX(0,C168))-12348)/10000)+1400)*((INT(MAX(0,C168))-12348)/10000),IF(INT(MAX(0,C168))&lt;=69878,(173.1*((INT(MAX(0,C168))-17799)/10000)+2397)*((INT(MAX(0,C168))-17799)/10000)+1034.87,IF(INT(MAX(0,C168))&lt;=277825,0.42*INT(MAX(0,C168))-11135.63,0.45*INT(MAX(0,C168))-19470.38))))</f>
        <v>38352.13</v>
      </c>
      <c r="E168" s="70" t="n">
        <f aca="false">A168-B168-D168</f>
        <v>79512.12</v>
      </c>
      <c r="F168" s="104" t="n">
        <f aca="false">MAX(0,A168-B168-'Plan-Annahmen'!$B$88*12-'Plan-Annahmen'!$B$102)</f>
        <v>114228.25</v>
      </c>
      <c r="G168" s="70" t="n">
        <f aca="false">IF(INT(MAX(0,F168))&lt;=12348,0,IF(INT(MAX(0,F168))&lt;=17799,(914.51*((INT(MAX(0,F168))-12348)/10000)+1400)*((INT(MAX(0,F168))-12348)/10000),IF(INT(MAX(0,F168))&lt;=69878,(173.1*((INT(MAX(0,F168))-17799)/10000)+2397)*((INT(MAX(0,F168))-17799)/10000)+1034.87,IF(INT(MAX(0,F168))&lt;=277825,0.42*INT(MAX(0,F168))-11135.63,0.45*INT(MAX(0,F168))-19470.38))))</f>
        <v>36840.13</v>
      </c>
      <c r="H168" s="70" t="n">
        <f aca="false">A168-B168-G168-'Plan-Annahmen'!$B$88*12</f>
        <v>77424.12</v>
      </c>
    </row>
    <row r="169" customFormat="false" ht="15" hidden="false" customHeight="true" outlineLevel="0" collapsed="false">
      <c r="A169" s="106" t="n">
        <v>134000</v>
      </c>
      <c r="B169" s="104" t="n">
        <f aca="false">MIN(MAX(A169/12,'Plan-Annahmen'!$B$100),'Plan-Annahmen'!$B$101)*12*('Plan-Annahmen'!$B$97+'Plan-Annahmen'!$B$98+'Plan-Annahmen'!$B$99)</f>
        <v>15135.75</v>
      </c>
      <c r="C169" s="104" t="n">
        <f aca="false">MAX(0,A169-B169-'Plan-Annahmen'!$B$102)</f>
        <v>118828.25</v>
      </c>
      <c r="D169" s="70" t="n">
        <f aca="false">IF(INT(MAX(0,C169))&lt;=12348,0,IF(INT(MAX(0,C169))&lt;=17799,(914.51*((INT(MAX(0,C169))-12348)/10000)+1400)*((INT(MAX(0,C169))-12348)/10000),IF(INT(MAX(0,C169))&lt;=69878,(173.1*((INT(MAX(0,C169))-17799)/10000)+2397)*((INT(MAX(0,C169))-17799)/10000)+1034.87,IF(INT(MAX(0,C169))&lt;=277825,0.42*INT(MAX(0,C169))-11135.63,0.45*INT(MAX(0,C169))-19470.38))))</f>
        <v>38772.13</v>
      </c>
      <c r="E169" s="70" t="n">
        <f aca="false">A169-B169-D169</f>
        <v>80092.12</v>
      </c>
      <c r="F169" s="104" t="n">
        <f aca="false">MAX(0,A169-B169-'Plan-Annahmen'!$B$88*12-'Plan-Annahmen'!$B$102)</f>
        <v>115228.25</v>
      </c>
      <c r="G169" s="70" t="n">
        <f aca="false">IF(INT(MAX(0,F169))&lt;=12348,0,IF(INT(MAX(0,F169))&lt;=17799,(914.51*((INT(MAX(0,F169))-12348)/10000)+1400)*((INT(MAX(0,F169))-12348)/10000),IF(INT(MAX(0,F169))&lt;=69878,(173.1*((INT(MAX(0,F169))-17799)/10000)+2397)*((INT(MAX(0,F169))-17799)/10000)+1034.87,IF(INT(MAX(0,F169))&lt;=277825,0.42*INT(MAX(0,F169))-11135.63,0.45*INT(MAX(0,F169))-19470.38))))</f>
        <v>37260.13</v>
      </c>
      <c r="H169" s="70" t="n">
        <f aca="false">A169-B169-G169-'Plan-Annahmen'!$B$88*12</f>
        <v>78004.12</v>
      </c>
    </row>
    <row r="170" customFormat="false" ht="15" hidden="false" customHeight="true" outlineLevel="0" collapsed="false">
      <c r="A170" s="106" t="n">
        <v>135000</v>
      </c>
      <c r="B170" s="104" t="n">
        <f aca="false">MIN(MAX(A170/12,'Plan-Annahmen'!$B$100),'Plan-Annahmen'!$B$101)*12*('Plan-Annahmen'!$B$97+'Plan-Annahmen'!$B$98+'Plan-Annahmen'!$B$99)</f>
        <v>15135.75</v>
      </c>
      <c r="C170" s="104" t="n">
        <f aca="false">MAX(0,A170-B170-'Plan-Annahmen'!$B$102)</f>
        <v>119828.25</v>
      </c>
      <c r="D170" s="70" t="n">
        <f aca="false">IF(INT(MAX(0,C170))&lt;=12348,0,IF(INT(MAX(0,C170))&lt;=17799,(914.51*((INT(MAX(0,C170))-12348)/10000)+1400)*((INT(MAX(0,C170))-12348)/10000),IF(INT(MAX(0,C170))&lt;=69878,(173.1*((INT(MAX(0,C170))-17799)/10000)+2397)*((INT(MAX(0,C170))-17799)/10000)+1034.87,IF(INT(MAX(0,C170))&lt;=277825,0.42*INT(MAX(0,C170))-11135.63,0.45*INT(MAX(0,C170))-19470.38))))</f>
        <v>39192.13</v>
      </c>
      <c r="E170" s="70" t="n">
        <f aca="false">A170-B170-D170</f>
        <v>80672.12</v>
      </c>
      <c r="F170" s="104" t="n">
        <f aca="false">MAX(0,A170-B170-'Plan-Annahmen'!$B$88*12-'Plan-Annahmen'!$B$102)</f>
        <v>116228.25</v>
      </c>
      <c r="G170" s="70" t="n">
        <f aca="false">IF(INT(MAX(0,F170))&lt;=12348,0,IF(INT(MAX(0,F170))&lt;=17799,(914.51*((INT(MAX(0,F170))-12348)/10000)+1400)*((INT(MAX(0,F170))-12348)/10000),IF(INT(MAX(0,F170))&lt;=69878,(173.1*((INT(MAX(0,F170))-17799)/10000)+2397)*((INT(MAX(0,F170))-17799)/10000)+1034.87,IF(INT(MAX(0,F170))&lt;=277825,0.42*INT(MAX(0,F170))-11135.63,0.45*INT(MAX(0,F170))-19470.38))))</f>
        <v>37680.13</v>
      </c>
      <c r="H170" s="70" t="n">
        <f aca="false">A170-B170-G170-'Plan-Annahmen'!$B$88*12</f>
        <v>78584.12</v>
      </c>
    </row>
    <row r="171" customFormat="false" ht="15" hidden="false" customHeight="true" outlineLevel="0" collapsed="false">
      <c r="A171" s="106" t="n">
        <v>136000</v>
      </c>
      <c r="B171" s="104" t="n">
        <f aca="false">MIN(MAX(A171/12,'Plan-Annahmen'!$B$100),'Plan-Annahmen'!$B$101)*12*('Plan-Annahmen'!$B$97+'Plan-Annahmen'!$B$98+'Plan-Annahmen'!$B$99)</f>
        <v>15135.75</v>
      </c>
      <c r="C171" s="104" t="n">
        <f aca="false">MAX(0,A171-B171-'Plan-Annahmen'!$B$102)</f>
        <v>120828.25</v>
      </c>
      <c r="D171" s="70" t="n">
        <f aca="false">IF(INT(MAX(0,C171))&lt;=12348,0,IF(INT(MAX(0,C171))&lt;=17799,(914.51*((INT(MAX(0,C171))-12348)/10000)+1400)*((INT(MAX(0,C171))-12348)/10000),IF(INT(MAX(0,C171))&lt;=69878,(173.1*((INT(MAX(0,C171))-17799)/10000)+2397)*((INT(MAX(0,C171))-17799)/10000)+1034.87,IF(INT(MAX(0,C171))&lt;=277825,0.42*INT(MAX(0,C171))-11135.63,0.45*INT(MAX(0,C171))-19470.38))))</f>
        <v>39612.13</v>
      </c>
      <c r="E171" s="70" t="n">
        <f aca="false">A171-B171-D171</f>
        <v>81252.12</v>
      </c>
      <c r="F171" s="104" t="n">
        <f aca="false">MAX(0,A171-B171-'Plan-Annahmen'!$B$88*12-'Plan-Annahmen'!$B$102)</f>
        <v>117228.25</v>
      </c>
      <c r="G171" s="70" t="n">
        <f aca="false">IF(INT(MAX(0,F171))&lt;=12348,0,IF(INT(MAX(0,F171))&lt;=17799,(914.51*((INT(MAX(0,F171))-12348)/10000)+1400)*((INT(MAX(0,F171))-12348)/10000),IF(INT(MAX(0,F171))&lt;=69878,(173.1*((INT(MAX(0,F171))-17799)/10000)+2397)*((INT(MAX(0,F171))-17799)/10000)+1034.87,IF(INT(MAX(0,F171))&lt;=277825,0.42*INT(MAX(0,F171))-11135.63,0.45*INT(MAX(0,F171))-19470.38))))</f>
        <v>38100.13</v>
      </c>
      <c r="H171" s="70" t="n">
        <f aca="false">A171-B171-G171-'Plan-Annahmen'!$B$88*12</f>
        <v>79164.12</v>
      </c>
    </row>
    <row r="172" customFormat="false" ht="15" hidden="false" customHeight="true" outlineLevel="0" collapsed="false">
      <c r="A172" s="106" t="n">
        <v>137000</v>
      </c>
      <c r="B172" s="104" t="n">
        <f aca="false">MIN(MAX(A172/12,'Plan-Annahmen'!$B$100),'Plan-Annahmen'!$B$101)*12*('Plan-Annahmen'!$B$97+'Plan-Annahmen'!$B$98+'Plan-Annahmen'!$B$99)</f>
        <v>15135.75</v>
      </c>
      <c r="C172" s="104" t="n">
        <f aca="false">MAX(0,A172-B172-'Plan-Annahmen'!$B$102)</f>
        <v>121828.25</v>
      </c>
      <c r="D172" s="70" t="n">
        <f aca="false">IF(INT(MAX(0,C172))&lt;=12348,0,IF(INT(MAX(0,C172))&lt;=17799,(914.51*((INT(MAX(0,C172))-12348)/10000)+1400)*((INT(MAX(0,C172))-12348)/10000),IF(INT(MAX(0,C172))&lt;=69878,(173.1*((INT(MAX(0,C172))-17799)/10000)+2397)*((INT(MAX(0,C172))-17799)/10000)+1034.87,IF(INT(MAX(0,C172))&lt;=277825,0.42*INT(MAX(0,C172))-11135.63,0.45*INT(MAX(0,C172))-19470.38))))</f>
        <v>40032.13</v>
      </c>
      <c r="E172" s="70" t="n">
        <f aca="false">A172-B172-D172</f>
        <v>81832.12</v>
      </c>
      <c r="F172" s="104" t="n">
        <f aca="false">MAX(0,A172-B172-'Plan-Annahmen'!$B$88*12-'Plan-Annahmen'!$B$102)</f>
        <v>118228.25</v>
      </c>
      <c r="G172" s="70" t="n">
        <f aca="false">IF(INT(MAX(0,F172))&lt;=12348,0,IF(INT(MAX(0,F172))&lt;=17799,(914.51*((INT(MAX(0,F172))-12348)/10000)+1400)*((INT(MAX(0,F172))-12348)/10000),IF(INT(MAX(0,F172))&lt;=69878,(173.1*((INT(MAX(0,F172))-17799)/10000)+2397)*((INT(MAX(0,F172))-17799)/10000)+1034.87,IF(INT(MAX(0,F172))&lt;=277825,0.42*INT(MAX(0,F172))-11135.63,0.45*INT(MAX(0,F172))-19470.38))))</f>
        <v>38520.13</v>
      </c>
      <c r="H172" s="70" t="n">
        <f aca="false">A172-B172-G172-'Plan-Annahmen'!$B$88*12</f>
        <v>79744.12</v>
      </c>
    </row>
    <row r="173" customFormat="false" ht="15" hidden="false" customHeight="true" outlineLevel="0" collapsed="false">
      <c r="A173" s="106" t="n">
        <v>138000</v>
      </c>
      <c r="B173" s="104" t="n">
        <f aca="false">MIN(MAX(A173/12,'Plan-Annahmen'!$B$100),'Plan-Annahmen'!$B$101)*12*('Plan-Annahmen'!$B$97+'Plan-Annahmen'!$B$98+'Plan-Annahmen'!$B$99)</f>
        <v>15135.75</v>
      </c>
      <c r="C173" s="104" t="n">
        <f aca="false">MAX(0,A173-B173-'Plan-Annahmen'!$B$102)</f>
        <v>122828.25</v>
      </c>
      <c r="D173" s="70" t="n">
        <f aca="false">IF(INT(MAX(0,C173))&lt;=12348,0,IF(INT(MAX(0,C173))&lt;=17799,(914.51*((INT(MAX(0,C173))-12348)/10000)+1400)*((INT(MAX(0,C173))-12348)/10000),IF(INT(MAX(0,C173))&lt;=69878,(173.1*((INT(MAX(0,C173))-17799)/10000)+2397)*((INT(MAX(0,C173))-17799)/10000)+1034.87,IF(INT(MAX(0,C173))&lt;=277825,0.42*INT(MAX(0,C173))-11135.63,0.45*INT(MAX(0,C173))-19470.38))))</f>
        <v>40452.13</v>
      </c>
      <c r="E173" s="70" t="n">
        <f aca="false">A173-B173-D173</f>
        <v>82412.12</v>
      </c>
      <c r="F173" s="104" t="n">
        <f aca="false">MAX(0,A173-B173-'Plan-Annahmen'!$B$88*12-'Plan-Annahmen'!$B$102)</f>
        <v>119228.25</v>
      </c>
      <c r="G173" s="70" t="n">
        <f aca="false">IF(INT(MAX(0,F173))&lt;=12348,0,IF(INT(MAX(0,F173))&lt;=17799,(914.51*((INT(MAX(0,F173))-12348)/10000)+1400)*((INT(MAX(0,F173))-12348)/10000),IF(INT(MAX(0,F173))&lt;=69878,(173.1*((INT(MAX(0,F173))-17799)/10000)+2397)*((INT(MAX(0,F173))-17799)/10000)+1034.87,IF(INT(MAX(0,F173))&lt;=277825,0.42*INT(MAX(0,F173))-11135.63,0.45*INT(MAX(0,F173))-19470.38))))</f>
        <v>38940.13</v>
      </c>
      <c r="H173" s="70" t="n">
        <f aca="false">A173-B173-G173-'Plan-Annahmen'!$B$88*12</f>
        <v>80324.12</v>
      </c>
    </row>
    <row r="174" customFormat="false" ht="15" hidden="false" customHeight="true" outlineLevel="0" collapsed="false">
      <c r="A174" s="106" t="n">
        <v>139000</v>
      </c>
      <c r="B174" s="104" t="n">
        <f aca="false">MIN(MAX(A174/12,'Plan-Annahmen'!$B$100),'Plan-Annahmen'!$B$101)*12*('Plan-Annahmen'!$B$97+'Plan-Annahmen'!$B$98+'Plan-Annahmen'!$B$99)</f>
        <v>15135.75</v>
      </c>
      <c r="C174" s="104" t="n">
        <f aca="false">MAX(0,A174-B174-'Plan-Annahmen'!$B$102)</f>
        <v>123828.25</v>
      </c>
      <c r="D174" s="70" t="n">
        <f aca="false">IF(INT(MAX(0,C174))&lt;=12348,0,IF(INT(MAX(0,C174))&lt;=17799,(914.51*((INT(MAX(0,C174))-12348)/10000)+1400)*((INT(MAX(0,C174))-12348)/10000),IF(INT(MAX(0,C174))&lt;=69878,(173.1*((INT(MAX(0,C174))-17799)/10000)+2397)*((INT(MAX(0,C174))-17799)/10000)+1034.87,IF(INT(MAX(0,C174))&lt;=277825,0.42*INT(MAX(0,C174))-11135.63,0.45*INT(MAX(0,C174))-19470.38))))</f>
        <v>40872.13</v>
      </c>
      <c r="E174" s="70" t="n">
        <f aca="false">A174-B174-D174</f>
        <v>82992.12</v>
      </c>
      <c r="F174" s="104" t="n">
        <f aca="false">MAX(0,A174-B174-'Plan-Annahmen'!$B$88*12-'Plan-Annahmen'!$B$102)</f>
        <v>120228.25</v>
      </c>
      <c r="G174" s="70" t="n">
        <f aca="false">IF(INT(MAX(0,F174))&lt;=12348,0,IF(INT(MAX(0,F174))&lt;=17799,(914.51*((INT(MAX(0,F174))-12348)/10000)+1400)*((INT(MAX(0,F174))-12348)/10000),IF(INT(MAX(0,F174))&lt;=69878,(173.1*((INT(MAX(0,F174))-17799)/10000)+2397)*((INT(MAX(0,F174))-17799)/10000)+1034.87,IF(INT(MAX(0,F174))&lt;=277825,0.42*INT(MAX(0,F174))-11135.63,0.45*INT(MAX(0,F174))-19470.38))))</f>
        <v>39360.13</v>
      </c>
      <c r="H174" s="70" t="n">
        <f aca="false">A174-B174-G174-'Plan-Annahmen'!$B$88*12</f>
        <v>80904.12</v>
      </c>
    </row>
    <row r="175" customFormat="false" ht="15" hidden="false" customHeight="true" outlineLevel="0" collapsed="false">
      <c r="A175" s="106" t="n">
        <v>140000</v>
      </c>
      <c r="B175" s="104" t="n">
        <f aca="false">MIN(MAX(A175/12,'Plan-Annahmen'!$B$100),'Plan-Annahmen'!$B$101)*12*('Plan-Annahmen'!$B$97+'Plan-Annahmen'!$B$98+'Plan-Annahmen'!$B$99)</f>
        <v>15135.75</v>
      </c>
      <c r="C175" s="104" t="n">
        <f aca="false">MAX(0,A175-B175-'Plan-Annahmen'!$B$102)</f>
        <v>124828.25</v>
      </c>
      <c r="D175" s="70" t="n">
        <f aca="false">IF(INT(MAX(0,C175))&lt;=12348,0,IF(INT(MAX(0,C175))&lt;=17799,(914.51*((INT(MAX(0,C175))-12348)/10000)+1400)*((INT(MAX(0,C175))-12348)/10000),IF(INT(MAX(0,C175))&lt;=69878,(173.1*((INT(MAX(0,C175))-17799)/10000)+2397)*((INT(MAX(0,C175))-17799)/10000)+1034.87,IF(INT(MAX(0,C175))&lt;=277825,0.42*INT(MAX(0,C175))-11135.63,0.45*INT(MAX(0,C175))-19470.38))))</f>
        <v>41292.13</v>
      </c>
      <c r="E175" s="70" t="n">
        <f aca="false">A175-B175-D175</f>
        <v>83572.12</v>
      </c>
      <c r="F175" s="104" t="n">
        <f aca="false">MAX(0,A175-B175-'Plan-Annahmen'!$B$88*12-'Plan-Annahmen'!$B$102)</f>
        <v>121228.25</v>
      </c>
      <c r="G175" s="70" t="n">
        <f aca="false">IF(INT(MAX(0,F175))&lt;=12348,0,IF(INT(MAX(0,F175))&lt;=17799,(914.51*((INT(MAX(0,F175))-12348)/10000)+1400)*((INT(MAX(0,F175))-12348)/10000),IF(INT(MAX(0,F175))&lt;=69878,(173.1*((INT(MAX(0,F175))-17799)/10000)+2397)*((INT(MAX(0,F175))-17799)/10000)+1034.87,IF(INT(MAX(0,F175))&lt;=277825,0.42*INT(MAX(0,F175))-11135.63,0.45*INT(MAX(0,F175))-19470.38))))</f>
        <v>39780.13</v>
      </c>
      <c r="H175" s="70" t="n">
        <f aca="false">A175-B175-G175-'Plan-Annahmen'!$B$88*12</f>
        <v>81484.12</v>
      </c>
    </row>
    <row r="176" customFormat="false" ht="15" hidden="false" customHeight="true" outlineLevel="0" collapsed="false">
      <c r="A176" s="106" t="n">
        <v>141000</v>
      </c>
      <c r="B176" s="104" t="n">
        <f aca="false">MIN(MAX(A176/12,'Plan-Annahmen'!$B$100),'Plan-Annahmen'!$B$101)*12*('Plan-Annahmen'!$B$97+'Plan-Annahmen'!$B$98+'Plan-Annahmen'!$B$99)</f>
        <v>15135.75</v>
      </c>
      <c r="C176" s="104" t="n">
        <f aca="false">MAX(0,A176-B176-'Plan-Annahmen'!$B$102)</f>
        <v>125828.25</v>
      </c>
      <c r="D176" s="70" t="n">
        <f aca="false">IF(INT(MAX(0,C176))&lt;=12348,0,IF(INT(MAX(0,C176))&lt;=17799,(914.51*((INT(MAX(0,C176))-12348)/10000)+1400)*((INT(MAX(0,C176))-12348)/10000),IF(INT(MAX(0,C176))&lt;=69878,(173.1*((INT(MAX(0,C176))-17799)/10000)+2397)*((INT(MAX(0,C176))-17799)/10000)+1034.87,IF(INT(MAX(0,C176))&lt;=277825,0.42*INT(MAX(0,C176))-11135.63,0.45*INT(MAX(0,C176))-19470.38))))</f>
        <v>41712.13</v>
      </c>
      <c r="E176" s="70" t="n">
        <f aca="false">A176-B176-D176</f>
        <v>84152.12</v>
      </c>
      <c r="F176" s="104" t="n">
        <f aca="false">MAX(0,A176-B176-'Plan-Annahmen'!$B$88*12-'Plan-Annahmen'!$B$102)</f>
        <v>122228.25</v>
      </c>
      <c r="G176" s="70" t="n">
        <f aca="false">IF(INT(MAX(0,F176))&lt;=12348,0,IF(INT(MAX(0,F176))&lt;=17799,(914.51*((INT(MAX(0,F176))-12348)/10000)+1400)*((INT(MAX(0,F176))-12348)/10000),IF(INT(MAX(0,F176))&lt;=69878,(173.1*((INT(MAX(0,F176))-17799)/10000)+2397)*((INT(MAX(0,F176))-17799)/10000)+1034.87,IF(INT(MAX(0,F176))&lt;=277825,0.42*INT(MAX(0,F176))-11135.63,0.45*INT(MAX(0,F176))-19470.38))))</f>
        <v>40200.13</v>
      </c>
      <c r="H176" s="70" t="n">
        <f aca="false">A176-B176-G176-'Plan-Annahmen'!$B$88*12</f>
        <v>82064.12</v>
      </c>
    </row>
    <row r="177" customFormat="false" ht="15" hidden="false" customHeight="true" outlineLevel="0" collapsed="false">
      <c r="A177" s="106" t="n">
        <v>142000</v>
      </c>
      <c r="B177" s="104" t="n">
        <f aca="false">MIN(MAX(A177/12,'Plan-Annahmen'!$B$100),'Plan-Annahmen'!$B$101)*12*('Plan-Annahmen'!$B$97+'Plan-Annahmen'!$B$98+'Plan-Annahmen'!$B$99)</f>
        <v>15135.75</v>
      </c>
      <c r="C177" s="104" t="n">
        <f aca="false">MAX(0,A177-B177-'Plan-Annahmen'!$B$102)</f>
        <v>126828.25</v>
      </c>
      <c r="D177" s="70" t="n">
        <f aca="false">IF(INT(MAX(0,C177))&lt;=12348,0,IF(INT(MAX(0,C177))&lt;=17799,(914.51*((INT(MAX(0,C177))-12348)/10000)+1400)*((INT(MAX(0,C177))-12348)/10000),IF(INT(MAX(0,C177))&lt;=69878,(173.1*((INT(MAX(0,C177))-17799)/10000)+2397)*((INT(MAX(0,C177))-17799)/10000)+1034.87,IF(INT(MAX(0,C177))&lt;=277825,0.42*INT(MAX(0,C177))-11135.63,0.45*INT(MAX(0,C177))-19470.38))))</f>
        <v>42132.13</v>
      </c>
      <c r="E177" s="70" t="n">
        <f aca="false">A177-B177-D177</f>
        <v>84732.12</v>
      </c>
      <c r="F177" s="104" t="n">
        <f aca="false">MAX(0,A177-B177-'Plan-Annahmen'!$B$88*12-'Plan-Annahmen'!$B$102)</f>
        <v>123228.25</v>
      </c>
      <c r="G177" s="70" t="n">
        <f aca="false">IF(INT(MAX(0,F177))&lt;=12348,0,IF(INT(MAX(0,F177))&lt;=17799,(914.51*((INT(MAX(0,F177))-12348)/10000)+1400)*((INT(MAX(0,F177))-12348)/10000),IF(INT(MAX(0,F177))&lt;=69878,(173.1*((INT(MAX(0,F177))-17799)/10000)+2397)*((INT(MAX(0,F177))-17799)/10000)+1034.87,IF(INT(MAX(0,F177))&lt;=277825,0.42*INT(MAX(0,F177))-11135.63,0.45*INT(MAX(0,F177))-19470.38))))</f>
        <v>40620.13</v>
      </c>
      <c r="H177" s="70" t="n">
        <f aca="false">A177-B177-G177-'Plan-Annahmen'!$B$88*12</f>
        <v>82644.12</v>
      </c>
    </row>
    <row r="178" customFormat="false" ht="15" hidden="false" customHeight="true" outlineLevel="0" collapsed="false">
      <c r="A178" s="106" t="n">
        <v>143000</v>
      </c>
      <c r="B178" s="104" t="n">
        <f aca="false">MIN(MAX(A178/12,'Plan-Annahmen'!$B$100),'Plan-Annahmen'!$B$101)*12*('Plan-Annahmen'!$B$97+'Plan-Annahmen'!$B$98+'Plan-Annahmen'!$B$99)</f>
        <v>15135.75</v>
      </c>
      <c r="C178" s="104" t="n">
        <f aca="false">MAX(0,A178-B178-'Plan-Annahmen'!$B$102)</f>
        <v>127828.25</v>
      </c>
      <c r="D178" s="70" t="n">
        <f aca="false">IF(INT(MAX(0,C178))&lt;=12348,0,IF(INT(MAX(0,C178))&lt;=17799,(914.51*((INT(MAX(0,C178))-12348)/10000)+1400)*((INT(MAX(0,C178))-12348)/10000),IF(INT(MAX(0,C178))&lt;=69878,(173.1*((INT(MAX(0,C178))-17799)/10000)+2397)*((INT(MAX(0,C178))-17799)/10000)+1034.87,IF(INT(MAX(0,C178))&lt;=277825,0.42*INT(MAX(0,C178))-11135.63,0.45*INT(MAX(0,C178))-19470.38))))</f>
        <v>42552.13</v>
      </c>
      <c r="E178" s="70" t="n">
        <f aca="false">A178-B178-D178</f>
        <v>85312.12</v>
      </c>
      <c r="F178" s="104" t="n">
        <f aca="false">MAX(0,A178-B178-'Plan-Annahmen'!$B$88*12-'Plan-Annahmen'!$B$102)</f>
        <v>124228.25</v>
      </c>
      <c r="G178" s="70" t="n">
        <f aca="false">IF(INT(MAX(0,F178))&lt;=12348,0,IF(INT(MAX(0,F178))&lt;=17799,(914.51*((INT(MAX(0,F178))-12348)/10000)+1400)*((INT(MAX(0,F178))-12348)/10000),IF(INT(MAX(0,F178))&lt;=69878,(173.1*((INT(MAX(0,F178))-17799)/10000)+2397)*((INT(MAX(0,F178))-17799)/10000)+1034.87,IF(INT(MAX(0,F178))&lt;=277825,0.42*INT(MAX(0,F178))-11135.63,0.45*INT(MAX(0,F178))-19470.38))))</f>
        <v>41040.13</v>
      </c>
      <c r="H178" s="70" t="n">
        <f aca="false">A178-B178-G178-'Plan-Annahmen'!$B$88*12</f>
        <v>83224.12</v>
      </c>
    </row>
    <row r="179" customFormat="false" ht="15" hidden="false" customHeight="true" outlineLevel="0" collapsed="false">
      <c r="A179" s="106" t="n">
        <v>144000</v>
      </c>
      <c r="B179" s="104" t="n">
        <f aca="false">MIN(MAX(A179/12,'Plan-Annahmen'!$B$100),'Plan-Annahmen'!$B$101)*12*('Plan-Annahmen'!$B$97+'Plan-Annahmen'!$B$98+'Plan-Annahmen'!$B$99)</f>
        <v>15135.75</v>
      </c>
      <c r="C179" s="104" t="n">
        <f aca="false">MAX(0,A179-B179-'Plan-Annahmen'!$B$102)</f>
        <v>128828.25</v>
      </c>
      <c r="D179" s="70" t="n">
        <f aca="false">IF(INT(MAX(0,C179))&lt;=12348,0,IF(INT(MAX(0,C179))&lt;=17799,(914.51*((INT(MAX(0,C179))-12348)/10000)+1400)*((INT(MAX(0,C179))-12348)/10000),IF(INT(MAX(0,C179))&lt;=69878,(173.1*((INT(MAX(0,C179))-17799)/10000)+2397)*((INT(MAX(0,C179))-17799)/10000)+1034.87,IF(INT(MAX(0,C179))&lt;=277825,0.42*INT(MAX(0,C179))-11135.63,0.45*INT(MAX(0,C179))-19470.38))))</f>
        <v>42972.13</v>
      </c>
      <c r="E179" s="70" t="n">
        <f aca="false">A179-B179-D179</f>
        <v>85892.12</v>
      </c>
      <c r="F179" s="104" t="n">
        <f aca="false">MAX(0,A179-B179-'Plan-Annahmen'!$B$88*12-'Plan-Annahmen'!$B$102)</f>
        <v>125228.25</v>
      </c>
      <c r="G179" s="70" t="n">
        <f aca="false">IF(INT(MAX(0,F179))&lt;=12348,0,IF(INT(MAX(0,F179))&lt;=17799,(914.51*((INT(MAX(0,F179))-12348)/10000)+1400)*((INT(MAX(0,F179))-12348)/10000),IF(INT(MAX(0,F179))&lt;=69878,(173.1*((INT(MAX(0,F179))-17799)/10000)+2397)*((INT(MAX(0,F179))-17799)/10000)+1034.87,IF(INT(MAX(0,F179))&lt;=277825,0.42*INT(MAX(0,F179))-11135.63,0.45*INT(MAX(0,F179))-19470.38))))</f>
        <v>41460.13</v>
      </c>
      <c r="H179" s="70" t="n">
        <f aca="false">A179-B179-G179-'Plan-Annahmen'!$B$88*12</f>
        <v>83804.12</v>
      </c>
    </row>
    <row r="180" customFormat="false" ht="15" hidden="false" customHeight="true" outlineLevel="0" collapsed="false">
      <c r="A180" s="106" t="n">
        <v>145000</v>
      </c>
      <c r="B180" s="104" t="n">
        <f aca="false">MIN(MAX(A180/12,'Plan-Annahmen'!$B$100),'Plan-Annahmen'!$B$101)*12*('Plan-Annahmen'!$B$97+'Plan-Annahmen'!$B$98+'Plan-Annahmen'!$B$99)</f>
        <v>15135.75</v>
      </c>
      <c r="C180" s="104" t="n">
        <f aca="false">MAX(0,A180-B180-'Plan-Annahmen'!$B$102)</f>
        <v>129828.25</v>
      </c>
      <c r="D180" s="70" t="n">
        <f aca="false">IF(INT(MAX(0,C180))&lt;=12348,0,IF(INT(MAX(0,C180))&lt;=17799,(914.51*((INT(MAX(0,C180))-12348)/10000)+1400)*((INT(MAX(0,C180))-12348)/10000),IF(INT(MAX(0,C180))&lt;=69878,(173.1*((INT(MAX(0,C180))-17799)/10000)+2397)*((INT(MAX(0,C180))-17799)/10000)+1034.87,IF(INT(MAX(0,C180))&lt;=277825,0.42*INT(MAX(0,C180))-11135.63,0.45*INT(MAX(0,C180))-19470.38))))</f>
        <v>43392.13</v>
      </c>
      <c r="E180" s="70" t="n">
        <f aca="false">A180-B180-D180</f>
        <v>86472.12</v>
      </c>
      <c r="F180" s="104" t="n">
        <f aca="false">MAX(0,A180-B180-'Plan-Annahmen'!$B$88*12-'Plan-Annahmen'!$B$102)</f>
        <v>126228.25</v>
      </c>
      <c r="G180" s="70" t="n">
        <f aca="false">IF(INT(MAX(0,F180))&lt;=12348,0,IF(INT(MAX(0,F180))&lt;=17799,(914.51*((INT(MAX(0,F180))-12348)/10000)+1400)*((INT(MAX(0,F180))-12348)/10000),IF(INT(MAX(0,F180))&lt;=69878,(173.1*((INT(MAX(0,F180))-17799)/10000)+2397)*((INT(MAX(0,F180))-17799)/10000)+1034.87,IF(INT(MAX(0,F180))&lt;=277825,0.42*INT(MAX(0,F180))-11135.63,0.45*INT(MAX(0,F180))-19470.38))))</f>
        <v>41880.13</v>
      </c>
      <c r="H180" s="70" t="n">
        <f aca="false">A180-B180-G180-'Plan-Annahmen'!$B$88*12</f>
        <v>84384.12</v>
      </c>
    </row>
    <row r="181" customFormat="false" ht="15" hidden="false" customHeight="true" outlineLevel="0" collapsed="false">
      <c r="A181" s="106" t="n">
        <v>146000</v>
      </c>
      <c r="B181" s="104" t="n">
        <f aca="false">MIN(MAX(A181/12,'Plan-Annahmen'!$B$100),'Plan-Annahmen'!$B$101)*12*('Plan-Annahmen'!$B$97+'Plan-Annahmen'!$B$98+'Plan-Annahmen'!$B$99)</f>
        <v>15135.75</v>
      </c>
      <c r="C181" s="104" t="n">
        <f aca="false">MAX(0,A181-B181-'Plan-Annahmen'!$B$102)</f>
        <v>130828.25</v>
      </c>
      <c r="D181" s="70" t="n">
        <f aca="false">IF(INT(MAX(0,C181))&lt;=12348,0,IF(INT(MAX(0,C181))&lt;=17799,(914.51*((INT(MAX(0,C181))-12348)/10000)+1400)*((INT(MAX(0,C181))-12348)/10000),IF(INT(MAX(0,C181))&lt;=69878,(173.1*((INT(MAX(0,C181))-17799)/10000)+2397)*((INT(MAX(0,C181))-17799)/10000)+1034.87,IF(INT(MAX(0,C181))&lt;=277825,0.42*INT(MAX(0,C181))-11135.63,0.45*INT(MAX(0,C181))-19470.38))))</f>
        <v>43812.13</v>
      </c>
      <c r="E181" s="70" t="n">
        <f aca="false">A181-B181-D181</f>
        <v>87052.12</v>
      </c>
      <c r="F181" s="104" t="n">
        <f aca="false">MAX(0,A181-B181-'Plan-Annahmen'!$B$88*12-'Plan-Annahmen'!$B$102)</f>
        <v>127228.25</v>
      </c>
      <c r="G181" s="70" t="n">
        <f aca="false">IF(INT(MAX(0,F181))&lt;=12348,0,IF(INT(MAX(0,F181))&lt;=17799,(914.51*((INT(MAX(0,F181))-12348)/10000)+1400)*((INT(MAX(0,F181))-12348)/10000),IF(INT(MAX(0,F181))&lt;=69878,(173.1*((INT(MAX(0,F181))-17799)/10000)+2397)*((INT(MAX(0,F181))-17799)/10000)+1034.87,IF(INT(MAX(0,F181))&lt;=277825,0.42*INT(MAX(0,F181))-11135.63,0.45*INT(MAX(0,F181))-19470.38))))</f>
        <v>42300.13</v>
      </c>
      <c r="H181" s="70" t="n">
        <f aca="false">A181-B181-G181-'Plan-Annahmen'!$B$88*12</f>
        <v>84964.12</v>
      </c>
    </row>
    <row r="182" customFormat="false" ht="15" hidden="false" customHeight="true" outlineLevel="0" collapsed="false">
      <c r="A182" s="106" t="n">
        <v>147000</v>
      </c>
      <c r="B182" s="104" t="n">
        <f aca="false">MIN(MAX(A182/12,'Plan-Annahmen'!$B$100),'Plan-Annahmen'!$B$101)*12*('Plan-Annahmen'!$B$97+'Plan-Annahmen'!$B$98+'Plan-Annahmen'!$B$99)</f>
        <v>15135.75</v>
      </c>
      <c r="C182" s="104" t="n">
        <f aca="false">MAX(0,A182-B182-'Plan-Annahmen'!$B$102)</f>
        <v>131828.25</v>
      </c>
      <c r="D182" s="70" t="n">
        <f aca="false">IF(INT(MAX(0,C182))&lt;=12348,0,IF(INT(MAX(0,C182))&lt;=17799,(914.51*((INT(MAX(0,C182))-12348)/10000)+1400)*((INT(MAX(0,C182))-12348)/10000),IF(INT(MAX(0,C182))&lt;=69878,(173.1*((INT(MAX(0,C182))-17799)/10000)+2397)*((INT(MAX(0,C182))-17799)/10000)+1034.87,IF(INT(MAX(0,C182))&lt;=277825,0.42*INT(MAX(0,C182))-11135.63,0.45*INT(MAX(0,C182))-19470.38))))</f>
        <v>44232.13</v>
      </c>
      <c r="E182" s="70" t="n">
        <f aca="false">A182-B182-D182</f>
        <v>87632.12</v>
      </c>
      <c r="F182" s="104" t="n">
        <f aca="false">MAX(0,A182-B182-'Plan-Annahmen'!$B$88*12-'Plan-Annahmen'!$B$102)</f>
        <v>128228.25</v>
      </c>
      <c r="G182" s="70" t="n">
        <f aca="false">IF(INT(MAX(0,F182))&lt;=12348,0,IF(INT(MAX(0,F182))&lt;=17799,(914.51*((INT(MAX(0,F182))-12348)/10000)+1400)*((INT(MAX(0,F182))-12348)/10000),IF(INT(MAX(0,F182))&lt;=69878,(173.1*((INT(MAX(0,F182))-17799)/10000)+2397)*((INT(MAX(0,F182))-17799)/10000)+1034.87,IF(INT(MAX(0,F182))&lt;=277825,0.42*INT(MAX(0,F182))-11135.63,0.45*INT(MAX(0,F182))-19470.38))))</f>
        <v>42720.13</v>
      </c>
      <c r="H182" s="70" t="n">
        <f aca="false">A182-B182-G182-'Plan-Annahmen'!$B$88*12</f>
        <v>85544.12</v>
      </c>
    </row>
    <row r="183" customFormat="false" ht="15" hidden="false" customHeight="true" outlineLevel="0" collapsed="false">
      <c r="A183" s="106" t="n">
        <v>148000</v>
      </c>
      <c r="B183" s="104" t="n">
        <f aca="false">MIN(MAX(A183/12,'Plan-Annahmen'!$B$100),'Plan-Annahmen'!$B$101)*12*('Plan-Annahmen'!$B$97+'Plan-Annahmen'!$B$98+'Plan-Annahmen'!$B$99)</f>
        <v>15135.75</v>
      </c>
      <c r="C183" s="104" t="n">
        <f aca="false">MAX(0,A183-B183-'Plan-Annahmen'!$B$102)</f>
        <v>132828.25</v>
      </c>
      <c r="D183" s="70" t="n">
        <f aca="false">IF(INT(MAX(0,C183))&lt;=12348,0,IF(INT(MAX(0,C183))&lt;=17799,(914.51*((INT(MAX(0,C183))-12348)/10000)+1400)*((INT(MAX(0,C183))-12348)/10000),IF(INT(MAX(0,C183))&lt;=69878,(173.1*((INT(MAX(0,C183))-17799)/10000)+2397)*((INT(MAX(0,C183))-17799)/10000)+1034.87,IF(INT(MAX(0,C183))&lt;=277825,0.42*INT(MAX(0,C183))-11135.63,0.45*INT(MAX(0,C183))-19470.38))))</f>
        <v>44652.13</v>
      </c>
      <c r="E183" s="70" t="n">
        <f aca="false">A183-B183-D183</f>
        <v>88212.12</v>
      </c>
      <c r="F183" s="104" t="n">
        <f aca="false">MAX(0,A183-B183-'Plan-Annahmen'!$B$88*12-'Plan-Annahmen'!$B$102)</f>
        <v>129228.25</v>
      </c>
      <c r="G183" s="70" t="n">
        <f aca="false">IF(INT(MAX(0,F183))&lt;=12348,0,IF(INT(MAX(0,F183))&lt;=17799,(914.51*((INT(MAX(0,F183))-12348)/10000)+1400)*((INT(MAX(0,F183))-12348)/10000),IF(INT(MAX(0,F183))&lt;=69878,(173.1*((INT(MAX(0,F183))-17799)/10000)+2397)*((INT(MAX(0,F183))-17799)/10000)+1034.87,IF(INT(MAX(0,F183))&lt;=277825,0.42*INT(MAX(0,F183))-11135.63,0.45*INT(MAX(0,F183))-19470.38))))</f>
        <v>43140.13</v>
      </c>
      <c r="H183" s="70" t="n">
        <f aca="false">A183-B183-G183-'Plan-Annahmen'!$B$88*12</f>
        <v>86124.12</v>
      </c>
    </row>
    <row r="184" customFormat="false" ht="15" hidden="false" customHeight="true" outlineLevel="0" collapsed="false">
      <c r="A184" s="106" t="n">
        <v>149000</v>
      </c>
      <c r="B184" s="104" t="n">
        <f aca="false">MIN(MAX(A184/12,'Plan-Annahmen'!$B$100),'Plan-Annahmen'!$B$101)*12*('Plan-Annahmen'!$B$97+'Plan-Annahmen'!$B$98+'Plan-Annahmen'!$B$99)</f>
        <v>15135.75</v>
      </c>
      <c r="C184" s="104" t="n">
        <f aca="false">MAX(0,A184-B184-'Plan-Annahmen'!$B$102)</f>
        <v>133828.25</v>
      </c>
      <c r="D184" s="70" t="n">
        <f aca="false">IF(INT(MAX(0,C184))&lt;=12348,0,IF(INT(MAX(0,C184))&lt;=17799,(914.51*((INT(MAX(0,C184))-12348)/10000)+1400)*((INT(MAX(0,C184))-12348)/10000),IF(INT(MAX(0,C184))&lt;=69878,(173.1*((INT(MAX(0,C184))-17799)/10000)+2397)*((INT(MAX(0,C184))-17799)/10000)+1034.87,IF(INT(MAX(0,C184))&lt;=277825,0.42*INT(MAX(0,C184))-11135.63,0.45*INT(MAX(0,C184))-19470.38))))</f>
        <v>45072.13</v>
      </c>
      <c r="E184" s="70" t="n">
        <f aca="false">A184-B184-D184</f>
        <v>88792.12</v>
      </c>
      <c r="F184" s="104" t="n">
        <f aca="false">MAX(0,A184-B184-'Plan-Annahmen'!$B$88*12-'Plan-Annahmen'!$B$102)</f>
        <v>130228.25</v>
      </c>
      <c r="G184" s="70" t="n">
        <f aca="false">IF(INT(MAX(0,F184))&lt;=12348,0,IF(INT(MAX(0,F184))&lt;=17799,(914.51*((INT(MAX(0,F184))-12348)/10000)+1400)*((INT(MAX(0,F184))-12348)/10000),IF(INT(MAX(0,F184))&lt;=69878,(173.1*((INT(MAX(0,F184))-17799)/10000)+2397)*((INT(MAX(0,F184))-17799)/10000)+1034.87,IF(INT(MAX(0,F184))&lt;=277825,0.42*INT(MAX(0,F184))-11135.63,0.45*INT(MAX(0,F184))-19470.38))))</f>
        <v>43560.13</v>
      </c>
      <c r="H184" s="70" t="n">
        <f aca="false">A184-B184-G184-'Plan-Annahmen'!$B$88*12</f>
        <v>86704.12</v>
      </c>
    </row>
    <row r="185" customFormat="false" ht="15" hidden="false" customHeight="true" outlineLevel="0" collapsed="false">
      <c r="A185" s="106" t="n">
        <v>150000</v>
      </c>
      <c r="B185" s="104" t="n">
        <f aca="false">MIN(MAX(A185/12,'Plan-Annahmen'!$B$100),'Plan-Annahmen'!$B$101)*12*('Plan-Annahmen'!$B$97+'Plan-Annahmen'!$B$98+'Plan-Annahmen'!$B$99)</f>
        <v>15135.75</v>
      </c>
      <c r="C185" s="104" t="n">
        <f aca="false">MAX(0,A185-B185-'Plan-Annahmen'!$B$102)</f>
        <v>134828.25</v>
      </c>
      <c r="D185" s="70" t="n">
        <f aca="false">IF(INT(MAX(0,C185))&lt;=12348,0,IF(INT(MAX(0,C185))&lt;=17799,(914.51*((INT(MAX(0,C185))-12348)/10000)+1400)*((INT(MAX(0,C185))-12348)/10000),IF(INT(MAX(0,C185))&lt;=69878,(173.1*((INT(MAX(0,C185))-17799)/10000)+2397)*((INT(MAX(0,C185))-17799)/10000)+1034.87,IF(INT(MAX(0,C185))&lt;=277825,0.42*INT(MAX(0,C185))-11135.63,0.45*INT(MAX(0,C185))-19470.38))))</f>
        <v>45492.13</v>
      </c>
      <c r="E185" s="70" t="n">
        <f aca="false">A185-B185-D185</f>
        <v>89372.12</v>
      </c>
      <c r="F185" s="104" t="n">
        <f aca="false">MAX(0,A185-B185-'Plan-Annahmen'!$B$88*12-'Plan-Annahmen'!$B$102)</f>
        <v>131228.25</v>
      </c>
      <c r="G185" s="70" t="n">
        <f aca="false">IF(INT(MAX(0,F185))&lt;=12348,0,IF(INT(MAX(0,F185))&lt;=17799,(914.51*((INT(MAX(0,F185))-12348)/10000)+1400)*((INT(MAX(0,F185))-12348)/10000),IF(INT(MAX(0,F185))&lt;=69878,(173.1*((INT(MAX(0,F185))-17799)/10000)+2397)*((INT(MAX(0,F185))-17799)/10000)+1034.87,IF(INT(MAX(0,F185))&lt;=277825,0.42*INT(MAX(0,F185))-11135.63,0.45*INT(MAX(0,F185))-19470.38))))</f>
        <v>43980.13</v>
      </c>
      <c r="H185" s="70" t="n">
        <f aca="false">A185-B185-G185-'Plan-Annahmen'!$B$88*12</f>
        <v>87284.12</v>
      </c>
    </row>
    <row r="187" customFormat="false" ht="39" hidden="false" customHeight="true" outlineLevel="0" collapsed="false">
      <c r="A187" s="44" t="s">
        <v>774</v>
      </c>
      <c r="B187" s="44"/>
      <c r="C187" s="44"/>
      <c r="D187" s="44"/>
      <c r="E187" s="44"/>
      <c r="F187" s="44"/>
      <c r="G187" s="44"/>
      <c r="H187" s="44"/>
      <c r="I187" s="44"/>
    </row>
  </sheetData>
  <mergeCells count="6">
    <mergeCell ref="A2:I4"/>
    <mergeCell ref="A18:I18"/>
    <mergeCell ref="A27:I27"/>
    <mergeCell ref="A29:I29"/>
    <mergeCell ref="A31:I31"/>
    <mergeCell ref="A187:I18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0"/>
  </cols>
  <sheetData>
    <row r="1" customFormat="false" ht="17.25" hidden="false" customHeight="true" outlineLevel="0" collapsed="false">
      <c r="A1" s="107" t="s">
        <v>775</v>
      </c>
    </row>
    <row r="3" customFormat="false" ht="15" hidden="false" customHeight="true" outlineLevel="0" collapsed="false">
      <c r="A3" s="108" t="s">
        <v>776</v>
      </c>
    </row>
    <row r="4" customFormat="false" ht="77.25" hidden="false" customHeight="true" outlineLevel="0" collapsed="false">
      <c r="A4" s="109" t="s">
        <v>777</v>
      </c>
    </row>
    <row r="6" customFormat="false" ht="15" hidden="false" customHeight="true" outlineLevel="0" collapsed="false">
      <c r="A6" s="108" t="s">
        <v>778</v>
      </c>
    </row>
    <row r="7" customFormat="false" ht="15" hidden="false" customHeight="true" outlineLevel="0" collapsed="false">
      <c r="A7" s="110" t="s">
        <v>779</v>
      </c>
    </row>
    <row r="8" customFormat="false" ht="15" hidden="false" customHeight="true" outlineLevel="0" collapsed="false">
      <c r="A8" s="111" t="s">
        <v>780</v>
      </c>
    </row>
    <row r="9" customFormat="false" ht="15" hidden="false" customHeight="true" outlineLevel="0" collapsed="false">
      <c r="A9" s="112" t="s">
        <v>781</v>
      </c>
    </row>
    <row r="10" customFormat="false" ht="15" hidden="false" customHeight="true" outlineLevel="0" collapsed="false">
      <c r="A10" s="113" t="s">
        <v>782</v>
      </c>
    </row>
    <row r="11" customFormat="false" ht="15" hidden="false" customHeight="true" outlineLevel="0" collapsed="false">
      <c r="A11" s="114" t="s">
        <v>783</v>
      </c>
    </row>
    <row r="13" customFormat="false" ht="15" hidden="false" customHeight="true" outlineLevel="0" collapsed="false">
      <c r="A13" s="108" t="s">
        <v>784</v>
      </c>
    </row>
    <row r="14" customFormat="false" ht="15" hidden="false" customHeight="true" outlineLevel="0" collapsed="false">
      <c r="A14" s="109" t="s">
        <v>785</v>
      </c>
    </row>
    <row r="15" customFormat="false" ht="102.75" hidden="false" customHeight="true" outlineLevel="0" collapsed="false">
      <c r="A15" s="109" t="s">
        <v>786</v>
      </c>
    </row>
    <row r="16" customFormat="false" ht="26.25" hidden="false" customHeight="true" outlineLevel="0" collapsed="false">
      <c r="A16" s="109" t="s">
        <v>787</v>
      </c>
    </row>
    <row r="17" customFormat="false" ht="39" hidden="false" customHeight="true" outlineLevel="0" collapsed="false">
      <c r="A17" s="109" t="s">
        <v>788</v>
      </c>
    </row>
    <row r="18" customFormat="false" ht="51.75" hidden="false" customHeight="true" outlineLevel="0" collapsed="false">
      <c r="A18" s="109" t="s">
        <v>789</v>
      </c>
    </row>
    <row r="19" customFormat="false" ht="51.75" hidden="false" customHeight="true" outlineLevel="0" collapsed="false">
      <c r="A19" s="109" t="s">
        <v>790</v>
      </c>
    </row>
    <row r="20" customFormat="false" ht="51.75" hidden="false" customHeight="true" outlineLevel="0" collapsed="false">
      <c r="A20" s="109" t="s">
        <v>791</v>
      </c>
    </row>
    <row r="21" customFormat="false" ht="26.25" hidden="false" customHeight="true" outlineLevel="0" collapsed="false">
      <c r="A21" s="109" t="s">
        <v>792</v>
      </c>
    </row>
    <row r="22" customFormat="false" ht="39" hidden="false" customHeight="true" outlineLevel="0" collapsed="false">
      <c r="A22" s="109" t="s">
        <v>793</v>
      </c>
    </row>
    <row r="23" customFormat="false" ht="15" hidden="false" customHeight="true" outlineLevel="0" collapsed="false">
      <c r="A23" s="109" t="s">
        <v>794</v>
      </c>
    </row>
    <row r="25" customFormat="false" ht="15" hidden="false" customHeight="true" outlineLevel="0" collapsed="false">
      <c r="A25" s="108" t="s">
        <v>795</v>
      </c>
    </row>
    <row r="26" customFormat="false" ht="229.5" hidden="false" customHeight="true" outlineLevel="0" collapsed="false">
      <c r="A26" s="109" t="s">
        <v>796</v>
      </c>
    </row>
    <row r="28" customFormat="false" ht="15" hidden="false" customHeight="true" outlineLevel="0" collapsed="false">
      <c r="A28" s="108" t="s">
        <v>797</v>
      </c>
    </row>
    <row r="29" customFormat="false" ht="153" hidden="false" customHeight="true" outlineLevel="0" collapsed="false">
      <c r="A29" s="109" t="s">
        <v>798</v>
      </c>
    </row>
    <row r="31" customFormat="false" ht="15" hidden="false" customHeight="true" outlineLevel="0" collapsed="false">
      <c r="A31" s="108" t="s">
        <v>799</v>
      </c>
    </row>
    <row r="32" customFormat="false" ht="141" hidden="false" customHeight="true" outlineLevel="0" collapsed="false">
      <c r="A32" s="109" t="s">
        <v>800</v>
      </c>
    </row>
    <row r="34" customFormat="false" ht="15" hidden="false" customHeight="true" outlineLevel="0" collapsed="false">
      <c r="A34" s="108" t="s">
        <v>801</v>
      </c>
    </row>
    <row r="35" customFormat="false" ht="51.75" hidden="false" customHeight="true" outlineLevel="0" collapsed="false">
      <c r="A35" s="109" t="s">
        <v>802</v>
      </c>
    </row>
    <row r="36" customFormat="false" ht="26.25" hidden="false" customHeight="true" outlineLevel="0" collapsed="false">
      <c r="A36" s="109" t="s">
        <v>803</v>
      </c>
    </row>
    <row r="37" customFormat="false" ht="26.25" hidden="false" customHeight="true" outlineLevel="0" collapsed="false">
      <c r="A37" s="109" t="s">
        <v>804</v>
      </c>
    </row>
    <row r="38" customFormat="false" ht="26.25" hidden="false" customHeight="true" outlineLevel="0" collapsed="false">
      <c r="A38" s="109" t="s">
        <v>805</v>
      </c>
    </row>
    <row r="39" customFormat="false" ht="51.75" hidden="false" customHeight="true" outlineLevel="0" collapsed="false">
      <c r="A39" s="109" t="s">
        <v>806</v>
      </c>
    </row>
    <row r="40" customFormat="false" ht="26.25" hidden="false" customHeight="true" outlineLevel="0" collapsed="false">
      <c r="A40" s="109" t="s">
        <v>807</v>
      </c>
    </row>
    <row r="41" customFormat="false" ht="77.25" hidden="false" customHeight="true" outlineLevel="0" collapsed="false">
      <c r="A41" s="109" t="s">
        <v>808</v>
      </c>
    </row>
    <row r="42" customFormat="false" ht="15" hidden="false" customHeight="true" outlineLevel="0" collapsed="false">
      <c r="A42" s="109" t="s">
        <v>809</v>
      </c>
    </row>
    <row r="43" customFormat="false" ht="15" hidden="false" customHeight="true" outlineLevel="0" collapsed="false">
      <c r="A43" s="109" t="s">
        <v>810</v>
      </c>
    </row>
    <row r="44" customFormat="false" ht="26.25" hidden="false" customHeight="true" outlineLevel="0" collapsed="false">
      <c r="A44" s="109" t="s">
        <v>811</v>
      </c>
    </row>
    <row r="45" customFormat="false" ht="64.9" hidden="false" customHeight="false" outlineLevel="0" collapsed="false">
      <c r="A45" s="109" t="s">
        <v>812</v>
      </c>
    </row>
    <row r="46" customFormat="false" ht="39" hidden="false" customHeight="true" outlineLevel="0" collapsed="false">
      <c r="A46" s="109" t="s">
        <v>813</v>
      </c>
    </row>
    <row r="47" customFormat="false" ht="39.55" hidden="false" customHeight="false" outlineLevel="0" collapsed="false">
      <c r="A47" s="115" t="s">
        <v>814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2026-09-03T18:23:12Z</dcterms:created>
  <dc:creator>openpyxl</dc:creator>
  <dc:description/>
  <dc:language>en-US</dc:language>
  <cp:lastModifiedBy/>
  <dcterms:modified xsi:type="dcterms:W3CDTF">2026-09-17T16:04:10Z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