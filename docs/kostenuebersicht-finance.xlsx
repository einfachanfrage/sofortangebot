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ostenübersicht" sheetId="1" state="visible" r:id="rId3"/>
    <sheet name="Rechnungsjournal" sheetId="2" state="visible" r:id="rId4"/>
    <sheet name="Monatsverlauf" sheetId="3" state="visible" r:id="rId5"/>
    <sheet name="Marge &amp; Tragfähigkeit" sheetId="4" state="visible" r:id="rId6"/>
    <sheet name="Kleinunternehmergrenze" sheetId="5" state="visible" r:id="rId7"/>
    <sheet name="Plan-Deckblatt" sheetId="6" state="visible" r:id="rId8"/>
    <sheet name="Plan-Annahmen" sheetId="7" state="visible" r:id="rId9"/>
    <sheet name="Plan-Kunden" sheetId="8" state="visible" r:id="rId10"/>
    <sheet name="Plan-Kosten" sheetId="9" state="visible" r:id="rId11"/>
    <sheet name="Plan-24M" sheetId="10" state="visible" r:id="rId12"/>
    <sheet name="Plan-Phase B" sheetId="11" state="visible" r:id="rId13"/>
    <sheet name="Legende &amp; offene Punkte" sheetId="12" state="visible" r:id="rId14"/>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5" authorId="0">
      <text>
        <r>
          <rPr>
            <sz val="10"/>
            <rFont val="Arial"/>
            <family val="2"/>
          </rPr>
          <t xml:space="preserve">Freie Zeile für weitere Tools, die Sandy noch ergänzt.</t>
        </r>
      </text>
    </comment>
    <comment ref="A16" authorId="0">
      <text>
        <r>
          <rPr>
            <sz val="10"/>
            <rFont val="Arial"/>
            <family val="2"/>
          </rPr>
          <t xml:space="preserve">Freie Zeile für weitere Tools, die Sandy noch ergänzt.</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22" authorId="0">
      <text>
        <r>
          <rPr>
            <sz val="10"/>
            <rFont val="Arial"/>
            <family val="2"/>
          </rPr>
          <t xml:space="preserve">Ab hier: freie Zeilen für neue Belege. Bitte fortlaufende Beleg-Nr. vergeben (z. B. 2026-018) und nie bestehende Zeilen überschreiben/löschen.</t>
        </r>
      </text>
    </comment>
    <comment ref="N15"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N16" authorId="0">
      <text>
        <r>
          <rPr>
            <sz val="10"/>
            <rFont val="Arial"/>
            <family val="2"/>
          </rPr>
          <t xml:space="preserve">Rechnung bündelt mehrere Domains/Positionen unter einer Vertragsnummer — dieser Betrag ist nur der Sofortangebot-Anteil (Brutto), nicht die volle Rechnungssumme. Details in der Notiz-Spalte. Monatsverlauf summiert nach dieser Spalte, nicht nach Brutto-Betrag.</t>
        </r>
      </text>
    </comment>
    <comment ref="P6"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7"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8"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1"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2"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4"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19"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 ref="P20" authorId="0">
      <text>
        <r>
          <rPr>
            <sz val="10"/>
            <rFont val="Arial"/>
            <family val="2"/>
          </rPr>
          <t xml:space="preserve">Noch nicht umgerechnet — Umrechnungskurs bewusst nicht erfunden. Bitte mit Steuerberater klären, welcher Stichtags-/Monatskurs für die Buchführung verwendet werden soll (z. B. EZB-Referenzkurs am Rechnungsdatum oder monatlicher BMF-Umrechnungskurs).</t>
        </r>
      </text>
    </comment>
  </commentList>
</comments>
</file>

<file path=xl/sharedStrings.xml><?xml version="1.0" encoding="utf-8"?>
<sst xmlns="http://schemas.openxmlformats.org/spreadsheetml/2006/main" count="1316" uniqueCount="767">
  <si>
    <t xml:space="preserve">Sofortangebot — Laufende Geschäftskosten</t>
  </si>
  <si>
    <t xml:space="preserve">Stand: 2026-09-02 · Head of Finance · Bestandsaufnahme CoS-F-001 · Beleg-Details je Rechnung stehen im Blatt 'Rechnungsjournal' · orange = auffällig, bitte klären · grau = noch kein Beleg</t>
  </si>
  <si>
    <t xml:space="preserve">Dienst</t>
  </si>
  <si>
    <t xml:space="preserve">Kategorie</t>
  </si>
  <si>
    <t xml:space="preserve">Währung</t>
  </si>
  <si>
    <t xml:space="preserve">Monatsbetrag (aktuellster Beleg, brutto)</t>
  </si>
  <si>
    <t xml:space="preserve">Abrechnungsrhythmus</t>
  </si>
  <si>
    <t xml:space="preserve">Vertragsstand / Kündigungsfrist</t>
  </si>
  <si>
    <t xml:space="preserve">USt-Behandlung</t>
  </si>
  <si>
    <t xml:space="preserve">Status</t>
  </si>
  <si>
    <t xml:space="preserve">Quelle / Notiz</t>
  </si>
  <si>
    <t xml:space="preserve">Supabase</t>
  </si>
  <si>
    <t xml:space="preserve">Hosting / Datenbank</t>
  </si>
  <si>
    <t xml:space="preserve">USD</t>
  </si>
  <si>
    <t xml:space="preserve">monatlich: Pro Plan $25 Grundgebühr + nutzungsbasierte Zusatzkosten (Compute, Realtime, Egress, Functions, …)</t>
  </si>
  <si>
    <t xml:space="preserve">2 Projekte laut Doku vorgesehen (Staging + Produktion 'yqlledouhfovytifeekd')</t>
  </si>
  <si>
    <t xml:space="preserve">Reverse Charge (§13b UStG, Singapur-Anbieter) — Sandy startet als Kleinunternehmerin (§19 UStG, Gewerbe noch nicht angemeldet), finale Behandlung mit Steuerberater klären</t>
  </si>
  <si>
    <t xml:space="preserve">auffällig — Betrag bestätigt, Trend + Projektanzahl bitte klären</t>
  </si>
  <si>
    <t xml:space="preserve">4 Belege (Journal 2026-003/006/008/016): 23.05. $25,00 / 23.06. $49,97 / 23.07. $54,30 / 23.08. $53,83 — nach dem Anstieg jetzt erstmals leicht rückläufig. Rechnungen zeigten bis Juli 5 Projekt-Referenzen, dokumentiert sind nur 2; im August-Beleg taucht eine davon erstmals nicht mehr auf (jetzt 4). Bitte weiter beobachten/klären, ob alle nötig sind.</t>
  </si>
  <si>
    <t xml:space="preserve">Vercel</t>
  </si>
  <si>
    <t xml:space="preserve">Hosting / Deployment</t>
  </si>
  <si>
    <t xml:space="preserve">monatlich: Pro Plan $20 + 19% USt, seit Juni zusätzlich 'Observability Plus' Position mit $0,00</t>
  </si>
  <si>
    <t xml:space="preserve">Kündigungsfrist unbekannt</t>
  </si>
  <si>
    <t xml:space="preserve">USt. direkt ausgewiesen (EU VAT EU056329113), kein Reverse Charge</t>
  </si>
  <si>
    <t xml:space="preserve">bestätigt</t>
  </si>
  <si>
    <t xml:space="preserve">4 Belege (Journal 2026-002/005/007/015): 22.05., 22.06., 22.07., 22.08. — durchgängig $23,80, stabil. Zahlungsart jetzt bestätigt: Kreditkarte Visa •••3991.</t>
  </si>
  <si>
    <t xml:space="preserve">Anthropic — direkt</t>
  </si>
  <si>
    <t xml:space="preserve">KI / API</t>
  </si>
  <si>
    <t xml:space="preserve">unklar — Beleg trägt 'Prepaid extra usage, Individual plan', evtl. einmaliger Nachkauf statt Fixbetrag</t>
  </si>
  <si>
    <t xml:space="preserve">unbekannt</t>
  </si>
  <si>
    <t xml:space="preserve">USt. direkt ausgewiesen (EU VAT IE4276970QH), kein Reverse Charge</t>
  </si>
  <si>
    <t xml:space="preserve">auffällig — bitte klären ob wiederkehrend</t>
  </si>
  <si>
    <t xml:space="preserve">1 Beleg (Journal 2026-010) vom 17.08.2026 über $45,00 + USt = $53,55, Geschäftsadresse Wielandstraße 11, mit hinterlegter deutscher Steuernummer.</t>
  </si>
  <si>
    <t xml:space="preserve">Claude Pro (Apple/iTunes)</t>
  </si>
  <si>
    <t xml:space="preserve">KI / Software</t>
  </si>
  <si>
    <t xml:space="preserve">EUR</t>
  </si>
  <si>
    <t xml:space="preserve">monatlich, automatische Verlängerung, Zahlung per PayPal</t>
  </si>
  <si>
    <t xml:space="preserve">monatlich kündbar (Apple-Abo)</t>
  </si>
  <si>
    <t xml:space="preserve">USt. direkt von Apple ausgewiesen, kein Reverse Charge</t>
  </si>
  <si>
    <t xml:space="preserve">auffällig — geschäftlich/privat + fehlende Monate klären</t>
  </si>
  <si>
    <t xml:space="preserve">2 Belege (Journal 2026-001/009): 04.05. und 03.08., je 22,00 € — Juni/Juli-Belege fehlen noch. Separates Abo zur direkten Anthropic-Rechnung, andere Rechnungsadresse (Krampasplatz 4b). Bitte klären: zweite geschäftliche Claude-Lizenz oder privates Abo?</t>
  </si>
  <si>
    <t xml:space="preserve">OpenAI</t>
  </si>
  <si>
    <t xml:space="preserve">nutzungsbasiert, Beleg zeigt eine Guthaben-Aufladung ('usage credit'), kein fester Monatsbetrag erkennbar</t>
  </si>
  <si>
    <t xml:space="preserve">USt. direkt ausgewiesen (EU OSS VAT EU372041333), kein Reverse Charge</t>
  </si>
  <si>
    <t xml:space="preserve">1 Beleg (Journal 2026-004) vom 14.06.2026 über $15,00 + USt = $17,85. Rechnungsempfänger 'Hugo' / runningwithhugo@outlook.de — ist Sandys eigener Account, Name/E-Mail-Alias lässt sich bei OpenAI nachträglich nicht mehr ändern (geklärt 19.08.2026).</t>
  </si>
  <si>
    <t xml:space="preserve">Resend</t>
  </si>
  <si>
    <t xml:space="preserve">E-Mail</t>
  </si>
  <si>
    <t xml:space="preserve">?</t>
  </si>
  <si>
    <t xml:space="preserve">kein Beleg gefunden</t>
  </si>
  <si>
    <t xml:space="preserve">Im Code bestätigt (Paket 'resend', RESEND_API_KEY), aber noch keine Rechnung im Belege-Ordner.</t>
  </si>
  <si>
    <t xml:space="preserve">Domain sofortangebot.app</t>
  </si>
  <si>
    <t xml:space="preserve">Domain</t>
  </si>
  <si>
    <t xml:space="preserve">'IONOS Mail Basic 5' (Postfach) laufend 2,50 €/Monat. Domain .app + 'Domain Guard' (Privatsphärenschutz) jährlich, zusammen 13,00 € brutto — nächste Fälligkeit ~06/2027.</t>
  </si>
  <si>
    <t xml:space="preserve">Vertragsnummer 111811442 bei IONOS SE — Achtung: bündelt auf denselben Rechnungen auch mehrere fremde Domains, siehe Journal</t>
  </si>
  <si>
    <t xml:space="preserve">USt. direkt von IONOS ausgewiesen (USt-IdNr. DE815563912), kein Reverse Charge</t>
  </si>
  <si>
    <t xml:space="preserve">5 Belege (Journal 2026-011 bis 2026-015/017 — Rechnungsnummern siehe dort) unter einer gebündelten IONOS-Rechnung. Domain sofortangebot.app wurde 08.06.2026 registriert. Sandy hat am 02.09.2026 bestätigt, dass 'Domain Guard' und 'IONOS Mail Basic 5' ebenfalls zu sofortangebot.app gehören. Fremde Domains ('einfach-anfrage.com', 'einfachanfrage-hochzeitsfotografie.de' u. a.) laufen über denselben IONOS-Vertrag, aber NICHT mitgezählt.</t>
  </si>
  <si>
    <t xml:space="preserve">Sentry</t>
  </si>
  <si>
    <t xml:space="preserve">Monitoring / Error-Tracking</t>
  </si>
  <si>
    <t xml:space="preserve">Im Code gefunden ('@sentry/nextjs'), nicht in Sandys Ausgangsliste, noch keine Rechnung im Ordner.</t>
  </si>
  <si>
    <t xml:space="preserve">Stripe</t>
  </si>
  <si>
    <t xml:space="preserve">Zahlungsabwicklung</t>
  </si>
  <si>
    <t xml:space="preserve">transaktionsbasiert (keine feste Monatsgebühr erwartet)</t>
  </si>
  <si>
    <t xml:space="preserve">kein Beleg erwartet</t>
  </si>
  <si>
    <t xml:space="preserve">Im Code bestätigt ('stripe' Paket). Gebühren pro Transaktion statt Fixkosten — relevant erst mit Umsatz-Tracking in Phase 2.</t>
  </si>
  <si>
    <t xml:space="preserve">GitHub Actions (Backup-Artefakte)</t>
  </si>
  <si>
    <t xml:space="preserve">CI / Infra</t>
  </si>
  <si>
    <t xml:space="preserve">nutzungsbasiert (Speicher/Minuten)</t>
  </si>
  <si>
    <t xml:space="preserve">abhängig vom GitHub-Plan</t>
  </si>
  <si>
    <t xml:space="preserve">zu prüfen</t>
  </si>
  <si>
    <t xml:space="preserve">Tägliches DB-Backup speichert Artefakte 30/90/365 Tage. Kann bei privatem Repo über das Freikontingent hinaus Kosten verursachen — noch kein Beleg.</t>
  </si>
  <si>
    <t xml:space="preserve">Summe USD-Positionen (siehe Status-Spalte für Vorbehalte)</t>
  </si>
  <si>
    <t xml:space="preserve">Summe EUR-Positionen (siehe Status-Spalte für Vorbehalte)</t>
  </si>
  <si>
    <t xml:space="preserve">Hinweis: USD- und EUR-Positionen werden bewusst getrennt summiert, um keinen falschen Umrechnungskurs vorzutäuschen. Beleg-Details je Rechnung (Rechnungsnummer, Netto/USt/Brutto, Beleg-Datei) stehen im Blatt 'Rechnungsjournal'.</t>
  </si>
  <si>
    <t xml:space="preserve">Rechnungsjournal — Belege im Detail (für Buchhaltung / Steuerberater)</t>
  </si>
  <si>
    <t xml:space="preserve">Ein Beleg = eine Zeile, chronologisch. Enthält alles, was ein Steuerberater für die Verbuchung braucht: Rechnungsnummer, Leistungszeitraum, Netto/USt/Brutto, steuerliche Einordnung (Reverse Charge ja/nein), Zahlungsart und die Original-Beleg-Datei im Rechnungen-Ordner. Bitte Zeilen hier nie überschreiben, nur neue anhängen (Nachvollziehbarkeit).</t>
  </si>
  <si>
    <t xml:space="preserve">Beleg-Nr.</t>
  </si>
  <si>
    <t xml:space="preserve">Rechnungsdatum</t>
  </si>
  <si>
    <t xml:space="preserve">Rechnungsnr. (Anbieter)</t>
  </si>
  <si>
    <t xml:space="preserve">Leistungszeitraum</t>
  </si>
  <si>
    <t xml:space="preserve">Anbieter</t>
  </si>
  <si>
    <t xml:space="preserve">Anbieter-Land</t>
  </si>
  <si>
    <t xml:space="preserve">Rechnungsempfänger lt. Beleg</t>
  </si>
  <si>
    <t xml:space="preserve">Netto-Betrag</t>
  </si>
  <si>
    <t xml:space="preserve">USt-Satz</t>
  </si>
  <si>
    <t xml:space="preserve">USt-Betrag</t>
  </si>
  <si>
    <t xml:space="preserve">Brutto-Betrag</t>
  </si>
  <si>
    <t xml:space="preserve">Sofortangebot-Anteil (Brutto)</t>
  </si>
  <si>
    <t xml:space="preserve">Steuerliche Einordnung</t>
  </si>
  <si>
    <t xml:space="preserve">Betrag EUR (Brutto, ca.)</t>
  </si>
  <si>
    <t xml:space="preserve">Zahlungsart</t>
  </si>
  <si>
    <t xml:space="preserve">Beleg-Datei (Ordner 'Rechnungen')</t>
  </si>
  <si>
    <t xml:space="preserve">Auffälligkeit / Notiz</t>
  </si>
  <si>
    <t xml:space="preserve">2026-001</t>
  </si>
  <si>
    <t xml:space="preserve">MVS2VFHBYG / Dok. 846129332588</t>
  </si>
  <si>
    <t xml:space="preserve">04.05.–03.06.2026 (Abo-Monat)</t>
  </si>
  <si>
    <t xml:space="preserve">Apple Distribution International Ltd. (Vertrieb für Claude Pro)</t>
  </si>
  <si>
    <t xml:space="preserve">Irland</t>
  </si>
  <si>
    <t xml:space="preserve">Sandra Holm, Krampasplatz 4b, 14199 Berlin</t>
  </si>
  <si>
    <t xml:space="preserve">USt. (19%) direkt von Apple ausgewiesen, kein Reverse Charge.</t>
  </si>
  <si>
    <t xml:space="preserve">PayPal</t>
  </si>
  <si>
    <t xml:space="preserve">Deine Rechnung von Apple.eml</t>
  </si>
  <si>
    <t xml:space="preserve">Abo verlängert sich automatisch monatlich. Rechnungsadresse weicht von den übrigen Belegen ab (Krampasplatz 4b statt Wielandstraße 11) — bitte klären, welche Adresse aktuell/richtig ist.</t>
  </si>
  <si>
    <t xml:space="preserve">2026-002</t>
  </si>
  <si>
    <t xml:space="preserve">TT0BDQ8S-0001</t>
  </si>
  <si>
    <t xml:space="preserve">22.05.–21.06.2026</t>
  </si>
  <si>
    <t xml:space="preserve">Vercel Inc.</t>
  </si>
  <si>
    <t xml:space="preserve">USA</t>
  </si>
  <si>
    <t xml:space="preserve">einfachanfrage's projects, Wielandstraße 11, 12159 Berlin (einfachanfrage@outlook.com)</t>
  </si>
  <si>
    <t xml:space="preserve">USt. (19%) direkt von Vercel ausgewiesen (EU VAT EU056329113), kein Reverse Charge.</t>
  </si>
  <si>
    <t xml:space="preserve">Kreditkarte Visa •••3991</t>
  </si>
  <si>
    <t xml:space="preserve">Invoice-TT0BDQ8S-0001.pdf / Receipt-2392-5328.pdf</t>
  </si>
  <si>
    <t xml:space="preserve">Zahlungsart nachträglich ergänzt (Update 2026-09-02) anhand Zahlungsbeleg Receipt-2392-5328.pdf.</t>
  </si>
  <si>
    <t xml:space="preserve">2026-003</t>
  </si>
  <si>
    <t xml:space="preserve">MVGOOM-00003</t>
  </si>
  <si>
    <t xml:space="preserve">23.05.–22.06.2026</t>
  </si>
  <si>
    <t xml:space="preserve">Supabase Pte. Ltd.</t>
  </si>
  <si>
    <t xml:space="preserve">Singapur</t>
  </si>
  <si>
    <t xml:space="preserve">Sandra Holm, Wielandstraße 11, Berlin (einfachanfrage@outlook.com)</t>
  </si>
  <si>
    <t xml:space="preserve">Reverse Charge</t>
  </si>
  <si>
    <t xml:space="preserve">Reverse Charge — Supabase weist keine USt aus. Sandy startet als Kleinunternehmerin nach §19 UStG (bestätigt 19.08.2026), Gewerbe aber noch nicht angemeldet. Nach Kleinunternehmerregelung i. d. R. keine Vorsteuer ziehbar, aber die USt-Pflicht auf reverse-charge-Leistungen aus dem Ausland (§13b UStG) kann trotzdem bestehen bleiben — das ist keine verbindliche Auskunft von mir, bitte mit Steuerberater final klären, sobald einer feststeht.</t>
  </si>
  <si>
    <t xml:space="preserve">Invoice-MVGOOM-00003.pdf</t>
  </si>
  <si>
    <t xml:space="preserve">Nur Pro-Plan-Grundgebühr, keine Nutzungsgebühren in diesem Monat.</t>
  </si>
  <si>
    <t xml:space="preserve">2026-004</t>
  </si>
  <si>
    <t xml:space="preserve">YL9K6L19-0001</t>
  </si>
  <si>
    <t xml:space="preserve">—</t>
  </si>
  <si>
    <t xml:space="preserve">OpenAI OpCo, LLC</t>
  </si>
  <si>
    <t xml:space="preserve">Hugo, Wielandstraße 11, 12159 Berlin (runningwithhugo@outlook.de)</t>
  </si>
  <si>
    <t xml:space="preserve">USt. (19%) direkt von OpenAI ausgewiesen (EU OSS VAT EU372041333), kein Reverse Charge.</t>
  </si>
  <si>
    <t xml:space="preserve">Invoice-YL9K6L19-0001.pdf</t>
  </si>
  <si>
    <t xml:space="preserve">Geklärt (19.08.2026): Konto gehört Sandy, 'Hugo' ist ein historischer Nutzername/E-Mail-Alias bei OpenAI, der sich im Nachhinein nicht mehr auf 'Sandra Holm' ändern lässt. Kein falscher Account — nur zur Info für den Steuerberater vermerkt, falls Name/E-Mail auf dem Beleg auffallen.</t>
  </si>
  <si>
    <t xml:space="preserve">2026-005</t>
  </si>
  <si>
    <t xml:space="preserve">TT0BDQ8S-0003</t>
  </si>
  <si>
    <t xml:space="preserve">22.06.–21.07.2026</t>
  </si>
  <si>
    <t xml:space="preserve">Invoice-TT0BDQ8S-0003.pdf / Receipt-2268-5813.pdf</t>
  </si>
  <si>
    <t xml:space="preserve">Zusätzliche Position 'Observability Plus' mit $0,00 seit diesem Monat. Zahlungsart nachträglich ergänzt (Update 2026-09-02) anhand Zahlungsbeleg Receipt-2268-5813.pdf.</t>
  </si>
  <si>
    <t xml:space="preserve">2026-006</t>
  </si>
  <si>
    <t xml:space="preserve">MVGOOM-00005</t>
  </si>
  <si>
    <t xml:space="preserve">23.05.–22.06.2026 (Nutzung) + 23.06.–22.07.2026 (Pro Plan)</t>
  </si>
  <si>
    <t xml:space="preserve">Invoice-MVGOOM-00005.pdf / Receipt-MVGOOM-00005.pdf</t>
  </si>
  <si>
    <t xml:space="preserve">Erstmals nennenswerte Nutzungsgebühren (Compute Hours) zusätzlich zur Pro-Plan-Grundgebühr. Zahlungsbeleg (Receipt-MVGOOM-00005.pdf) nachträglich ergänzt (Update 2026-09-02), keine neue Zeile — identischer Betrag/Zeitraum wie diese Rechnung.</t>
  </si>
  <si>
    <t xml:space="preserve">2026-007</t>
  </si>
  <si>
    <t xml:space="preserve">TT0BDQ8S-0004</t>
  </si>
  <si>
    <t xml:space="preserve">22.07.–21.08.2026</t>
  </si>
  <si>
    <t xml:space="preserve">Invoice-TT0BDQ8S-0004.pdf / Receipt-2842-3830.pdf</t>
  </si>
  <si>
    <t xml:space="preserve">Zahlungsart nachträglich ergänzt (Update 2026-09-02) anhand Zahlungsbeleg Receipt-2842-3830.pdf.</t>
  </si>
  <si>
    <t xml:space="preserve">2026-008</t>
  </si>
  <si>
    <t xml:space="preserve">MVGOOM-00006</t>
  </si>
  <si>
    <t xml:space="preserve">23.06.–22.07.2026 (Nutzung) + 23.07.–22.08.2026 (Pro Plan)</t>
  </si>
  <si>
    <t xml:space="preserve">Invoice-MVGOOM-00006.pdf / Receipt-MVGOOM-00006.pdf</t>
  </si>
  <si>
    <t xml:space="preserve">Nutzungsgebühren weiter gestiegen, neu: 'Realtime Peak Connections' $10,00. Rechnung listet 5 verschiedene Projekt-Referenzen, dokumentiert sind nur 2 (Staging + Produktion). Zahlungsbeleg (Receipt-MVGOOM-00006.pdf) nachträglich ergänzt (Update 2026-09-02), keine neue Zeile.</t>
  </si>
  <si>
    <t xml:space="preserve">2026-009</t>
  </si>
  <si>
    <t xml:space="preserve">MVS3312KT5 / Dok. 674170779929</t>
  </si>
  <si>
    <t xml:space="preserve">03.08.–02.09.2026 (Abo-Monat)</t>
  </si>
  <si>
    <t xml:space="preserve">Deine Käufe bei Apple.eml</t>
  </si>
  <si>
    <t xml:space="preserve">Belege für die Juni- und Juli-Abbuchung dieses Abos fehlen noch (vermutlich auch je ~22 €) — bitte in Apple-Kaufhistorie/Postfach nachsehen und ergänzen.</t>
  </si>
  <si>
    <t xml:space="preserve">2026-010</t>
  </si>
  <si>
    <t xml:space="preserve">CBBICKXQ-0001</t>
  </si>
  <si>
    <t xml:space="preserve">Anthropic, PBC</t>
  </si>
  <si>
    <t xml:space="preserve">Sandra Holm, Wielandstraße 11, 12159 Berlin, DE STN 89365407818</t>
  </si>
  <si>
    <t xml:space="preserve">USt. (19%) direkt von Anthropic ausgewiesen (EU VAT IE4276970QH), kein Reverse Charge.</t>
  </si>
  <si>
    <t xml:space="preserve">unbekannt (Online-Zahlung)</t>
  </si>
  <si>
    <t xml:space="preserve">Invoice-CBBICKXQ-0001.pdf</t>
  </si>
  <si>
    <t xml:space="preserve">Rechnung nennt eine deutsche Steuernummer (DE STN 89365407818) — da laut Sandy noch kein Gewerbe angemeldet ist (Stand 19.08.2026), vermutlich Sandys private Steuer-ID, nicht zwingend eine Geschäfts-Steuernummer. Position heißt 'Prepaid extra usage, Individual plan' — bitte klären: wiederkehrender Posten oder einmaliger Nachkauf von Nutzungsvolumen?</t>
  </si>
  <si>
    <t xml:space="preserve">2026-011</t>
  </si>
  <si>
    <t xml:space="preserve">100185593347</t>
  </si>
  <si>
    <t xml:space="preserve">Abrechnung 26.04.2026 (Vertragszeitraum Domain: 25.04.2026–24.04.2027)</t>
  </si>
  <si>
    <t xml:space="preserve">IONOS SE</t>
  </si>
  <si>
    <t xml:space="preserve">Deutschland</t>
  </si>
  <si>
    <t xml:space="preserve">Sandra Holm, Wielandstr. 11, 12159 Berlin</t>
  </si>
  <si>
    <t xml:space="preserve">USt. (19%) direkt von IONOS ausgewiesen (deutscher Anbieter, USt-IdNr. DE815563912), kein Reverse Charge.</t>
  </si>
  <si>
    <t xml:space="preserve">IONOS Rechnung 2026-04-26 - RG_100185593347.pdf</t>
  </si>
  <si>
    <t xml:space="preserve">Rechnung betrifft ausschließlich die Domain 'einfach-anfrage.com' (Position 1) — das ist NICHT sofortangebot.app, sondern offensichtlich ein anderes/älteres Projekt. Deshalb Sofortangebot-Anteil = 0,00 €. Alle 5 IONOS-Rechnungen (April–August 2026) laufen unter derselben Vertragsnummer 111811442, die mehrere Domains bündelt — bitte im Blick behalten, dass hier nicht versehentlich fremde Projektkosten mitgezählt werden. Neu entdeckt und nachgetragen: Update 2026-09-02.</t>
  </si>
  <si>
    <t xml:space="preserve">2026-012</t>
  </si>
  <si>
    <t xml:space="preserve">100187536255</t>
  </si>
  <si>
    <t xml:space="preserve">Abrechnung 26.05.2026 (Vertragszeiträume: 11.05.2026–10.05.2027 bzw. 22.05.2026–21.05.2027)</t>
  </si>
  <si>
    <t xml:space="preserve">IONOS Rechnung 2026-05-26 - RG_100187536255.pdf</t>
  </si>
  <si>
    <t xml:space="preserve">Rechnung betrifft drei fremde Domains ('einfachanfrage.com', 'einfachanfrage-hochzeitsfotografie.de', 'einfachanfrage-tattoo.de') plus deren Registrierungsgebühren — keine davon ist sofortangebot.app. Deshalb Sofortangebot-Anteil = 0,00 €. Neu entdeckt und nachgetragen: Update 2026-09-02.</t>
  </si>
  <si>
    <t xml:space="preserve">2026-013</t>
  </si>
  <si>
    <t xml:space="preserve">100189466040</t>
  </si>
  <si>
    <t xml:space="preserve">Abrechnung 26.06.2026 (Domain .app + Domain Guard: 08.06.2026–07.06.2027; IONOS Mail Basic 5: 08.06.–07.07.2026)</t>
  </si>
  <si>
    <t xml:space="preserve">USt. (19%) direkt von IONOS ausgewiesen, kein Reverse Charge. Hinweis für Steuerberater: Die Spalte 'Betrag (EUR)' auf IONOS-Rechnungen zeigt Brutto-Positionsbeträge, obwohl daneben eine MwSt.-Spalte steht — Netto/USt werden nur für die Rechnungssumme insgesamt ausgewiesen, nicht je Zeile. Der Sofortangebot-Anteil (Brutto) wurde deshalb direkt aus den Positionsbeträgen gebildet.</t>
  </si>
  <si>
    <t xml:space="preserve">IONOS Rechnung 2026-06-26 - RG_100189466040.pdf</t>
  </si>
  <si>
    <t xml:space="preserve">Erste Rechnung mit sofortangebot.app: Domain .app registriert 08.06.2026 (12,00 € brutto). Sandy hat am 02.09.2026 bestätigt, dass 'Domain Guard' (1,00 € brutto, Privatsphärenschutz) UND 'IONOS Mail Basic 5' (2,50 €/Monat, ab 08.06.2026) ebenfalls zu sofortangebot.app gehören — damit ist die komplette Rechnung (15,50 €) dem Sofortangebot-Anteil zugeordnet. Alle 5 IONOS-Rechnungen laufen unter Vertragsnummer 111811442, die mehrere fremde Domains bündelt (siehe 2026-011/012), die weiterhin ausgeschlossen bleiben. Neu entdeckt: Update 2026-09-02, Zuordnung bestätigt 2026-09-02.</t>
  </si>
  <si>
    <t xml:space="preserve">2026-014</t>
  </si>
  <si>
    <t xml:space="preserve">100191208015</t>
  </si>
  <si>
    <t xml:space="preserve">08.07.–07.08.2026 (IONOS Mail Basic 5)</t>
  </si>
  <si>
    <t xml:space="preserve">USt. (19%) direkt von IONOS ausgewiesen, kein Reverse Charge.</t>
  </si>
  <si>
    <t xml:space="preserve">IONOS Rechnung 2026-07-26 - RG_100191208015.pdf</t>
  </si>
  <si>
    <t xml:space="preserve">Nur Position 'IONOS Mail Basic 5' (2,50 €) — dasselbe Postfach wie in 2026-013. Sandy hat am 02.09.2026 bestätigt, dass es zu sofortangebot.app gehört. Neu entdeckt: Update 2026-09-02, Zuordnung bestätigt 2026-09-02.</t>
  </si>
  <si>
    <t xml:space="preserve">2026-015</t>
  </si>
  <si>
    <t xml:space="preserve">TT0BDQ8S-0005</t>
  </si>
  <si>
    <t xml:space="preserve">22.08.–21.09.2026</t>
  </si>
  <si>
    <t xml:space="preserve">Invoice-TT0BDQ8S-0005.pdf / Receipt-2017-0960.pdf</t>
  </si>
  <si>
    <t xml:space="preserve">Weiterhin 'Observability Plus' Position mit $0,00. Zahlungsart über Zahlungsbeleg bestätigt: Visa-Karte endet auf 3991 (gilt rückwirkend auch für 2026-002/005/007, dort ergänzt).</t>
  </si>
  <si>
    <t xml:space="preserve">2026-016</t>
  </si>
  <si>
    <t xml:space="preserve">MVGOOM-00007</t>
  </si>
  <si>
    <t xml:space="preserve">23.07.–22.08.2026 (Nutzung) + 23.08.–22.09.2026 (Pro Plan)</t>
  </si>
  <si>
    <t xml:space="preserve">Invoice-MVGOOM-00007.pdf / Receipt-MVGOOM-00007.pdf</t>
  </si>
  <si>
    <t xml:space="preserve">Nutzungsgebühren leicht gesunken ggü. Juli ($54,30 → $53,83). Positiv aufgefallen: nur noch 4 Projekt-Referenzen in den Positionen sichtbar (bkldyddstovvkkhpiqiy, ezgyklsigzaowrrpqtpv, qsdbnckgzllyypmkmzhc, yqlledouhfovytifeekd) — die fünfte aus den Vormonaten ('ytvysmwepajatcdhkgup') taucht hier nicht mehr auf. Könnte bedeuten, dass ein ungenutztes Projekt zwischenzeitlich entfernt wurde (siehe offener Punkt '5 vs. 2 dokumentierte Projekte').</t>
  </si>
  <si>
    <t xml:space="preserve">2026-017</t>
  </si>
  <si>
    <t xml:space="preserve">100192688572</t>
  </si>
  <si>
    <t xml:space="preserve">08.08.–07.09.2026 (IONOS Mail Basic 5)</t>
  </si>
  <si>
    <t xml:space="preserve">IONOS Rechnung 2026-08-26 - RG_100192688572.pdf</t>
  </si>
  <si>
    <t xml:space="preserve">Wie Juli: nur 'IONOS Mail Basic 5' (2,50 €). Sandy hat am 02.09.2026 bestätigt, dass es zu sofortangebot.app gehört (siehe 2026-013/014).</t>
  </si>
  <si>
    <t xml:space="preserve">Monatsverlauf laufende Kosten</t>
  </si>
  <si>
    <t xml:space="preserve">Werte werden per Formel aus dem 'Rechnungsjournal' gezogen (nach Rechnungsmonat, Dienst und Währung) — beim Ergänzen neuer Belege im Journal aktualisiert sich diese Ansicht automatisch. Leere Zelle = noch kein Beleg für diesen Monat gefunden.</t>
  </si>
  <si>
    <t xml:space="preserve">Mai 2026</t>
  </si>
  <si>
    <t xml:space="preserve">Jun 2026</t>
  </si>
  <si>
    <t xml:space="preserve">Jul 2026</t>
  </si>
  <si>
    <t xml:space="preserve">Aug 2026</t>
  </si>
  <si>
    <t xml:space="preserve">Sep 2026</t>
  </si>
  <si>
    <t xml:space="preserve">Okt 2026</t>
  </si>
  <si>
    <t xml:space="preserve">Nov 2026</t>
  </si>
  <si>
    <t xml:space="preserve">Dez 2026</t>
  </si>
  <si>
    <t xml:space="preserve">Gesamt (Zeitraum)</t>
  </si>
  <si>
    <t xml:space="preserve">Monatssumme USD</t>
  </si>
  <si>
    <t xml:space="preserve">Monatssumme EUR</t>
  </si>
  <si>
    <t xml:space="preserve">Marge &amp; Tragfähigkeit — CoS-F-002</t>
  </si>
  <si>
    <t xml:space="preserve">Kosten pro Angebot, Deckungsbeitrag bei 49€/29€, Break-even-Kundenzahl. Auftrag: docs/chief-of-staff-finance-todos.md, Ticket CoS-F-002 (zugewiesen Chief of Staff, 03.09.2026). Preise laut docs/preismodell.md (✅ entschieden 03.09.2026) — diese Auswertung prüft die Tragfähigkeit des entschiedenen Preises, sie ändert oder empfiehlt keinen Preis.</t>
  </si>
  <si>
    <t xml:space="preserve">1) Annahmen</t>
  </si>
  <si>
    <t xml:space="preserve">Bezeichnung</t>
  </si>
  <si>
    <t xml:space="preserve">Wert</t>
  </si>
  <si>
    <t xml:space="preserve">Einheit</t>
  </si>
  <si>
    <t xml:space="preserve">Quelle / Kommentar</t>
  </si>
  <si>
    <t xml:space="preserve">KI-Kosten je Angebot (konservativ)</t>
  </si>
  <si>
    <t xml:space="preserve">Cent</t>
  </si>
  <si>
    <t xml:space="preserve">Konservative Schätzung Head of Product Engineering, s. chief-of-staff-finance-todos.md 'Rohdaten für CoS-F-002': 2,5 Cent statt gemessener 2,2 Cent (Whisper $0,0060 + Chip-Vorschau $0,0002 + volle Extraktion $0,0172, je 1 Aufnahme + 1 Extraktion, USD-Basis). Aufnahmedauer wurde nie direkt gemessen (Bug, jetzt behoben) — 2,5 Cent nimmt 1,5 statt 1,0 Min. Aufnahmedauer an. Ausdrückliche Vorgabe Chief of Staff: konservativen Wert für CoS-F-002 und CoS-F-003 verwenden. Hinweis: die als Quelle genannte docs/ki-kosten-messung.md existiert nicht im Repo (dreimal referenziert, nirgends committed) — Zahlen hier aus der Koordinationsdatei selbst übernommen, dort wortgleich hinterlegt.</t>
  </si>
  <si>
    <t xml:space="preserve">USD/EUR-Kurs</t>
  </si>
  <si>
    <t xml:space="preserve">EUR je USD</t>
  </si>
  <si>
    <t xml:space="preserve">exchange-rates.org: Kurs 01.09.2026 = 0,8626, 02.09.2026 = 0,8631, YTD-Ø 2026 = 0,8603 — gerundete Annahme, editierbar.</t>
  </si>
  <si>
    <t xml:space="preserve">Stripe-Gebühr variabel (EU-Karten)</t>
  </si>
  <si>
    <t xml:space="preserve">% (Dezimal)</t>
  </si>
  <si>
    <t xml:space="preserve">kosten.org Stripe-Gebührenrechner: 1,5% + 0,25€ für europäische Karten (Abruf 03.09.2026). Erster Abruf von stripe.com/pricing zeigte einen US-Wert (2,9% + 30¢) — als für ein deutsches Geschäft nicht zutreffend verworfen, deutschsprachige Quelle stattdessen verwendet. Annahme, editierbar, mit echtem Stripe-Vertrag abzugleichen sobald Zahlungen live laufen.</t>
  </si>
  <si>
    <t xml:space="preserve">Stripe-Gebühr fix</t>
  </si>
  <si>
    <t xml:space="preserve">€</t>
  </si>
  <si>
    <t xml:space="preserve">Gleiche Quelle wie Zeile oben (kosten.org).</t>
  </si>
  <si>
    <t xml:space="preserve">Gründerpreis</t>
  </si>
  <si>
    <t xml:space="preserve">€/Monat</t>
  </si>
  <si>
    <t xml:space="preserve">docs/preismodell.md, ✅ entschieden 03.09.2026.</t>
  </si>
  <si>
    <t xml:space="preserve">Standardpreis</t>
  </si>
  <si>
    <t xml:space="preserve">Gründerpreis-Plätze</t>
  </si>
  <si>
    <t xml:space="preserve">Kunden</t>
  </si>
  <si>
    <t xml:space="preserve">docs/preismodell.md — dauerhaft für die ersten 25 zahlenden Betriebe, nicht befristet.</t>
  </si>
  <si>
    <t xml:space="preserve">Kleinunternehmergrenze Vorjahr</t>
  </si>
  <si>
    <t xml:space="preserve">€ netto</t>
  </si>
  <si>
    <t xml:space="preserve">§19 UStG — mehrfach webverifiziert 03.09.2026 (Taxfix, Tide, Finanzamt NRW u. a.), deckt sich mit der Angabe des Legal-Teams und mit docs/preismodell.md.</t>
  </si>
  <si>
    <t xml:space="preserve">Kleinunternehmergrenze lfd. Jahr</t>
  </si>
  <si>
    <t xml:space="preserve">Gleiche Quelle wie Zeile oben.</t>
  </si>
  <si>
    <t xml:space="preserve">2) Monatliche Fixkosten-Baseline</t>
  </si>
  <si>
    <t xml:space="preserve">Betrag</t>
  </si>
  <si>
    <t xml:space="preserve">Betrag EUR</t>
  </si>
  <si>
    <t xml:space="preserve">Anmerkung</t>
  </si>
  <si>
    <t xml:space="preserve">Flat seit Bereinigung der Extra-Projekte (CoS-P-008, 03.09.2026): 2 × 25$ Pro-Tier, 0% Nutzungs-Overage (DB 22MB/8GB, Storage 87MB/100GB). Letzter Einzelbeleg lag noch bei 53,83$ (August, vor der Bereinigung) — ab jetzt als flach angenommen, laut Platform-Team fix unabhängig von der Kundenzahl.</t>
  </si>
  <si>
    <t xml:space="preserve">Stabil seit 4 Belegen (Journal 2026-002/005/007/015), inkl. USt. Ein fixer Vercel-Seat-Kostenblock.</t>
  </si>
  <si>
    <t xml:space="preserve">Offen (Kostenübersicht-Blatt): wiederkehrend oder einmaliger Nachkauf? Hier vorsichtshalber als monatlich angenommen — Auswirkung s. Sensitivitätszeile unten.</t>
  </si>
  <si>
    <t xml:space="preserve">Von Sandy bestätigt: geschäftlich (chief-of-staff-finance-todos.md, Teil-Update 19.08.2026).</t>
  </si>
  <si>
    <t xml:space="preserve">Domain / IONOS (sofortangebot.app)</t>
  </si>
  <si>
    <t xml:space="preserve">2,50 €/Monat (IONOS Mail Basic 5, laufend) + 13,00 €/Jahr (Domain .app + Domain Guard) anteilig = 2,50 + 13/12 €/Monat.</t>
  </si>
  <si>
    <t xml:space="preserve">Resend / Sentry / GitHub (aktuell)</t>
  </si>
  <si>
    <t xml:space="preserve">Noch keine Kosten (kein Beleg / Free-Tier). Laut CoS-P-008: Resend Pro (20$/Monat) empfohlen ab ~200 Betrieben — dann hier nachtragen; bei den in dieser Analyse betrachteten Kundenzahlen (Break-even, s. u.) noch nicht relevant.</t>
  </si>
  <si>
    <t xml:space="preserve">Fixkosten gesamt (EUR/Monat)</t>
  </si>
  <si>
    <t xml:space="preserve">… davon ohne 'Anthropic — direkt' (falls einmalig statt wiederkehrend)</t>
  </si>
  <si>
    <t xml:space="preserve">Hinweis: OpenAI erscheint hier absichtlich NICHT als Fixkosten-Zeile — es wird stattdessen vollständig über 'KI-Kosten je Angebot' oben als variable Kosten erfasst, um keine Doppelzählung zu erzeugen. Matching/Plausibilitäts-Prüfung laufen lokal ohne KI-Aufruf (keine versteckten KI-Kostenblöcke, s. CoS-Rohdaten).</t>
  </si>
  <si>
    <t xml:space="preserve">3) Deckungsbeitrag je Kunde (nach KI-Kosten &amp; Stripe-Gebühr)</t>
  </si>
  <si>
    <t xml:space="preserve">Deckungsbeitrag = Preis − KI-Kosten (Angebote × Kosten/Angebot) − Stripe-Gebühr (Preis × variable Gebühr + fixe Gebühr je Zahlung).</t>
  </si>
  <si>
    <t xml:space="preserve">Angebote / Monat</t>
  </si>
  <si>
    <t xml:space="preserve">KI-Kosten gesamt</t>
  </si>
  <si>
    <t xml:space="preserve">Stripe-Gebühr @29€</t>
  </si>
  <si>
    <t xml:space="preserve">Deckungsbeitrag @29€</t>
  </si>
  <si>
    <t xml:space="preserve">Stripe-Gebühr @49€</t>
  </si>
  <si>
    <t xml:space="preserve">Deckungsbeitrag @49€</t>
  </si>
  <si>
    <t xml:space="preserve">Hinweis</t>
  </si>
  <si>
    <t xml:space="preserve">Leichtnutzer</t>
  </si>
  <si>
    <t xml:space="preserve">typischer Kunde — Basis für Break-even unten</t>
  </si>
  <si>
    <t xml:space="preserve">Vielnutzer (moderat)</t>
  </si>
  <si>
    <t xml:space="preserve">Vielnutzer-Fall (Ticket-Beispiel) — testet Tragfähigkeit von 'unbegrenzt Angebote'</t>
  </si>
  <si>
    <t xml:space="preserve">4) Break-even-Kundenzahl</t>
  </si>
  <si>
    <t xml:space="preserve">Basis: 'typischer Kunde' = 5 Angebote/Monat (Zeile oben). Ergänzend unten: Sensitivität für den Vielnutzer-Fall (40 Angebote/Monat) — testet, ob 'unbegrenzt Angebote' beim Standardpreis trägt.</t>
  </si>
  <si>
    <t xml:space="preserve">Deckungsbeitrag @29€ (typischer Kunde, 5 Angebote)</t>
  </si>
  <si>
    <t xml:space="preserve">Deckungsbeitrag @49€ (typischer Kunde, 5 Angebote)</t>
  </si>
  <si>
    <t xml:space="preserve">Deckungsbeitrag aus 25 Gründerpreis-Plätzen (voll ausgelastet)</t>
  </si>
  <si>
    <t xml:space="preserve">Reichen die 25 Gründerpreis-Plätze allein für die Fixkosten?</t>
  </si>
  <si>
    <t xml:space="preserve">Reines Minimum bei 29€ (unabhängig von der 25er-Grenze — theoretisch, s. Hinweis unten)</t>
  </si>
  <si>
    <t xml:space="preserve">Zusätzliche 49€-Kunden nötig, falls nicht (aufgerundet)</t>
  </si>
  <si>
    <t xml:space="preserve">Break-even: Kundenzahl unter tatsächlicher Preisstruktur (25 Gründerpreis + zusätzliche @49€)</t>
  </si>
  <si>
    <t xml:space="preserve">Einordnung: die reale Preisstruktur startet mit 25 fest reservierten Gründerpreis-Plätzen — deshalb ist 25 die praktisch garantierte Break-even-Zahl. Das 'reine Minimum' oben zeigt zusätzlich, wie wenige Kunden bei typischer Nutzung (5 Angebote/Monat, 29€) rein rechnerisch nötig wären, um die aktuelle Fixkosten-Baseline zu decken — nützlich, um die Größenordnung einzuschätzen, nicht als Ziel unterhalb der 25 Plätze gedacht.</t>
  </si>
  <si>
    <t xml:space="preserve">Sensitivität Vielnutzer-Fall (40 Angebote/Monat statt 5): so verändert sich der Deckungsbeitrag eines einzelnen Kunden — zeigt, ob 'unbegrenzt Angebote' beim Standardpreis trägt.</t>
  </si>
  <si>
    <t xml:space="preserve">Deckungsbeitrag @49€, Vielnutzer (40 Angebote/Monat)</t>
  </si>
  <si>
    <t xml:space="preserve">Deckungsbeitrag @29€, Vielnutzer (40 Angebote/Monat, Gründerpreis)</t>
  </si>
  <si>
    <t xml:space="preserve">Fazit: trägt 'unbegrenzt Angebote' auch für Vielnutzer?</t>
  </si>
  <si>
    <t xml:space="preserve">Scope-Hinweis: Diese Seite deckt Punkt 1–3 von CoS-F-002 ab (Kosten/Angebot, Deckungsbeitrag, Break-even). Punkt 4 (Kleinunternehmergrenze-Zeitpunkt) steht auf dem nächsten Blatt 'Kleinunternehmergrenze'. Der vollständige 24-Monats-Finanzplan (CoS-F-003) ist bewusst NICHT Teil dieser Datei — laut Chief-of-Staff-Vorgabe erst nach Abschluss von CoS-F-002.</t>
  </si>
  <si>
    <t xml:space="preserve">Kleinunternehmergrenze — CoS-F-002, Punkt 4</t>
  </si>
  <si>
    <t xml:space="preserve">Vereinfachtes 36-Monats-Wachstumsmodell ausschließlich zur Beantwortung der Frage: ab welchem Monat wird unter verschiedenen Wachstumsannahmen die Kleinunternehmergrenze (25.000€ Vorjahr / 100.000€ laufendes Jahr, §19 UStG) überschritten? Kein vollständiger Finanzplan — der 24-Monats-Finanzplan ist CoS-F-003 und bewusst separat. Preise, Gründerpreis-Plätze und die Kleinunternehmergrenzen-Werte sind Annahmezellen auf dem Blatt 'Marge &amp; Tragfähigkeit' und werden hier per Formel verlinkt (grün), nicht neu eingegeben.</t>
  </si>
  <si>
    <t xml:space="preserve">Wachstumsannahmen</t>
  </si>
  <si>
    <t xml:space="preserve">Szenario</t>
  </si>
  <si>
    <t xml:space="preserve">Neue Kunden / Monat</t>
  </si>
  <si>
    <t xml:space="preserve">Kommentar</t>
  </si>
  <si>
    <t xml:space="preserve">Vorsichtig</t>
  </si>
  <si>
    <t xml:space="preserve">Sehr langsames, organisches Wachstum ohne Marketing-Push.</t>
  </si>
  <si>
    <t xml:space="preserve">Realistisch</t>
  </si>
  <si>
    <t xml:space="preserve">Mittlere Annahme. Eigene Modellierungs-Bandbreite (Head of Finance), keine Prognose von Sandy/Chief of Staff — bitte bei Bedarf anpassen (gelbe Zelle).</t>
  </si>
  <si>
    <t xml:space="preserve">Optimistisch</t>
  </si>
  <si>
    <t xml:space="preserve">Schnelles Wachstum, z. B. durch aktive Vermarktung/Empfehlungen.</t>
  </si>
  <si>
    <t xml:space="preserve">Zur Einordnung: +3 Neukunden/Monat wurde testweise durchgerechnet, ergab aber selbst nach 12 Monaten erst rund 7.300€ Jahresumsatz (keine informative Schwellenüberschreitung im 36-Monats-Horizont) — die Bandbreite 2/4/8 wurde stattdessen gewählt, um den Übergang sichtbar zu machen.</t>
  </si>
  <si>
    <t xml:space="preserve">Ergebnis: erster Monat mit Überschreitung</t>
  </si>
  <si>
    <t xml:space="preserve">&gt; 25.000€ (Vorjahresgrenze) ab Monat</t>
  </si>
  <si>
    <t xml:space="preserve">&gt; 100.000€ (lfd. Jahr) ab Monat</t>
  </si>
  <si>
    <t xml:space="preserve">Methode: pro Szenario ein 36-Monats-Raster weiter unten. 'Kalenderjahr-Umsatz' beginnt bei Monat 1, 13 und 25 jeweils neu bei 0 (kalenderjahresgenau, nicht gleitend). Die Ergebnis-Zellen oben verwenden INDEX/MATCH auf die Raster (kein OFFSET, keine Array-Funktionen); wird die Grenze innerhalb von 36 Monaten nicht erreicht, steht dort '&gt; 36 Monate (nicht erreicht)'.</t>
  </si>
  <si>
    <t xml:space="preserve">Szenario: Vorsichtig (2 Neukunden/Monat)</t>
  </si>
  <si>
    <t xml:space="preserve">Monat</t>
  </si>
  <si>
    <t xml:space="preserve">Neue Kunden</t>
  </si>
  <si>
    <t xml:space="preserve">Kumulierte Kunden</t>
  </si>
  <si>
    <t xml:space="preserve">Kunden @29€</t>
  </si>
  <si>
    <t xml:space="preserve">Kunden @49€</t>
  </si>
  <si>
    <t xml:space="preserve">Umsatz Monat (€)</t>
  </si>
  <si>
    <t xml:space="preserve">Kalenderjahr-Umsatz (€, kumuliert)</t>
  </si>
  <si>
    <t xml:space="preserve">&gt; 25.000€ (Vorjahr)?</t>
  </si>
  <si>
    <t xml:space="preserve">&gt; 100.000€ (lfd. Jahr)?</t>
  </si>
  <si>
    <t xml:space="preserve">Szenario: Realistisch (4 Neukunden/Monat)</t>
  </si>
  <si>
    <t xml:space="preserve">Szenario: Optimistisch (8 Neukunden/Monat)</t>
  </si>
  <si>
    <t xml:space="preserve">ÜBERHOLT (03.09.2026, nachträglich ergänzt): Dieses Blatt rechnet mit der pauschalen Annahme von konstant 2/4/8 Neukunden ab Monat 1, die für CoS-F-002 als Größenordnung vereinbart war. Inzwischen liegt der Kanalplan von Head of Marketing vor (docs/gtm-kanalplan.xlsx, CoS-M-007) und der Launch ist auf Dezember 2026 / Januar 2027 datiert — die ersten drei Monate bringen gar keinen Umsatz, und die Kurve ist eine andere. Die Grenze wird dadurch deutlich SPÄTER erreicht als hier dargestellt. Maßgeblich ist Abschnitt 4 auf dem Blatt 'Plan-Deckblatt'. Dieses Blatt bleibt unverändert stehen, damit die ursprüngliche CoS-F-002-Antwort nachvollziehbar bleibt.</t>
  </si>
  <si>
    <t xml:space="preserve">Scope-Hinweis: Dieses Blatt beantwortet nur den Zeitpunkt der Grenzüberschreitung (CoS-F-002, Punkt 4). Es ersetzt nicht den vollständigen Finanzplan mit Vorfinanzierungsbedarf und Umsatzschwelle für den Ausstieg aus der Anstellung — das ist CoS-F-003 und wird dort, nach Abschluss dieses Tickets, im Detail modelliert.</t>
  </si>
  <si>
    <t xml:space="preserve">Finanzplan Sofortangebot — Deckblatt (CoS-F-003, Stand 03.09.2026)</t>
  </si>
  <si>
    <t xml:space="preserve">Die drei Zahlen, die Sandy wirklich braucht, je Szenario. Alles Weitere ist Beleg: 'Plan-Annahmen' (alle Eingaben, gelb) · 'Plan-Kunden' (Kanalmodell und Zeitbudget) · 'Plan-Kosten' (Vollständigkeits-Katalog A–H) · 'Plan-24M' (Monatsraster) · 'Plan-Phase B' (Ausstiegsstufen). Kein Businessplan in Bankform — bewusst abgewählt. Head of Finance bereitet auf und entscheidet nicht; die steuerliche Bewertung, insbesondere die Besteuerung der UG, gehört zum Steuerberater.</t>
  </si>
  <si>
    <t xml:space="preserve">Neukunden aus dem Kanalplan (Σ 24 Monate, Marketing)</t>
  </si>
  <si>
    <t xml:space="preserve">davon zusätzlich durch Mundpropaganda</t>
  </si>
  <si>
    <t xml:space="preserve">Abwanderung Standardkunden pro Monat (Annahme)</t>
  </si>
  <si>
    <t xml:space="preserve">Zahlende Betriebe am Ende (Monat 24, nach Abwanderung)</t>
  </si>
  <si>
    <t xml:space="preserve">1) Wann trägt es sich?</t>
  </si>
  <si>
    <t xml:space="preserve">Erster Monat mit positivem Monatsergebnis</t>
  </si>
  <si>
    <t xml:space="preserve">… Kalendermonat</t>
  </si>
  <si>
    <t xml:space="preserve">… zahlende Betriebe in diesem Monat</t>
  </si>
  <si>
    <t xml:space="preserve">Umsatz Monat 24 (netto)</t>
  </si>
  <si>
    <t xml:space="preserve">Umsatz Jahr 1 (Sep 26 – Aug 27)</t>
  </si>
  <si>
    <t xml:space="preserve">Umsatz Jahr 2 (Sep 27 – Aug 28)</t>
  </si>
  <si>
    <t xml:space="preserve">2) Wie viel muss Sandy vorstrecken?</t>
  </si>
  <si>
    <t xml:space="preserve">Tiefpunkt der Liquidität (inkl. gebundener Reserven)</t>
  </si>
  <si>
    <t xml:space="preserve">… davon Reserven, die Vermögen bleiben (Stammkapital, Rücklage)</t>
  </si>
  <si>
    <t xml:space="preserve">… Monat des Tiefpunkts</t>
  </si>
  <si>
    <t xml:space="preserve">Erster Monat mit dauerhaft positiver Liquidität</t>
  </si>
  <si>
    <t xml:space="preserve">Kumuliertes Ergebnis nach Steuerrücklage, Monat 24</t>
  </si>
  <si>
    <t xml:space="preserve">3) Ab wann kann Sandy die Anstellung reduzieren — und ganz loslassen?</t>
  </si>
  <si>
    <t xml:space="preserve">Nachtrag 5: der Ausstieg ist eine Treppe. In Stufe B1 läuft das Teilzeitgehalt weiter und die Krankenversicherung bleibt beim Arbeitgeber — Sofortangebot muss nur die Lücke zu 2.500 € netto schließen. Erst in B2 kommt alles zusammen. Deshalb liegen die Stufen so weit auseinander.</t>
  </si>
  <si>
    <t xml:space="preserve">Stufe</t>
  </si>
  <si>
    <t xml:space="preserve">Nötige Betriebe</t>
  </si>
  <si>
    <t xml:space="preserve">Nötiger Umsatz/Monat</t>
  </si>
  <si>
    <t xml:space="preserve">Lücke, die zu schließen ist</t>
  </si>
  <si>
    <t xml:space="preserve">Stufe B1 — 30 Std./Woche</t>
  </si>
  <si>
    <t xml:space="preserve">Stufe B1 — 25 Std./Woche</t>
  </si>
  <si>
    <t xml:space="preserve">Stufe B2 — Anstellung fällt weg</t>
  </si>
  <si>
    <t xml:space="preserve">Erreicht in Monat …</t>
  </si>
  <si>
    <t xml:space="preserve">Stufe B1 (30 Std.) erreicht</t>
  </si>
  <si>
    <t xml:space="preserve">… Teilzeitantrag dann spätestens im Monat (3 Monate Vorlauf, §8/§9a TzBfG)</t>
  </si>
  <si>
    <t xml:space="preserve">Stufe B1 (25 Std.) erreicht</t>
  </si>
  <si>
    <t xml:space="preserve">Stufe B2 (Anstellung fällt weg) erreicht</t>
  </si>
  <si>
    <t xml:space="preserve">4) Kleinunternehmergrenze — aktualisiert gegenüber CoS-F-002</t>
  </si>
  <si>
    <t xml:space="preserve">Das Blatt 'Kleinunternehmergrenze' beantwortet dieselbe Frage noch mit der pauschalen Annahme aus CoS-F-002 (konstant 2/4/8 Neukunden ab Monat 1). Der Kanalplan von Marketing ist besser begründet und beginnt erst im Dezember — die Grenze wird damit deutlich später erreicht. Maßgeblich sind die Zahlen hier.</t>
  </si>
  <si>
    <t xml:space="preserve">Kalenderjahr (Umsatz netto)</t>
  </si>
  <si>
    <t xml:space="preserve">2026 (Sep–Dez)</t>
  </si>
  <si>
    <t xml:space="preserve">2027 (Jan–Dez)</t>
  </si>
  <si>
    <t xml:space="preserve">2028 (Jan–Aug, angeschnitten)</t>
  </si>
  <si>
    <t xml:space="preserve">Höchster Jahreswert über 25.000 €?</t>
  </si>
  <si>
    <t xml:space="preserve">Lesart: Solange kein Kalenderjahr über 25.000 € netto kommt, bleibt die Kleinunternehmerregelung möglich — die UG kann sie in Anspruch nehmen. Das ist die Variante, die im Raster gerechnet ist (Schalter 'Regelbesteuerung' auf 0). Ob der freiwillige Verzicht sinnvoll ist, weil dann die Vorsteuer aus allen Kosten gezogen werden kann und die Kunden als Unternehmen die Umsatzsteuer ohnehin durchreichen, ist eine Steuerberater-Frage (docs/preismodell.md, Nachtrag 7) — der Schalter zeigt die Wirkung.</t>
  </si>
  <si>
    <t xml:space="preserve">5) Der Engpass: Zeit, nicht Geld (Nachtrag 4)</t>
  </si>
  <si>
    <t xml:space="preserve">Benötigte Stunden im Monat 24 (Vertrieb + Support + Onboarding + Grundlast)</t>
  </si>
  <si>
    <t xml:space="preserve">Monate über der Dauerlinie (65 Std.) von 24</t>
  </si>
  <si>
    <t xml:space="preserve">Monate über der Sprintlinie (86 Std.) von 24</t>
  </si>
  <si>
    <t xml:space="preserve">Erster Monat über der Dauerlinie</t>
  </si>
  <si>
    <t xml:space="preserve">Erster Monat über der Sprintlinie</t>
  </si>
  <si>
    <t xml:space="preserve">Genau hier liegt Sandys Klemme: Die Kapazitätsgrenze kommt vor der Rentabilitätsgrenze. Solange sie Vollzeit angestellt ist, begrenzt nicht die Nachfrage das Wachstum, sondern ihre Zeit — und die Stufe B1 aus Nachtrag 5 ist der Mechanismus, der diese Grenze anhebt (43 bzw. 65 Stunden mehr im Monat), bevor die Einnahmen sie tragen müssten.</t>
  </si>
  <si>
    <t xml:space="preserve">Offene Zahlen, die den Plan verschieben (alle gelb markiert): Sandys echtes Bruttogehalt · Beitrag der IT-Haftpflicht (exali-Angebot) · Steuerberater-Honorar für die UG · die Abwanderungsrate (ohne einen einzigen Erfahrungswert, wichtigste Zahl des Modells) · Anthropic-Direktrechnung einmalig oder wiederkehrend · Empfehlungs-Anreiz ein/aus (Sandys Entscheidung).</t>
  </si>
  <si>
    <t xml:space="preserve">Bewusst vorsichtig gerechnet: keine Verlustverrechnung mit dem Gehalt, kein Vorsteuerabzug ohne Regelbesteuerung, frei werdende Gründerplätze werden nicht neu vergeben, Steuer sofort zurückgelegt, September bis November ohne jede Einnahme. Nicht simuliert: die Besteuerung der UG (Körperschaft- und Gewerbesteuer, dann Gehalt oder Ausschüttung) — das ist der eine Punkt, an dem der Plan einen Steuerberater braucht, bevor Sandy Entscheidungen daran hängt.</t>
  </si>
  <si>
    <t xml:space="preserve">Plan-Annahmen — CoS-F-003 Finanzplan (24 Monate)</t>
  </si>
  <si>
    <t xml:space="preserve">Alle Eingaben des Finanzplans an einer Stelle. Gelb = Annahme/Eingabe, bitte nur hier ändern. Grün = Verweis auf bereits vorhandene Werte (Marge &amp; Tragfähigkeit, Kleinunternehmergrenze) — eine Wahrheit pro Sache. Jede Zeile nennt ihre Quelle. Horizont September 2026 bis August 2028. Eingearbeitet: Nachträge 1–7 des Chief of Staff — Kanalmodell statt Pauschalrate (N3), Zeitbudget als harte Grenze (N4), Ausstieg als Treppe 40→30/25→0 (N5), Gate 1 Dezember 2026 / Launch Januar 2027 (N6), Rechtsform UG entschieden und Kanalplan CoS-M-007 (N7).</t>
  </si>
  <si>
    <t xml:space="preserve">1) Zeitrahmen (Nachtrag 6 — Sandys Launch-Entscheidung)</t>
  </si>
  <si>
    <t xml:space="preserve">Startmonat des Plans (Monat 1)</t>
  </si>
  <si>
    <t xml:space="preserve">Datum</t>
  </si>
  <si>
    <t xml:space="preserve">Horizont Sep 2026 – Aug 2028 (24 Monate), Auftrag CoS-F-003.</t>
  </si>
  <si>
    <t xml:space="preserve">Gate 1 — begleitete Testnutzer ab Monat</t>
  </si>
  <si>
    <t xml:space="preserve">Monat-Nr.</t>
  </si>
  <si>
    <t xml:space="preserve">Nachtrag 6: Gate 1 Anfang Dezember 2026 = Monat 4. September–November sind reine Kosten-Monate (Okt = Vorbereitung, 02.11.–03.12. Thailand, docs/kalender.md) — bewusst nicht mit Einnahmen geglättet.</t>
  </si>
  <si>
    <t xml:space="preserve">Öffentlicher Launch ab Monat</t>
  </si>
  <si>
    <t xml:space="preserve">Nachtrag 6: Januar 2027 = Monat 5.</t>
  </si>
  <si>
    <t xml:space="preserve">2) Kundenmodell (Nachtrag 3 + 7 — Kanalplan CoS-M-007)</t>
  </si>
  <si>
    <t xml:space="preserve">Neukunden je Kanal und Monat</t>
  </si>
  <si>
    <t xml:space="preserve">siehe Blatt 'Plan-Kunden'</t>
  </si>
  <si>
    <t xml:space="preserve">Zulieferung Head of Marketing, docs/gtm-kanalplan.xlsx, Blatt 'Kanal x Monat' (CoS-M-007): sechs Kanäle (Dessau-Fachhandel, Warteliste, Social Media, Mundpropaganda, Fachhandel-Spielbuch, Content/SEO), drei Szenarien, 24 Monate. Summen ohne Mundpropaganda/Abwanderung: 16,5 / 52,25 / 103,5 Betriebe. Die Werte sind auf 'Plan-Kunden' blau als Zulieferung eingetragen — Bewertung des Vertriebs liegt bei Marketing, die Rechnung bei mir.</t>
  </si>
  <si>
    <t xml:space="preserve">Mundpropaganda: Anteil aktiver Betriebe mit Empfehlung/Jahr — Vorsichtig</t>
  </si>
  <si>
    <t xml:space="preserve">% pro Jahr</t>
  </si>
  <si>
    <t xml:space="preserve">gtm-kanalplan.xlsx, Blatt 'Mundpropaganda' (Parameter von Marketing, Anwendung auf die aktive Basis bei mir).</t>
  </si>
  <si>
    <t xml:space="preserve">Mundpropaganda: Anteil aktiver Betriebe mit Empfehlung/Jahr — Realistisch</t>
  </si>
  <si>
    <t xml:space="preserve">Mundpropaganda: Anteil aktiver Betriebe mit Empfehlung/Jahr — Optimistisch</t>
  </si>
  <si>
    <t xml:space="preserve">Mundpropaganda: davon zahlend nach Testphase — Vorsichtig</t>
  </si>
  <si>
    <t xml:space="preserve">%</t>
  </si>
  <si>
    <t xml:space="preserve">gtm-kanalplan.xlsx, Blatt 'Mundpropaganda'.</t>
  </si>
  <si>
    <t xml:space="preserve">Mundpropaganda: davon zahlend nach Testphase — Realistisch</t>
  </si>
  <si>
    <t xml:space="preserve">Mundpropaganda: davon zahlend nach Testphase — Optimistisch</t>
  </si>
  <si>
    <t xml:space="preserve">Mundpropaganda: Verzögerung bis zur Empfehlung — Vorsichtig</t>
  </si>
  <si>
    <t xml:space="preserve">Monate</t>
  </si>
  <si>
    <t xml:space="preserve">gtm-kanalplan.xlsx: ein Handwerker empfiehlt erst, wenn es sich bewährt hat. Rechenregel: aktive Betriebe (Monat − Verzögerung) × Jahresanteil ÷ 12 × Zahlend-Anteil.</t>
  </si>
  <si>
    <t xml:space="preserve">Mundpropaganda: Verzögerung bis zur Empfehlung — Realistisch</t>
  </si>
  <si>
    <t xml:space="preserve">Mundpropaganda: Verzögerung bis zur Empfehlung — Optimistisch</t>
  </si>
  <si>
    <t xml:space="preserve">Abwanderung Standardkunden pro Monat — Vorsichtig</t>
  </si>
  <si>
    <t xml:space="preserve">% der Kunden</t>
  </si>
  <si>
    <t xml:space="preserve">MEINE Annahme (Nachtrag 3: Abwanderung ist Finance-Annahme). Marketing nennt als plausible Bandbreite 3–5 % pro Monat im ersten Jahr (Testphasen-Nachzügler, Saisonpausen). Es gibt keinen einzigen Erfahrungswert — das ist die wichtigste Zahl, die nach den ersten echten Monaten ersetzt gehört.</t>
  </si>
  <si>
    <t xml:space="preserve">Abwanderung Standardkunden pro Monat — Realistisch</t>
  </si>
  <si>
    <t xml:space="preserve">Abwanderung Standardkunden pro Monat — Optimistisch</t>
  </si>
  <si>
    <t xml:space="preserve">Abwanderung Gründerkunden pro Monat — Vorsichtig</t>
  </si>
  <si>
    <t xml:space="preserve">MEINE Annahme, deutlich unter der Standardrate — Marketing: Gründerkunden binden stärker (Preis dauerhaft 29 €, Feedback-Bindung).</t>
  </si>
  <si>
    <t xml:space="preserve">Abwanderung Gründerkunden pro Monat — Realistisch</t>
  </si>
  <si>
    <t xml:space="preserve">Abwanderung Gründerkunden pro Monat — Optimistisch</t>
  </si>
  <si>
    <t xml:space="preserve">Empfehlungs-Anreiz aktiv? (1 = ja, 0 = nein)</t>
  </si>
  <si>
    <t xml:space="preserve">Schalter</t>
  </si>
  <si>
    <t xml:space="preserve">Nachtrag 7, Punkt 3: 'Ein Kollege, ein Monat geschenkt' — Marketing hat es vorgeschlagen, SANDY ENTSCHEIDET. Deshalb als Schalter, standardmäßig aus. Bei 1 kostet jede Empfehlung einmalig 49 € Umsatz (Kosten-Zeile im Raster).</t>
  </si>
  <si>
    <t xml:space="preserve">… erwarteter Aufschlag auf die Empfehlungsquote</t>
  </si>
  <si>
    <t xml:space="preserve">% relativ</t>
  </si>
  <si>
    <t xml:space="preserve">Bewusst 0: Marketing sagt, der Anreiz hebe die Quote 'erfahrungsgemäß spürbar', nennt aber keine Zahl — ich erfinde hier keine. Wer den Effekt sehen will, trägt hier z. B. 25 % ein.</t>
  </si>
  <si>
    <t xml:space="preserve">Angebote je Kunde und Monat (für die KI-Kosten)</t>
  </si>
  <si>
    <t xml:space="preserve">Angebote</t>
  </si>
  <si>
    <t xml:space="preserve">Stützpunkt CoS-P-008 (Platform). Liegt über dem 'typischen Kunden' (5) aus CoS-F-002 — für die Kostenseite konservativ.</t>
  </si>
  <si>
    <t xml:space="preserve">Zahlungsausfälle / Lastschrift-Rückläufer</t>
  </si>
  <si>
    <t xml:space="preserve">% vom Umsatz</t>
  </si>
  <si>
    <t xml:space="preserve">Katalog G, meine Annahme (2 %), keine Erfahrungswerte.</t>
  </si>
  <si>
    <t xml:space="preserve">Kulanz / Erstattungen</t>
  </si>
  <si>
    <t xml:space="preserve">Katalog G, meine Annahme (1 %).</t>
  </si>
  <si>
    <t xml:space="preserve">3) Zeitbudget (Nachtrag 4 — harte Nebenbedingung, keine Fußnote)</t>
  </si>
  <si>
    <t xml:space="preserve">Kapazitätslinie 1 — Sprint (15–20 Std./Woche)</t>
  </si>
  <si>
    <t xml:space="preserve">Std./Monat</t>
  </si>
  <si>
    <t xml:space="preserve">Nachtrag 4: Sandy hat 15–20 Std./Woche, seit rund zwei Monaten tatsächlich so gelebt. 20 × 4,33 ≈ 86 Std./Monat für ALLES (Produkt, Support, Verwaltung, Vertrieb).</t>
  </si>
  <si>
    <t xml:space="preserve">Kapazitätslinie 2 — Dauerlinie konservativ (15 Std./Woche)</t>
  </si>
  <si>
    <t xml:space="preserve">Nachtrag 4: konservative Linie für den Fall, dass sich das Sprint-Tempo über 24 Monate neben einer Vollzeitstelle nicht halten lässt. Der Abstand zwischen beiden Linien ist selbst die Information.</t>
  </si>
  <si>
    <t xml:space="preserve">Grundlast Produkt / Verwaltung / Buchhaltung</t>
  </si>
  <si>
    <t xml:space="preserve">MEINE Annahme: Weiterentwicklung, Steuer-/Buchhaltungskram, Orga — alles außer Vertrieb und Kundensupport. Bitte anpassen, wenn Sandy es besser einschätzen kann.</t>
  </si>
  <si>
    <t xml:space="preserve">Support je aktivem Betrieb und Monat</t>
  </si>
  <si>
    <t xml:space="preserve">Std.</t>
  </si>
  <si>
    <t xml:space="preserve">MEINE Annahme (18 Min./Kunde/Monat): Rückfragen, kleine Anpassungen. Nachtrag 4: 'Support skaliert mit der Kundenzahl und ist ihre Zeit, nicht Geld.'</t>
  </si>
  <si>
    <t xml:space="preserve">Onboarding je neuem Betrieb (einmalig)</t>
  </si>
  <si>
    <t xml:space="preserve">MEINE Annahme: Ersteinrichtung/Begleitung des ersten Angebots.</t>
  </si>
  <si>
    <t xml:space="preserve">Vertriebsstunden Sandy je Monat</t>
  </si>
  <si>
    <t xml:space="preserve">Zulieferung Marketing (gtm-kanalplan.xlsx, Zeile 'Stunden Sandy — gesamt'): 4 / 18 / 5 / 15 / 16 … ≈ 19,5 Std./Monat im Regelbetrieb, Summe 424 Std. über 24 Monate. Marketing führt die Stunden nur einmal, nicht je Szenario — sie gelten deshalb in allen drei Szenarien gleich (im optimistischen Szenario eher zu niedrig).</t>
  </si>
  <si>
    <t xml:space="preserve">4) Preise &amp; variable Kosten (Verweise, nicht neu eingeben)</t>
  </si>
  <si>
    <t xml:space="preserve">docs/preismodell.md (entschieden 03.09.2026) über 'Marge &amp; Tragfähigkeit'.</t>
  </si>
  <si>
    <t xml:space="preserve">s. o.</t>
  </si>
  <si>
    <t xml:space="preserve">Gründerpreis-Plätze (dauerhaft 29 €)</t>
  </si>
  <si>
    <t xml:space="preserve">s. o. Katalog G: bleibt alle 24 Monate bei 29 €, kein Hochlaufen. Der Preisknick bei Kunde 26 ist im Raster explizit modelliert, nicht mit einem Mischpreis geglättet (Nachtrag 3, Punkt 4).</t>
  </si>
  <si>
    <t xml:space="preserve">CoS-F-002, Vorgabe Chief of Staff (2,5 statt 2,2 Cent).</t>
  </si>
  <si>
    <t xml:space="preserve">Stripe-Gebühr variabel</t>
  </si>
  <si>
    <t xml:space="preserve">CoS-F-002 (kosten.org, EU-Karten).</t>
  </si>
  <si>
    <t xml:space="preserve">Stripe-Gebühr fix je Zahlung</t>
  </si>
  <si>
    <t xml:space="preserve">CoS-F-002.</t>
  </si>
  <si>
    <t xml:space="preserve">CoS-F-002 (exchange-rates.org). Katalog E: Supabase, Vercel, OpenAI und Anthropic rechnen in US-Dollar — der Kurs steht deshalb sichtbar hier und wird nicht stillschweigend 1:1 gerechnet.</t>
  </si>
  <si>
    <t xml:space="preserve">5) Rechtsform &amp; Steuern (Nachtrag 7 — Sandy hat entschieden)</t>
  </si>
  <si>
    <t xml:space="preserve">UG-Gründung wirksam ab Monat</t>
  </si>
  <si>
    <t xml:space="preserve">Nachtrag 7: direkt UG, keine Einzelunternehmen-Phase. Notartermin ist Sandys nächster Schritt (Fenster vor dem 18.09. oder 26.09.–01.11.), Zeitrahmen 4–6 Wochen ab Notartermin — hier Oktober 2026 = Monat 2 angenommen. Passt zu Legals Empfehlung: UG VOR dem ersten zahlenden Kunden (Gate 1 im Dezember).</t>
  </si>
  <si>
    <t xml:space="preserve">UG mit Regelbesteuerung statt Kleinunternehmer? (1 = ja, 0 = nein)</t>
  </si>
  <si>
    <t xml:space="preserve">Nachtrag 7, Punkt 3: beide Varianten zeigen. Bei 1 wird auf den vorsteuerfähigen Teil der Kosten die Vorsteuer erstattet (Zeile in 'Plan-Kosten'); die Preise sind netto und die Kunden Unternehmen, die Umsatzsteuer läuft also durch. Steuerberater-Frage, deshalb Schalter statt Festlegung.</t>
  </si>
  <si>
    <t xml:space="preserve">… davon vorsteuerfähiger Kostenanteil (Näherung)</t>
  </si>
  <si>
    <t xml:space="preserve">Anteil</t>
  </si>
  <si>
    <t xml:space="preserve">MEINE Näherung: Vercel, Anthropic, Claude Pro, IONOS, Lexware, Druck-/Sachkosten weisen deutsche bzw. EU-Umsatzsteuer aus; Supabase läuft über Reverse Charge, Löhne/Gebühren gar nicht. Grobe Größenordnung, kein Steuerberater-Ersatz.</t>
  </si>
  <si>
    <t xml:space="preserve">Besteuerung der UG im Raster</t>
  </si>
  <si>
    <t xml:space="preserve">nicht simuliert</t>
  </si>
  <si>
    <t xml:space="preserve">BEWUSSTE LÜCKE: Das Raster rechnet die Steuer als Einzelunternehmen (Gewinn = Sandys Einkommen, oben auf ihr Gehalt). Die UG wird anders besteuert — Körperschaftsteuer 15 % + Solidaritätszuschlag + Gewerbesteuer auf Gesellschaftsebene (Berlin, Hebesatz 410 %), danach erst Geschäftsführergehalt oder Ausschüttung an Sandy. Das ist eine Steuerberater-Rechnung, die ich nicht verbindlich aufstellen darf. Für Frage 2 (Ausstieg) ist die hier gewählte Rechnung die vorsichtigere Näherung; mit dem Steuerberater gehört sie ersetzt.</t>
  </si>
  <si>
    <t xml:space="preserve">6) Phase A — Sofortangebot neben der Vollzeitstelle</t>
  </si>
  <si>
    <t xml:space="preserve">Bruttogehalt Anstellung, Vollzeit 40 Std. (Jahr)</t>
  </si>
  <si>
    <t xml:space="preserve">€/Jahr</t>
  </si>
  <si>
    <t xml:space="preserve">ANNAHME, bitte durch Sandys echtes Brutto ersetzen: aus 'mindestens 2.500 € netto' (Nachtrag 2) zurückgerechnet — rund 4.000 €/Monat brutto ergeben in Steuerklasse I ohne Kirchensteuer etwa 2.650 € netto (Sozialabgaben 2026). Bestimmt den Grenzsteuersatz, mit dem der Sofortangebot-Gewinn OBEN auf das Gehalt versteuert wird (Warnung 1 des Auftrags).</t>
  </si>
  <si>
    <t xml:space="preserve">Arbeitnehmeranteil Sozialversicherung (Näherung)</t>
  </si>
  <si>
    <t xml:space="preserve">Anteil vom Brutto</t>
  </si>
  <si>
    <t xml:space="preserve">RV 9,3 % + KV 7,3 % + halber Zusatzbeitrag + PV + ALV ≈ 20,5 % (Werte 2026). Näherung für die Nettoberechnung der Teilzeitstufen.</t>
  </si>
  <si>
    <t xml:space="preserve">Werbungskosten-Pauschbetrag</t>
  </si>
  <si>
    <t xml:space="preserve">§9a EStG.</t>
  </si>
  <si>
    <t xml:space="preserve">Abzugsfähige Vorsorgeaufwendungen (Anteil vom Brutto)</t>
  </si>
  <si>
    <t xml:space="preserve">Näherung für das zu versteuernde Einkommen. Der Steuerberater rechnet das exakt.</t>
  </si>
  <si>
    <t xml:space="preserve">Zu versteuerndes Einkommen aus dem Gehalt, Vollzeit (Näherung)</t>
  </si>
  <si>
    <t xml:space="preserve">Brutto − Werbungskosten − Vorsorge − Sonderausgaben-Pauschbetrag.</t>
  </si>
  <si>
    <t xml:space="preserve">Grenzsteuersatz auf zusätzlichen Gewinn (Phase A)</t>
  </si>
  <si>
    <t xml:space="preserve">Einkommensteuertarif 2026 (§32a EStG, Fassung ab VZ 2026, Quelle lxgesetze.de/estg/32a: Grundfreibetrag 12.348 €, Zonen bis 17.799 / 69.878 / 277.825 €) auf zvE + 1.000 € minus Tarif auf zvE. Ohne Solidaritätszuschlag (Freigrenze nicht erreicht) und ohne Kirchensteuer (unbekannt). Im Raster wird nur auf positive Monatsergebnisse zurückgelegt; die mögliche Verlustverrechnung mit dem Gehalt ist NICHT eingerechnet — vorsichtig gerechnet.</t>
  </si>
  <si>
    <t xml:space="preserve">7) Phase B — der Ausstieg als Treppe (Nachtrag 5)</t>
  </si>
  <si>
    <t xml:space="preserve">Netto-Bedarf pro Monat (Untergrenze)</t>
  </si>
  <si>
    <t xml:space="preserve">Sandy (Nachtrag 2): 'mein aktuelles netto gehalt … brauch ich mindestens'. Laut Chief of Staff als Untergrenze zu behandeln, nicht als Ziel.</t>
  </si>
  <si>
    <t xml:space="preserve">Puffer auf den Netto-Bedarf (realistische Schwelle)</t>
  </si>
  <si>
    <t xml:space="preserve">MEINE Annahme: +20 % für Urlaub, schwache Monate, Rücklage. Nachtrag 2 verlangt ausdrücklich eine zweite Schwelle mit Puffer.</t>
  </si>
  <si>
    <t xml:space="preserve">Altersvorsorge pro Monat (realistische Schwelle)</t>
  </si>
  <si>
    <t xml:space="preserve">MEINE Annahme: als Selbstständige entfällt der Arbeitgeberanteil zur Rente — 300 €/Monat als Platzhalter für freiwillige Basisvorsorge.</t>
  </si>
  <si>
    <t xml:space="preserve">Teilzeit-Variante 1</t>
  </si>
  <si>
    <t xml:space="preserve">Std./Woche</t>
  </si>
  <si>
    <t xml:space="preserve">Nachtrag 5: Sandy erwägt 30 oder 25 Stunden.</t>
  </si>
  <si>
    <t xml:space="preserve">Teilzeit-Variante 2</t>
  </si>
  <si>
    <t xml:space="preserve">Nachtrag 5.</t>
  </si>
  <si>
    <t xml:space="preserve">Zusätzliche Zeit für Sofortangebot bei 30 Std.</t>
  </si>
  <si>
    <t xml:space="preserve">Nachtrag 5: 40 → 30 sind rund 10 Std./Woche mehr ≈ 43 Std./Monat. Das Zeitbudget ist damit stufenabhängig, keine Konstante.</t>
  </si>
  <si>
    <t xml:space="preserve">Zusätzliche Zeit für Sofortangebot bei 25 Std.</t>
  </si>
  <si>
    <t xml:space="preserve">Nachtrag 5: 40 → 25 sind rund 15 Std./Woche mehr ≈ 65 Std./Monat.</t>
  </si>
  <si>
    <t xml:space="preserve">Vorlauf für den Teilzeitantrag</t>
  </si>
  <si>
    <t xml:space="preserve">Nachtrag 5: Teilzeitantrag mindestens drei Monate vorher schriftlich (§8 bzw. §9a TzBfG). Der Plan weist den Antragsmonat deshalb drei Monate VOR dem Monat aus, in dem B1 trägt. Rechtslage vom Chief of Staff nachgesehen, keine Rechtsberatung — Sandy sollte das für ihren Vertrag prüfen lassen. Zwei Wege: §8 unbefristete Teilzeit (kein Rückkehrrecht) und §9a Brückenteilzeit (ab 45 Beschäftigten, 1–5 Jahre, danach automatische Rückkehr) — die Wahl ist Sandys Entscheidung.</t>
  </si>
  <si>
    <t xml:space="preserve">8) Krankenversicherung &amp; Pflege in Stufe B2 (Werte 2026)</t>
  </si>
  <si>
    <t xml:space="preserve">Krankenversicherung, allgemeiner Beitragssatz</t>
  </si>
  <si>
    <t xml:space="preserve">GKV 2026, freiwillig versichert, voller Beitrag ohne Arbeitgeberanteil (papierkram.de, Krankenversicherung Selbstständige 2026). Ermäßigt ohne Krankengeld wären 14,0 % — hier der höhere Satz.</t>
  </si>
  <si>
    <t xml:space="preserve">… Zusatzbeitrag (Durchschnitt 2026)</t>
  </si>
  <si>
    <t xml:space="preserve">2,9 % Durchschnitt 2026 (papierkram.de), kassenabhängig.</t>
  </si>
  <si>
    <t xml:space="preserve">Pflegeversicherung inkl. Zuschlag für Kinderlose</t>
  </si>
  <si>
    <t xml:space="preserve">3,6 % + 0,6 % = 4,2 % (papierkram.de). Bei Kindern niedriger — dann hier ändern.</t>
  </si>
  <si>
    <t xml:space="preserve">Mindestbemessungsgrundlage</t>
  </si>
  <si>
    <t xml:space="preserve">2026 (papierkram.de).</t>
  </si>
  <si>
    <t xml:space="preserve">Beitragsbemessungsgrenze</t>
  </si>
  <si>
    <t xml:space="preserve">2026: 5.812,50 €/Monat = 69.750 €/Jahr (papierkram.de, bundesregierung.de).</t>
  </si>
  <si>
    <t xml:space="preserve">Sonderausgaben-Pauschbetrag</t>
  </si>
  <si>
    <t xml:space="preserve">§10c EStG.</t>
  </si>
  <si>
    <t xml:space="preserve">In Stufe B1 (Teilzeit) bleibt die Krankenversicherung beim Arbeitgeber — der größte Einzelsprung fällt erst in Stufe B2 an (Nachtrag 5, Punkt 2). Genau deshalb ist B1 deutlich früher erreichbar als B2.</t>
  </si>
  <si>
    <t xml:space="preserve">Plan-Kunden — Kundenmodell aus Kanälen (Nachtrag 3) und Zeitbudget (Nachtrag 4)</t>
  </si>
  <si>
    <t xml:space="preserve">Neukunden werden nicht mehr als eine Pauschalzahl gesetzt, sondern aus dem Kanalplan von Head of Marketing übernommen (blau = Zulieferung aus docs/gtm-kanalplan.xlsx, CoS-M-007) und um Mundpropaganda ergänzt, die als einziger Selbstverstärker aus der aktiven Kundenbasis entsteht — mit Verzögerung und damit von Natur aus gedeckelt. Abwanderung ist getrennt nach Gründer- und Standardkunden geführt (meine Annahme, Marketing-Hinweis 3–5 %). Rechts das Zeitbudget: Vertrieb (Marketing-Zulieferung) + Support je Kunde + Onboarding je Neukunde + Grundlast, gegen die zwei Kapazitätslinien aus Nachtrag 4. Eine 1 in den letzten beiden Spalten heißt: dieser Monat verlangt mehr Stunden, als Sandy hat.</t>
  </si>
  <si>
    <t xml:space="preserve">Szenario: Vorsichtig</t>
  </si>
  <si>
    <t xml:space="preserve">Kanäle Σ 16.5 Betriebe (Marketing)</t>
  </si>
  <si>
    <t xml:space="preserve">Kalendermonat</t>
  </si>
  <si>
    <t xml:space="preserve">Neukunden Kanäle</t>
  </si>
  <si>
    <t xml:space="preserve">Neukunden Mundpropaganda</t>
  </si>
  <si>
    <t xml:space="preserve">Neukunden gesamt</t>
  </si>
  <si>
    <t xml:space="preserve">davon Gründerplätze</t>
  </si>
  <si>
    <t xml:space="preserve">davon Standard</t>
  </si>
  <si>
    <t xml:space="preserve">Gründerplätze vergeben (kum.)</t>
  </si>
  <si>
    <t xml:space="preserve">Gründerkunden aktiv</t>
  </si>
  <si>
    <t xml:space="preserve">Standardkunden aktiv</t>
  </si>
  <si>
    <t xml:space="preserve">Kunden aktiv gesamt</t>
  </si>
  <si>
    <t xml:space="preserve">Std. Vertrieb (Marketing)</t>
  </si>
  <si>
    <t xml:space="preserve">Std. Support</t>
  </si>
  <si>
    <t xml:space="preserve">Std. Onboarding</t>
  </si>
  <si>
    <t xml:space="preserve">Std. Grundlast</t>
  </si>
  <si>
    <t xml:space="preserve">Std. gesamt</t>
  </si>
  <si>
    <t xml:space="preserve">über Dauerlinie (65)?</t>
  </si>
  <si>
    <t xml:space="preserve">über Sprintlinie (86)?</t>
  </si>
  <si>
    <t xml:space="preserve">Σ / Ende</t>
  </si>
  <si>
    <t xml:space="preserve">Szenario: Realistisch</t>
  </si>
  <si>
    <t xml:space="preserve">Kanäle Σ 52.25 Betriebe (Marketing)</t>
  </si>
  <si>
    <t xml:space="preserve">Szenario: Optimistisch</t>
  </si>
  <si>
    <t xml:space="preserve">Kanäle Σ 103.5 Betriebe (Marketing)</t>
  </si>
  <si>
    <t xml:space="preserve">Lesart der beiden letzten Spalten: Die Summenzeile zählt, in wie vielen der 24 Monate das Szenario mehr Stunden verlangt, als die jeweilige Kapazitätslinie hergibt. Ein Szenario, das die Sprintlinie (86 Std.) regelmäßig reißt, ist nicht optimistisch, sondern nicht durchführbar — solange Sandy Vollzeit angestellt ist. Genau das ist der Mechanismus, über den Stufe B1 (Nachtrag 5) den Plan überhaupt erst wachsen lässt: Teilzeit setzt 43 bzw. 65 Stunden im Monat frei.</t>
  </si>
  <si>
    <t xml:space="preserve">Plan-Kosten — Vollständigkeits-Katalog A–H (Nachtrag 1), Rechtsform UG (Nachtrag 7)</t>
  </si>
  <si>
    <t xml:space="preserve">Jeder Posten aus dem Katalog des Chief of Staff steht hier als Zeile — auch die, die nicht zutreffen, mit Begründung, damit kein Kästchen leer bleibt. Typ: laufend = wiederkehrend ab Startmonat · einmalig = nur im Startmonat · Monatsvektor = Werte je Monat aus einer Zulieferung · Reserve = Liquiditätsbindung, kein Aufwand · variabel = im Raster aus Kunden/Umsatz gerechnet. Wichtig (Nachtrag 7): Die 17 Belege Mai–August 2026 sind Privatausgaben und NICHT Kostenbasis der UG — sie bleiben im Rechnungsjournal als Historie. Übernommen sind hier nur die laufenden Dienste, die die UG ab Gründung weiter braucht, mit den bekannten Beträgen aus 'Marge &amp; Tragfähigkeit'.</t>
  </si>
  <si>
    <t xml:space="preserve">Nr</t>
  </si>
  <si>
    <t xml:space="preserve">Kat.</t>
  </si>
  <si>
    <t xml:space="preserve">Posten</t>
  </si>
  <si>
    <t xml:space="preserve">Typ</t>
  </si>
  <si>
    <t xml:space="preserve">gilt für</t>
  </si>
  <si>
    <t xml:space="preserve">Start (Monat)</t>
  </si>
  <si>
    <t xml:space="preserve">€ umgerechnet</t>
  </si>
  <si>
    <t xml:space="preserve">Quelle / Begründung</t>
  </si>
  <si>
    <t xml:space="preserve">A</t>
  </si>
  <si>
    <t xml:space="preserve">Gewerbeanmeldung (Berlin)</t>
  </si>
  <si>
    <t xml:space="preserve">einmalig</t>
  </si>
  <si>
    <t xml:space="preserve">€ einmalig</t>
  </si>
  <si>
    <t xml:space="preserve">UG</t>
  </si>
  <si>
    <t xml:space="preserve">Größenordnung 20–30 € (Ordnungsamt Berlin). Auch die UG meldet ein Gewerbe an.</t>
  </si>
  <si>
    <t xml:space="preserve">UG: Notar + Handelsregister (Musterprotokoll)</t>
  </si>
  <si>
    <t xml:space="preserve">entscheidungen-fuer-sandy.md S-4 (Legal): 300–480 €, oberes Ende angesetzt. Nachtrag 7: Gründungskosten bis 300 € trägt die UG per Musterprotokoll selbst — der Rest ist Einlage/Auslage Sandys, für die Liquidität hier gleichbedeutend.</t>
  </si>
  <si>
    <t xml:space="preserve">UG: Stammkapital (Einzahlung)</t>
  </si>
  <si>
    <t xml:space="preserve">Reserve</t>
  </si>
  <si>
    <t xml:space="preserve">Nachtrag 7: 1.000 €. Kein Aufwand — bleibt Vermögen der UG, bindet aber Liquidität.</t>
  </si>
  <si>
    <t xml:space="preserve">Anwalt für individuelle Satzung</t>
  </si>
  <si>
    <t xml:space="preserve">nicht zutreffend</t>
  </si>
  <si>
    <t xml:space="preserve">trifft nicht zu, weil Musterprotokoll (Ein-Personen-UG). Bei individueller Satzung 500–1.500 €.</t>
  </si>
  <si>
    <t xml:space="preserve">UG: Eröffnungsbilanz (Steuerberater)</t>
  </si>
  <si>
    <t xml:space="preserve">Teil der von Legal genannten ~2.000 € Zusatzkosten im ersten Jahr. Annahme.</t>
  </si>
  <si>
    <t xml:space="preserve">Geschäftskonto (Kontoführung)</t>
  </si>
  <si>
    <t xml:space="preserve">laufend</t>
  </si>
  <si>
    <t xml:space="preserve">Bei einer UG zwingend. Größenordnung 0–15 €/Monat.</t>
  </si>
  <si>
    <t xml:space="preserve">IHK-Beitrag (Pflichtmitgliedschaft)</t>
  </si>
  <si>
    <t xml:space="preserve">UG ist im Handelsregister eingetragen — die Existenzgründer-Befreiung und die Freistellung unter 5.200 € Gewerbeertrag gelten nur für nicht eingetragene natürliche Personen. Grundbeitrag je IHK/Stufe 30–300 €/Jahr (deutschland-rechner.de), Annahme 200 €.</t>
  </si>
  <si>
    <t xml:space="preserve">B</t>
  </si>
  <si>
    <t xml:space="preserve">Anwaltliche Prüfung AGB / Datenschutz / AVV vor dem Launch</t>
  </si>
  <si>
    <t xml:space="preserve">Katalog B, Größenordnung 800–2.500 € für ein SaaS-Rechtstextpaket. Vor Gate 1 angesetzt. Die interne Legal-Rolle ersetzt keine haftende Kanzlei — ob Sandy das will, ist ihre Entscheidung, die Kostenposition gehört aber in den Plan.</t>
  </si>
  <si>
    <t xml:space="preserve">Markenanmeldung DPMA (elektronisch, bis 3 Klassen)</t>
  </si>
  <si>
    <t xml:space="preserve">DPMA-Gebührenverzeichnis (fixmarke.de): 290 € elektronisch inkl. 3 Klassen, je weitere Klasse 100 €, Verlängerung nach 10 Jahren 750 € (außerhalb des Horizonts). Ohne Recherche/Anwalt.</t>
  </si>
  <si>
    <t xml:space="preserve">DIN-Normtexte 18363 / 18365</t>
  </si>
  <si>
    <t xml:space="preserve">CoS-F-Info 01.09.2026, von Sandy freigegeben; Beleg folgt.</t>
  </si>
  <si>
    <t xml:space="preserve">Weitere Normtexte bei neuen Gewerken</t>
  </si>
  <si>
    <t xml:space="preserve">Annahme: etwa ein weiterer Normtext pro Jahr ab Jahr 2.</t>
  </si>
  <si>
    <t xml:space="preserve">Rechtstexte-Abo statt Einzelprüfung</t>
  </si>
  <si>
    <t xml:space="preserve">trifft nicht zu, weil die Einzelprüfung angesetzt ist — nicht beides. Alternative wären 10–30 €/Monat.</t>
  </si>
  <si>
    <t xml:space="preserve">Rücklage Abmahnung / Rechtsstreit</t>
  </si>
  <si>
    <t xml:space="preserve">Katalog B: Liquiditätsreserve ab dem öffentlichen Launch, kein Aufwand.</t>
  </si>
  <si>
    <t xml:space="preserve">C</t>
  </si>
  <si>
    <t xml:space="preserve">IT-Vermögensschaden-Haftpflicht (exali/Markel, 1 Mio. €)</t>
  </si>
  <si>
    <t xml:space="preserve">OFFENE ZAHL — Beitrag unbekannt, S-4 wartet auf Sandy (Nachtrag 7, Punkt 3). Früherer Stand 200–400 €/Jahr, Platzhalter 300 €. Vor Gate 1 wirksam angesetzt.</t>
  </si>
  <si>
    <t xml:space="preserve">Betriebshaftpflicht</t>
  </si>
  <si>
    <t xml:space="preserve">Annahme 100 €/Jahr; prüfen, ob im exali-Paket enthalten — dann 0.</t>
  </si>
  <si>
    <t xml:space="preserve">Cyber-Deckung</t>
  </si>
  <si>
    <t xml:space="preserve">trifft nicht zu, weil der Cyber-Drittschaden bei der IT-Haftpflicht üblicherweise enthalten ist; Eigenschaden-Baustein mit dem Angebot prüfen.</t>
  </si>
  <si>
    <t xml:space="preserve">D</t>
  </si>
  <si>
    <t xml:space="preserve">Steuerberater laufend (UG: Buchführung, Jahresabschluss, KSt/GewSt, Offenlegung)</t>
  </si>
  <si>
    <t xml:space="preserve">Nachtrag 7: keine EÜR-Variante mehr, nur UG mit Bilanzierung ab Gründung. onlinebilanz.de (2026): Kleinst-GmbH/UG ca. 2.500–4.500 €/Jahr — Annahme 3.000 €, als Annahme markiert (Sandy hat noch keinen Steuerberater, Termin läuft parallel zur Gründung). Zum Vergleich: als Einzelunternehmen wären es 1.000–2.500 €/Jahr — der Aufpreis der UG ist der größte laufende Einzelposten der Rechtsformentscheidung.</t>
  </si>
  <si>
    <t xml:space="preserve">Buchhaltungssoftware (Lexware Office, Tarif M)</t>
  </si>
  <si>
    <t xml:space="preserve">trusted.de: 11,90 €/Monat netto = 14,16 € brutto. Alternative sevDesk ähnlich.</t>
  </si>
  <si>
    <t xml:space="preserve">Körperschaft- und Gewerbesteuer der UG</t>
  </si>
  <si>
    <t xml:space="preserve">BEWUSSTE LÜCKE, s. 'Plan-Annahmen' Abschnitt 5: Das Raster rechnet die Steuer als Einzelunternehmen (Gewinn oben auf Sandys Gehalt, Grenzsteuersatz). Die UG zahlt stattdessen KSt 15 % + Soli + GewSt (Berlin 410 %) auf Gesellschaftsebene, danach erst Gehalt/Ausschüttung. Steuerberater-Rechnung, keine, die ich verbindlich aufstellen darf.</t>
  </si>
  <si>
    <t xml:space="preserve">Einkommensteuer-Rücklage (Phase A)</t>
  </si>
  <si>
    <t xml:space="preserve">variabel</t>
  </si>
  <si>
    <t xml:space="preserve">% vom Gewinn</t>
  </si>
  <si>
    <t xml:space="preserve">Im Raster: Grenzsteuersatz auf positive Monatsergebnisse, monatlich zurückgelegt statt erst beim Bescheid — gegen den Klassiker aus Katalog D (Nachzahlung und Vorauszahlung fallen im zweiten Jahr zusammen).</t>
  </si>
  <si>
    <t xml:space="preserve">Solidaritätszuschlag</t>
  </si>
  <si>
    <t xml:space="preserve">trifft in der hier gerechneten Variante nicht zu (Freigrenze nicht erreicht). Bei der UG fällt Soli auf die Körperschaftsteuer an — Teil der nicht simulierten UG-Besteuerung.</t>
  </si>
  <si>
    <t xml:space="preserve">Umsatzsteuer / Vorsteuer</t>
  </si>
  <si>
    <t xml:space="preserve">Nachtrag 7, Punkt 3: beide Varianten. Die Preise sind netto und die Kunden Unternehmen — die Umsatzsteuer läuft durch, die Wirkung liegt allein im Vorsteuerabzug (nächste Zeile). Zeitpunkt des Wegfalls der Kleinunternehmerregelung: Blatt 'Kleinunternehmergrenze'.</t>
  </si>
  <si>
    <t xml:space="preserve">Vorsteuer-Erstattung bei Regelbesteuerung (Näherung, mindernd)</t>
  </si>
  <si>
    <t xml:space="preserve">Wird im Raster als negative Kostenzeile gerechnet: (laufende + einmalige Kosten) × vorsteuerfähiger Anteil × 19/119 × Schalter. Bei ausgeschaltetem Schalter 0. Näherung, kein Steuerberater-Ersatz.</t>
  </si>
  <si>
    <t xml:space="preserve">E</t>
  </si>
  <si>
    <t xml:space="preserve">Supabase (2 Projekte, Pro-Tarif, flach)</t>
  </si>
  <si>
    <t xml:space="preserve">Verweis auf 'Marge &amp; Tragfähigkeit'. CoS-P-008: flach, 0 % Nutzungsaufschlag, wächst bis weit über den Horizont hinaus nicht mit der Kundenzahl.</t>
  </si>
  <si>
    <t xml:space="preserve">Vercel (Pro-Seat)</t>
  </si>
  <si>
    <t xml:space="preserve">Verweis 'Marge &amp; Tragfähigkeit'. Wächst mit Personal, nicht mit Kunden.</t>
  </si>
  <si>
    <t xml:space="preserve">Anthropic — direkt (KI-Rollen / Entwicklung)</t>
  </si>
  <si>
    <t xml:space="preserve">Verweis 'Marge &amp; Tragfähigkeit' — dort weiterhin OFFEN, ob einmalig oder wiederkehrend. Hier vorsichtshalber monatlich (46 €/Monat Unterschied).</t>
  </si>
  <si>
    <t xml:space="preserve">Verweis 'Marge &amp; Tragfähigkeit'.</t>
  </si>
  <si>
    <t xml:space="preserve">Domain / IONOS (nur Sofortangebot-Anteil)</t>
  </si>
  <si>
    <t xml:space="preserve">Verweis 'Marge &amp; Tragfähigkeit': 2,50 €/Monat Postfach + 13 €/Jahr Domain und Domain Guard.</t>
  </si>
  <si>
    <t xml:space="preserve">Resend / Sentry / GitHub-Plan (heute)</t>
  </si>
  <si>
    <t xml:space="preserve">Verweis 'Marge &amp; Tragfähigkeit': aktuell 0 € (Free-Tier).</t>
  </si>
  <si>
    <t xml:space="preserve">Resend Pro ab ~200 aktiven Betrieben</t>
  </si>
  <si>
    <t xml:space="preserve">USD/Monat</t>
  </si>
  <si>
    <t xml:space="preserve">trifft im Horizont nicht zu: selbst das optimistische Szenario erreicht keine 200 Betriebe (CoS-P-008 nennt diese Schwelle). Sobald die Kundenzahl dorthin läuft, hier 20 $/Monat eintragen.</t>
  </si>
  <si>
    <t xml:space="preserve">OpenAI (Whisper + GPT-4o) — KI-Kosten je Angebot</t>
  </si>
  <si>
    <t xml:space="preserve">Cent/Angebot</t>
  </si>
  <si>
    <t xml:space="preserve">Im Raster: aktive Kunden × Angebote × 2,5 Cent. Bewusst nicht zusätzlich als Fixkosten (Doppelzählung).</t>
  </si>
  <si>
    <t xml:space="preserve">Stripe-Transaktionsgebühren</t>
  </si>
  <si>
    <t xml:space="preserve">% + fix</t>
  </si>
  <si>
    <t xml:space="preserve">Im Raster je zahlendem Kunden und Monat: 1,5 % + 0,25 €.</t>
  </si>
  <si>
    <t xml:space="preserve">Objektspeicher Sprachaufnahmen / Fotos</t>
  </si>
  <si>
    <t xml:space="preserve">trifft im Horizont nicht zu: 87 MB von 100 GB inklusive (CoS-P-008). Vorbehalt Platform: der 30-Tage-Aufräumjob läuft noch nicht (CRON_SECRET) — auch linear wachsend bleibt es weit unter dem Limit.</t>
  </si>
  <si>
    <t xml:space="preserve">Apple Developer Program (native App)</t>
  </si>
  <si>
    <t xml:space="preserve">99 €/Jahr; native App ab Mitte 2027 fest eingeplant (docs/vision-strategie.md) = Monat 10.</t>
  </si>
  <si>
    <t xml:space="preserve">Google Play Console (Registrierung)</t>
  </si>
  <si>
    <t xml:space="preserve">USD einmalig</t>
  </si>
  <si>
    <t xml:space="preserve">25 $ einmalig. Im Katalog fehlten die Store-Gebühren neben Apple — ergänzt.</t>
  </si>
  <si>
    <t xml:space="preserve">KI-Rollen-Ausbau nach Gate 1 (zusätzliche Anthropic-Kosten)</t>
  </si>
  <si>
    <t xml:space="preserve">CoS-F-003: das Team besteht aus KI-Rollen, jede neue Rolle erhöht die Anthropic-Kosten statt der Lohnkosten. Platzhalter +50 $/Monat, Höhe und Zeitpunkt offen.</t>
  </si>
  <si>
    <t xml:space="preserve">F</t>
  </si>
  <si>
    <t xml:space="preserve">Bezahltes Werbebudget</t>
  </si>
  <si>
    <t xml:space="preserve">trifft nicht zu — bewusste Festlegung (docs/vision-strategie.md). Der Kanalplan von Marketing rechnet ausdrücklich ohne Werbebudget.</t>
  </si>
  <si>
    <t xml:space="preserve">Marketing-Sachkosten laut Kanalplan (Druck, Fahrt, Equipment)</t>
  </si>
  <si>
    <t xml:space="preserve">Monatsvektor</t>
  </si>
  <si>
    <t xml:space="preserve">€ Σ 24 M</t>
  </si>
  <si>
    <t xml:space="preserve">Zulieferung Marketing (gtm-kanalplan.xlsx, Zeile 'Sachkosten — gesamt'): Okt 260 € (Flyer, Aufsteller, Anstecker), dann 10–20 €/Monat laufend, ab Apr 27 je 100 € pro kaltem Fachhandel-Laden. Summe 1.430 € über 24 Monate. Werte je Monat rechts, Größenordnungen statt Angeboten.</t>
  </si>
  <si>
    <t xml:space="preserve">Social-Media- / Scheduling-Tools</t>
  </si>
  <si>
    <t xml:space="preserve">trifft nach Marketing-Einschätzung nicht zu: die kostenlosen Stufen sollten reichen. Falls nicht, hier nachziehen.</t>
  </si>
  <si>
    <t xml:space="preserve">Domain- / Markenvarianten</t>
  </si>
  <si>
    <t xml:space="preserve">trifft nicht zu: die weiteren Domains auf den IONOS-Rechnungen gehören anderen Projekten (Rechnungsjournal, Spalte 'Sofortangebot-Anteil').</t>
  </si>
  <si>
    <t xml:space="preserve">Arbeitszeit Sandy / Clemens / KI-Rollen</t>
  </si>
  <si>
    <t xml:space="preserve">kein Geldposten — aber der eigentliche Engpass. Als Stundenmodell auf 'Plan-Kunden' geführt (Nachtrag 4), nicht als Kosten bewertet.</t>
  </si>
  <si>
    <t xml:space="preserve">G</t>
  </si>
  <si>
    <t xml:space="preserve">Im Raster als Abzug vom Umsatz.</t>
  </si>
  <si>
    <t xml:space="preserve">Gründerpreis 29 € dauerhaft für die ersten 25</t>
  </si>
  <si>
    <t xml:space="preserve">Im Raster explizit modelliert (Preisknick bei Kunde 26, Nachtrag 3): die Gründerkohorte wird getrennt geführt, inklusive eigener, niedrigerer Abwanderungsrate. Frei werdende Gründerplätze werden NICHT neu vergeben — vorsichtig gerechnet.</t>
  </si>
  <si>
    <t xml:space="preserve">Empfehlungs-Anreiz 'ein Kollege, ein Monat geschenkt'</t>
  </si>
  <si>
    <t xml:space="preserve">Nachtrag 7: Marketing schlägt vor, SANDY ENTSCHEIDET — deshalb Schalter, standardmäßig aus. Bei 1 kostet jede Empfehlungs-Neukundin einmalig 49 € Umsatz (eigene Kostenzeile im Raster).</t>
  </si>
  <si>
    <t xml:space="preserve">H</t>
  </si>
  <si>
    <t xml:space="preserve">Netto-Bedarf, Krankenversicherung, Altersvorsorge, Übergangspuffer</t>
  </si>
  <si>
    <t xml:space="preserve">keine Betriebskosten — vollständig auf dem Blatt 'Plan-Phase B' als Stufenmodell gerechnet.</t>
  </si>
  <si>
    <t xml:space="preserve">Summe laufende Kosten (€/Monat)</t>
  </si>
  <si>
    <t xml:space="preserve">Summe Einmalkosten (€ im Monat)</t>
  </si>
  <si>
    <t xml:space="preserve">Summe Reserven / Liquiditätsbindung (€ im Monat)</t>
  </si>
  <si>
    <t xml:space="preserve">Vorsteuer-Erstattung bei Regelbesteuerung (mindernd)</t>
  </si>
  <si>
    <t xml:space="preserve">Laufende Kosten nach Vorsteuer (€/Monat) — geht ins Raster</t>
  </si>
  <si>
    <t xml:space="preserve">Im Katalog A–H nicht enthalten und von mir ergänzt (Rückmeldung an Chief of Staff): Google-Play-Registrierung neben der Apple-Gebühr · Kontoführung des Pflicht-Geschäftskontos · Marketing-Sachkosten als eigener Monatsvektor aus dem Kanalplan · die Vorsteuer-Zeile als schaltbare Variante. Als 'trifft nicht zu' geführt statt weggelassen: Werbebudget, Social-Tools, Cyber-Deckung, Rechtstexte-Abo, Objektspeicher, Resend Pro, Domainvarianten, Solidaritätszuschlag, individuelle Satzung.</t>
  </si>
  <si>
    <t xml:space="preserve">Plan-24M — Monatsraster September 2026 bis August 2028, drei Szenarien</t>
  </si>
  <si>
    <t xml:space="preserve">Kundenzahlen kommen vom Blatt 'Plan-Kunden' (Kanalplan + Mundpropaganda − Abwanderung), Kosten vom Blatt 'Plan-Kosten'. Umsatz: Gründerkunden × 29 € + Standardkunden × 49 €, abzüglich Ausfall und Kulanz. Steuer Phase A: Grenzsteuersatz auf positive Monatsergebnisse, sofort zurückgelegt. Liquidität = kumulierter Cashflow minus gebundene Reserven; ihr Tiefpunkt ist der Betrag, den Sandy vorstrecken muss. Die letzten Spalten zeigen, wann die Kundenzahl die Schwellen der Ausstiegsstufen erreicht und wann das Zeitbudget reißt.</t>
  </si>
  <si>
    <t xml:space="preserve">Monat des Liquiditäts-Tiefpunkts:</t>
  </si>
  <si>
    <t xml:space="preserve">Neukunden</t>
  </si>
  <si>
    <t xml:space="preserve">Kunden aktiv</t>
  </si>
  <si>
    <t xml:space="preserve">Umsatz netto</t>
  </si>
  <si>
    <t xml:space="preserve">Ausfall + Kulanz</t>
  </si>
  <si>
    <t xml:space="preserve">Stripe-Gebühren</t>
  </si>
  <si>
    <t xml:space="preserve">KI-Kosten</t>
  </si>
  <si>
    <t xml:space="preserve">Empfehlungs-Anreiz</t>
  </si>
  <si>
    <t xml:space="preserve">Laufende Kosten</t>
  </si>
  <si>
    <t xml:space="preserve">Einmalkosten</t>
  </si>
  <si>
    <t xml:space="preserve">Kosten gesamt</t>
  </si>
  <si>
    <t xml:space="preserve">Ergebnis vor Steuer</t>
  </si>
  <si>
    <t xml:space="preserve">Steuerrücklage</t>
  </si>
  <si>
    <t xml:space="preserve">Cashflow nach Steuer</t>
  </si>
  <si>
    <t xml:space="preserve">kumuliert</t>
  </si>
  <si>
    <t xml:space="preserve">Reserven kumuliert</t>
  </si>
  <si>
    <t xml:space="preserve">Liquidität</t>
  </si>
  <si>
    <t xml:space="preserve">Ergebnis &gt; 0?</t>
  </si>
  <si>
    <t xml:space="preserve">über Dauerlinie?</t>
  </si>
  <si>
    <t xml:space="preserve">Kunden ≥ B1 (30 Std.)?</t>
  </si>
  <si>
    <t xml:space="preserve">Kunden ≥ B1 (25 Std.)?</t>
  </si>
  <si>
    <t xml:space="preserve">Kunden ≥ B2?</t>
  </si>
  <si>
    <t xml:space="preserve">Liquidität ≥ 0 nach Tiefpunkt?</t>
  </si>
  <si>
    <t xml:space="preserve">Σ 24 Monate</t>
  </si>
  <si>
    <t xml:space="preserve">Plan-Phase B — der Ausstieg als Treppe (Nachtrag 5), nicht als Sprung</t>
  </si>
  <si>
    <t xml:space="preserve">Drei Stufen statt einem Schnitt: A = heute (40 Std., das Gehalt deckt den Bedarf) · B1 = Teilzeit (30 oder 25 Std., Sofortangebot muss nur die LÜCKE zum reduzierten Netto schließen, die Krankenversicherung bleibt beim Arbeitgeber) · B2 = Anstellung fällt ganz weg (volle 2.500 € netto plus alles, was der Arbeitgeber bisher getragen hat). Für B1 wird der zusätzliche Gewinn mit dem Grenzsteuersatz auf dem jeweils kleineren Gehalt versteuert; für B2 greift die Nachschlagetabelle unten (Einkommensteuer 2026 ab Null plus KV/PV ohne Arbeitgeberanteil). Gerechnet als Einzelunternehmen — die UG-Besteuerung ist eine Steuerberater-Rechnung, s. 'Plan-Annahmen'.</t>
  </si>
  <si>
    <t xml:space="preserve">Die Stufen</t>
  </si>
  <si>
    <t xml:space="preserve">Stufe A — 40 Std. (heute)</t>
  </si>
  <si>
    <t xml:space="preserve">Stufe B1 — 30 Std.</t>
  </si>
  <si>
    <t xml:space="preserve">Stufe B1 — 25 Std.</t>
  </si>
  <si>
    <t xml:space="preserve">Stufe B2 — 0 Std.</t>
  </si>
  <si>
    <t xml:space="preserve">Wochenstunden in der Anstellung</t>
  </si>
  <si>
    <t xml:space="preserve">Bruttogehalt (Jahr)</t>
  </si>
  <si>
    <t xml:space="preserve">zu versteuerndes Einkommen aus dem Gehalt</t>
  </si>
  <si>
    <t xml:space="preserve">Einkommensteuer auf das Gehalt (Jahr)</t>
  </si>
  <si>
    <t xml:space="preserve">Nettogehalt pro Monat (Näherung)</t>
  </si>
  <si>
    <t xml:space="preserve">Lücke zu 2.500 € netto, die Sofortangebot schließen muss (pro Monat)</t>
  </si>
  <si>
    <t xml:space="preserve">Krankenversicherung</t>
  </si>
  <si>
    <t xml:space="preserve">Arbeitgeber</t>
  </si>
  <si>
    <t xml:space="preserve">selbst (voll)</t>
  </si>
  <si>
    <t xml:space="preserve">Grenzsteuersatz auf den Sofortangebot-Gewinn</t>
  </si>
  <si>
    <t xml:space="preserve">Nötiger Gewinn aus Sofortangebot (pro Monat, vor Steuer)</t>
  </si>
  <si>
    <t xml:space="preserve">Laufende Kosten Sofortangebot (€/Monat, Monat 24)</t>
  </si>
  <si>
    <t xml:space="preserve">Deckungsbeitrag je Gründerkunde (29 €, 8 Angebote)</t>
  </si>
  <si>
    <t xml:space="preserve">Deckungsbeitrag je Standardkunde (49 €, 8 Angebote)</t>
  </si>
  <si>
    <t xml:space="preserve">Nötiger Deckungsbeitrag pro Monat (Gewinn + laufende Kosten)</t>
  </si>
  <si>
    <t xml:space="preserve">Nötige zahlende Betriebe (25 Gründerpreis zuerst, Rest zu 49 €)</t>
  </si>
  <si>
    <t xml:space="preserve">Nötiger Umsatz pro Monat (netto)</t>
  </si>
  <si>
    <t xml:space="preserve">Zusätzlich frei werdende Zeit für Sofortangebot</t>
  </si>
  <si>
    <t xml:space="preserve">Kapazität gesamt (Dauerlinie 65 + frei werdende Zeit)</t>
  </si>
  <si>
    <t xml:space="preserve">Lesart: Stufe B1 ist der eigentliche Hebel. Weil das Teilzeitgehalt weiterläuft und die Krankenversicherung beim Arbeitgeber bleibt, muss Sofortangebot dort nur die Lücke schließen — ein Bruchteil dessen, was für B2 nötig wäre. Zusätzlich setzt jede Stufe Zeit frei (43 bzw. 65 Stunden im Monat), und genau daran hängt laut Zeitmodell das weitere Wachstum.</t>
  </si>
  <si>
    <t xml:space="preserve">Antragsfristen (Nachtrag 5, Rechtsstand vom Chief of Staff nachgesehen, keine Rechtsberatung): Ein Teilzeitantrag muss mindestens drei Monate vorher schriftlich gestellt werden (§8 bzw. §9a TzBfG). Der Antragsmonat steht deshalb im Deckblatt drei Monate vor dem Monat, in dem B1 finanziell trägt. Zwei Wege stehen offen: §8 unbefristete Teilzeit (kein Rückkehrrecht) und §9a Brückenteilzeit (bei mehr als 45 Beschäftigten, 1–5 Jahre, danach automatische Rückkehr zur alten Stundenzahl — eine echte Absicherung, falls B1 nicht trägt, mit einem Mindestjahr, das den frühesten B2-Zeitpunkt beeinflusst). Die Wahl ist Sandys Entscheidung.</t>
  </si>
  <si>
    <t xml:space="preserve">Zusätzlich empfohlen und bewusst nicht im Raster: ein privates Polster von drei bis sechs Monatsbedarfen vor dem Schritt nach B2 (Katalog H, Übergangspuffer). Das ist keine Betriebsausgabe.</t>
  </si>
  <si>
    <t xml:space="preserve">Nachschlagetabelle für Stufe B2: Jahresgewinn → Netto (Einkommensteuer 2026, KV/PV 2026)</t>
  </si>
  <si>
    <t xml:space="preserve">Jahresgewinn vor Steuern</t>
  </si>
  <si>
    <t xml:space="preserve">KV + PV (Jahr)</t>
  </si>
  <si>
    <t xml:space="preserve">zvE ohne Altersvorsorge</t>
  </si>
  <si>
    <t xml:space="preserve">Einkommensteuer</t>
  </si>
  <si>
    <t xml:space="preserve">Netto (Untergrenze)</t>
  </si>
  <si>
    <t xml:space="preserve">zvE mit Altersvorsorge</t>
  </si>
  <si>
    <t xml:space="preserve">Einkommensteuer mit AV</t>
  </si>
  <si>
    <t xml:space="preserve">Netto nach Altersvorsorge</t>
  </si>
  <si>
    <t xml:space="preserve">Tabelle in 1.000-€-Schritten: KV/PV auf den Gewinn (Mindest- und Höchstbemessung 2026), zu versteuerndes Einkommen = Gewinn − KV/PV (− Altersvorsorge) − 36 € Pauschbetrag, Einkommensteuer nach §32a EStG 2026, Netto = Gewinn − KV/PV − Steuer. Vereinfachungen: KV/PV und Basis-Altersvorsorge voll abzugsfähig angenommen, kein Solidaritätszuschlag, keine Kirchensteuer, keine Gewerbesteuer (Anrechnung nach §35 EStG).</t>
  </si>
  <si>
    <t xml:space="preserve">Legende &amp; Anleitung — Kostenübersicht Sofortangebot</t>
  </si>
  <si>
    <t xml:space="preserve">Warum diese Struktur (für Sandy, in einfach)</t>
  </si>
  <si>
    <t xml:space="preserve">Diese Datei ist so aufgebaut, dass sie später direkt an einen Steuerberater übergeben werden kann, ohne dass jemand alles neu zusammensuchen muss: jede Rechnung einzeln mit Rechnungs-nummer, Netto-/USt-/Brutto-Betrag, steuerlicher Einordnung und Verweis auf die Original-Datei im Rechnungen-Ordner. Wichtig: Ich bin kein Steuerberater — ich bereite die Zahlen sauber auf, die steuerliche Bewertung (z. B. Reverse Charge, Kleinunternehmer-Status, Vorsteuerabzug) muss ein echter Steuerberater bestätigen.</t>
  </si>
  <si>
    <t xml:space="preserve">Farben</t>
  </si>
  <si>
    <t xml:space="preserve">Blaue Schrift = Wert direkt aus einem Beleg übernommen.</t>
  </si>
  <si>
    <t xml:space="preserve">Grüne Schrift = Formel/Verweis auf ein anderes Feld oder Blatt.</t>
  </si>
  <si>
    <t xml:space="preserve">Orange Füllung = Betrag/Angabe liegt vor, aber es gibt eine Auffälligkeit, die Sandy klären muss.</t>
  </si>
  <si>
    <t xml:space="preserve">Gelbe Füllung = noch offen / noch kein Wert eingetragen (z. B. EUR-Umrechnung, fehlender Monat).</t>
  </si>
  <si>
    <t xml:space="preserve">Graue Füllung = Dienst bekannt, aber noch gar kein Beleg gefunden.</t>
  </si>
  <si>
    <t xml:space="preserve">Blätter in dieser Datei</t>
  </si>
  <si>
    <t xml:space="preserve">1) Kostenübersicht — ein Dienst pro Zeile: aktuellster Betrag, Rhythmus, USt-Behandlung, Status.</t>
  </si>
  <si>
    <t xml:space="preserve">2) Rechnungsjournal — die eigentliche Beleg-Ebene: eine Zeile pro Rechnung, mit allem, was für die Buchhaltung zählt (Rechnungsnummer, Leistungszeitraum, Netto/USt/Brutto, Reverse-Charge-Kennzeichnung, Zahlungsart, Verweis auf die Beleg-Datei im Ordner). Neue Belege bitte als neue Zeile anhängen, nie bestehende Zeilen überschreiben (Nachvollziehbarkeit/GoBD-Grundsatz). Seit 2026-09-02 zusätzlich Spalte 'Sofortangebot-Anteil (Brutto)': bei Rechnungen, die mehrere Domains/Projekte bündeln (aktuell nur die IONOS-Domainrechnungen), steht in 'Brutto-Betrag' weiterhin die volle Original-Rechnungssumme (GoBD-Vollständigkeit), aber in 'Sofortangebot-Anteil' nur der Teil, der tatsächlich zu Sofortangebot gehört. Monatsverlauf rechnet mit dem Anteil, nicht mit dem vollen Brutto-Betrag.</t>
  </si>
  <si>
    <t xml:space="preserve">3) Monatsverlauf — zieht die Beträge per Formel automatisch aus dem Rechnungsjournal (nach Monat, Dienst, Währung). Aktualisiert sich von selbst, sobald neue Journal-Zeilen dazukommen.</t>
  </si>
  <si>
    <t xml:space="preserve">4) Marge &amp; Tragfähigkeit — neu seit 03.09.2026 (CoS-F-002): Kosten pro Angebot (KI + Stripe), monatliche Fixkosten-Baseline, Deckungsbeitrag je Kunde bei 49€/29€ und Break-even-Kundenzahl.</t>
  </si>
  <si>
    <t xml:space="preserve">5) Kleinunternehmergrenze — neu seit 03.09.2026 (CoS-F-002, Punkt 4): vereinfachtes 36-Monats-Wachstumsmodell (3 Szenarien), zeigt ab welchem Monat die 25.000€-/100.000€-Grenze voraussichtlich überschritten wird.</t>
  </si>
  <si>
    <t xml:space="preserve">6) Plan-Deckblatt — neu seit 03.09.2026 (CoS-F-003): die drei Zahlen, die Sandy wirklich braucht (ab wann trägt es sich, wie viel vorstrecken, ab welchem Umsatz kann die Anstellung wegfallen), je Wachstumsszenario. Alles Weitere auf diesem Blatt ist Beleg.</t>
  </si>
  <si>
    <t xml:space="preserve">7) Plan-Annahmen — alle Eingaben des Finanzplans an einer Stelle. Gelb = hier ändern, nirgends sonst. Enthält u. a. Sandys Netto-Bedarf und Zeitbudget, das (noch anzupassende) Bruttogehalt, Abwanderungsraten, Mundpropaganda-Parameter, die Ausstiegsstufen sowie die Steuer- und Krankenversicherungswerte 2026.</t>
  </si>
  <si>
    <t xml:space="preserve">8) Plan-Kunden — das Kundenmodell: Neukunden je Monat aus dem Kanalplan von Head of Marketing (docs/gtm-kanalplan.xlsx), zusätzlich Mundpropaganda aus der aktiven Kundenbasis, abzüglich Abwanderung (Gründer- und Standardkunden getrennt). Rechts das Zeitbudget: Vertrieb, Support, Onboarding und Grundlast gegen Sandys zwei Kapazitätslinien.</t>
  </si>
  <si>
    <t xml:space="preserve">9) Plan-Kosten — der Vollständigkeits-Katalog A–H des Chief of Staff: Gründung, Recht, Versicherungen, Steuern/Buchhaltung, Technik, Marketing, Kundenrisiken, Privatseite. Auch Posten, die nicht zutreffen, stehen drin — mit Begründung, damit kein Kästchen leer bleibt. Rechts eine Monatsmatrix 1–24, die das Raster speist.</t>
  </si>
  <si>
    <t xml:space="preserve">10) Plan-24M — Monatsraster September 2026 bis August 2028, drei Szenarien: Kunden, Umsatz, Kosten, Ergebnis, Steuerrücklage und Liquidität Monat für Monat.</t>
  </si>
  <si>
    <t xml:space="preserve">11) Plan-Phase B — der Ausstieg aus der Anstellung als Treppe: Stufe A (40 Std.), Stufe B1 (30 bzw. 25 Std. — Sofortangebot schließt nur die Lücke, die Krankenversicherung bleibt beim Arbeitgeber) und Stufe B2 (Anstellung fällt ganz weg). Je Stufe: nötige Betriebe und nötiger Umsatz.</t>
  </si>
  <si>
    <t xml:space="preserve">12) Diese Seite.</t>
  </si>
  <si>
    <t xml:space="preserve">CoS-F-003 — Finanzplan (03.09.2026)</t>
  </si>
  <si>
    <t xml:space="preserve">24-Monats-Finanzplan (September 2026 bis August 2028) auf Basis derselben Preise und laufenden Kosten wie der Rest der Datei — bewusst keine zweite Zahlenwelt. Die Kundenzahlen kommen aus dem Kanalplan von Head of Marketing (CoS-M-007), die Kostenliste aus dem Vollständigkeits-Katalog des Chief of Staff, das Zeitbudget aus Sandys eigener Angabe (15–20 Std./Woche). Zwei Dinge, die man beim Lesen wissen sollte: Erstens sind die 17 Belege aus Mai bis August 2026 laut Entscheidung vom 03.09.2026 Privatausgaben und NICHT Kostenbasis der UG — sie bleiben im Rechnungsjournal als Historie stehen, der Plan beginnt bei null und übernimmt nur die laufenden Dienste, die weiterlaufen. Zweitens rechnet der Plan die Steuer wie bei einem Einzelunternehmen (Gewinn oben auf Sandys Gehalt). Die UG-Kosten sind vollständig drin (Notar, Stammkapital, Bilanzierung, IHK, Geschäftskonto), die UG-BESTEUERUNG dagegen nicht — Körperschaft- und Gewerbesteuer auf Gesellschaftsebene und danach Gehalt oder Ausschüttung sind eine Steuerberater-Rechnung, die ich nicht verbindlich aufstellen darf. Ansonsten durchgehend vorsichtig gerechnet: keine Verlustverrechnung mit dem Gehalt, kein Vorsteuerabzug ohne Regelbesteuerung, frei werdende Gründerplätze werden nicht neu vergeben, Steuer sofort zurückgelegt. Alle Annahmen stehen mit Quelle auf 'Plan-Annahmen' bzw. in der Spalte 'Quelle/Begründung' auf 'Plan-Kosten'.</t>
  </si>
  <si>
    <t xml:space="preserve">CoS-F-002 — Marge &amp; Tragfähigkeit (03.09.2026)</t>
  </si>
  <si>
    <t xml:space="preserve">Auftrag von Chief of Staff, ausgelöst durch Sandys Preisentscheidung (docs/preismodell.md, ✅ entschieden 03.09.2026): Kosten pro Angebot, Deckungsbeitrag bei 49€/29€ (inkl. Vielnutzer-Fall), Break-even-Kundenzahl und Zeitpunkt der Kleinunternehmergrenze durchrechnen — vor einem Steuerberater-Gespräch. Ausdrücklich NICHT Teil des Auftrags: eine Preisempfehlung — der Preis ist entschieden, ein ungünstiges Ergebnis wäre ein Befund zum Zurückmelden, keine Aufforderung, den Preis zu ändern. Auf ausdrückliche Vorgabe von Chief of Staff wird der konservative KI-Kosten-Wert (2,5 Cent/Angebot) verwendet, nicht der gemessene Wert (2,2 Cent). Fundstellen-Hinweis: docs/ki-kosten-messung.md wird an drei Stellen in den Koordinationsdateien als fertige Messung referenziert, existiert aber nirgends im Repository (weder committed noch als unversionierte Datei) — die Kernzahlen liegen glücklicherweise wortgleich auch direkt in chief-of-staff-finance-todos.md vor, wurden von dort übernommen, die Analyse musste dadurch nicht blockiert werden. Details, Annahmen und Quellen: Blätter 'Marge &amp; Tragfähigkeit' und 'Kleinunternehmergrenze'.</t>
  </si>
  <si>
    <t xml:space="preserve">Stand zur Gewerbeanmeldung / USt-Status (von Sandy bestätigt, 2026-08-19)</t>
  </si>
  <si>
    <t xml:space="preserve">Sandy hat noch KEIN Gewerbe angemeldet, startet aber als Kleinunternehmerin nach §19 UStG (bestätigt). Alle bisherigen Belege stammen damit aus der Zeit vor der offiziellen Gründung — das ist normal und die Kosten lassen sich in der Regel nachträglich als 'vorweggenommene Betriebsausgaben' geltend machen, sobald das Gewerbe angemeldet ist. Wichtig dafür ist genau das, was dieses Journal leistet: ein lückenloser, nachvollziehbarer Beleg-Nachweis. Eine Detailfrage bleibt offen, die ich bewusst nicht selbst beantworte: Wie sind die Reverse-Charge-Rechnungen (Supabase) für eine Kleinunternehmerin zu behandeln — meines Wissens kann die USt-Pflicht auf im Ausland eingekaufte Leistungen (§13b UStG) auch für Kleinunternehmer bestehen bleiben, während der Vorsteuerabzug bei den anderen Diensten (Vercel, OpenAI, Anthropic, Apple) i. d. R. entfällt, weil keine Regelbesteuerung vorliegt — das ist aber keine verbindliche Auskunft von mir. Bitte mit dem Steuerberater klären, sobald einer feststeht — bis dahin im Journal bewusst vorläufig dokumentiert.</t>
  </si>
  <si>
    <t xml:space="preserve">Auffälligkeiten aus den bisherigen 17 Belegen (Stand 2026-09-02) — bitte von Sandy klären</t>
  </si>
  <si>
    <t xml:space="preserve">• Supabase: Kosten seit Mai gestiegen ($25,00 → $49,97 → $54,30), im August leicht gesunken auf $53,83. Weiterhin 5 verschiedene Projekt-Referenzen in älteren Belegen, dokumentiert sind nur 2 (Staging + Produktion) — im August-Beleg (MVGOOM-00007) taucht eine der 5 Referenzen ('ytvysmwepajatcdhkgup') erstmals nicht mehr auf. Werden die verbleibenden 4 alle gebraucht?</t>
  </si>
  <si>
    <t xml:space="preserve">• Zwei offenbar getrennte Claude-Positionen: direkte Anthropic-Rechnung (Geschäftsadresse) UND Claude-Pro-Abo über Apple/iTunes (22 €/Monat, andere Adresse, PayPal). Geschäftlich oder privat?</t>
  </si>
  <si>
    <t xml:space="preserve">• Claude-Pro-Apple-Abo: Belege für Juni und Juli fehlen weiterhin (nur Mai und August vorhanden) — bitte in der Apple-Kaufhistorie nachsehen und ergänzen, damit der Monatsverlauf vollständig ist.</t>
  </si>
  <si>
    <t xml:space="preserve">• Zwei unterschiedliche Adressen für Sandra Holm (Wielandstraße 11 vs. Krampasplatz 4b) — vermutlich alt/neu, bitte kurz bestätigen.</t>
  </si>
  <si>
    <t xml:space="preserve">• Genaues Datum der geplanten Gewerbeanmeldung? Hilft bei der sauberen Abgrenzung, welche Belege als vorweggenommene Betriebsausgaben zählen. Zusätzlich jetzt relevant: Sandy erwägt statt/neben dem Kleingewerbe eine UG (haftungsbeschränkt) — betrifft auch die Buchführungspflichten, siehe Update im Koordinations-Dokument.</t>
  </si>
  <si>
    <t xml:space="preserve">• Wie sind die Supabase-Reverse-Charge-Rechnungen für eine Kleinunternehmerin (§19 UStG) zu behandeln (siehe Absatz oben)? — mit Steuerberater klären, sobald einer feststeht.</t>
  </si>
  <si>
    <t xml:space="preserve">• IONOS-Domainrechnungen (Vertragsnummer 111811442) bündeln mehrere Domains — nur sofortangebot.app zählt für Sofortangebot (siehe Journal 2026-011 bis 2026-017 und Spalte 'Sofortangebot-Anteil'). Geklärt (Sandy, 02.09.2026): 'Domain Guard' (1,00 €, Privatsphärenschutz) und 'IONOS Mail Basic 5' (2,50 €/Monat) gehören beide zu sofortangebot.app — entsprechend im Anteil berücksichtigt. Die übrigen, klar fremden Domains auf denselben Rechnungen bleiben weiterhin ausgeschlossen.</t>
  </si>
  <si>
    <t xml:space="preserve">• Noch keine Belege gefunden für: Resend, Sentry, GitHub-Plan.</t>
  </si>
  <si>
    <t xml:space="preserve">• Anthropic-Direktrechnung: einmaliger Nachkauf oder wiederkehrender Posten?</t>
  </si>
  <si>
    <t xml:space="preserve">• EUR-Umrechnung der USD-Rechnungen (Spalte 'Betrag EUR' im Journal) ist bewusst noch offen — welchen Umrechnungskurs soll ich verwenden, sobald ein Steuerberater feststeht?</t>
  </si>
  <si>
    <t xml:space="preserve">Hinweis: Diese Datei liegt unter docs/kostenuebersicht-finance.xlsx im Repo und wird von Head of Finance gepflegt. Fortschritt/Rückfragen laufen über docs/chief-of-staff-finance-todos.md (CoS-F-001). Original-Belege liegen unverändert im Ordner 'Rechnungen' auf Sandys Rechner.</t>
  </si>
</sst>
</file>

<file path=xl/styles.xml><?xml version="1.0" encoding="utf-8"?>
<styleSheet xmlns="http://schemas.openxmlformats.org/spreadsheetml/2006/main">
  <numFmts count="11">
    <numFmt numFmtId="164" formatCode="General"/>
    <numFmt numFmtId="165" formatCode="#,##0.00&quot; $&quot;;\(#,##0.00&quot; $)&quot;"/>
    <numFmt numFmtId="166" formatCode="#,##0.00&quot; €&quot;;\(#,##0.00&quot; €)&quot;"/>
    <numFmt numFmtId="167" formatCode="#,##0.00"/>
    <numFmt numFmtId="168" formatCode="dd\.mm\.yyyy"/>
    <numFmt numFmtId="169" formatCode="0%"/>
    <numFmt numFmtId="170" formatCode="General"/>
    <numFmt numFmtId="171" formatCode="0.0%"/>
    <numFmt numFmtId="172" formatCode="#,##0.0"/>
    <numFmt numFmtId="173" formatCode="mmm\ yyyy"/>
    <numFmt numFmtId="174" formatCode="#,##0"/>
  </numFmts>
  <fonts count="16">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1"/>
      <color rgb="FF666666"/>
      <name val="Arial"/>
      <family val="0"/>
      <charset val="1"/>
    </font>
    <font>
      <b val="true"/>
      <sz val="11"/>
      <color rgb="FFFFFFFF"/>
      <name val="Arial"/>
      <family val="0"/>
      <charset val="1"/>
    </font>
    <font>
      <sz val="11"/>
      <color rgb="FF000000"/>
      <name val="Arial"/>
      <family val="0"/>
      <charset val="1"/>
    </font>
    <font>
      <sz val="11"/>
      <color rgb="FF0000FF"/>
      <name val="Arial"/>
      <family val="0"/>
      <charset val="1"/>
    </font>
    <font>
      <b val="true"/>
      <sz val="11"/>
      <color rgb="FFCC0000"/>
      <name val="Arial"/>
      <family val="0"/>
      <charset val="1"/>
    </font>
    <font>
      <b val="true"/>
      <sz val="11"/>
      <name val="Arial"/>
      <family val="0"/>
      <charset val="1"/>
    </font>
    <font>
      <sz val="10"/>
      <name val="Arial"/>
      <family val="2"/>
    </font>
    <font>
      <sz val="11"/>
      <color rgb="FF008000"/>
      <name val="Arial"/>
      <family val="0"/>
      <charset val="1"/>
    </font>
    <font>
      <b val="true"/>
      <sz val="14"/>
      <color rgb="FF000000"/>
      <name val="Arial"/>
      <family val="0"/>
      <charset val="1"/>
    </font>
    <font>
      <b val="true"/>
      <sz val="11"/>
      <color rgb="FF000000"/>
      <name val="Arial"/>
      <family val="0"/>
      <charset val="1"/>
    </font>
    <font>
      <i val="true"/>
      <sz val="11"/>
      <color rgb="FF000000"/>
      <name val="Arial"/>
      <family val="0"/>
      <charset val="1"/>
    </font>
  </fonts>
  <fills count="7">
    <fill>
      <patternFill patternType="none"/>
    </fill>
    <fill>
      <patternFill patternType="gray125"/>
    </fill>
    <fill>
      <patternFill patternType="solid">
        <fgColor rgb="FF1F4E78"/>
        <bgColor rgb="FF003366"/>
      </patternFill>
    </fill>
    <fill>
      <patternFill patternType="solid">
        <fgColor rgb="FFFFD966"/>
        <bgColor rgb="FFFFFF99"/>
      </patternFill>
    </fill>
    <fill>
      <patternFill patternType="solid">
        <fgColor rgb="FFF2F2F2"/>
        <bgColor rgb="FFFFFFFF"/>
      </patternFill>
    </fill>
    <fill>
      <patternFill patternType="solid">
        <fgColor rgb="FFD9E1F2"/>
        <bgColor rgb="FFF2F2F2"/>
      </patternFill>
    </fill>
    <fill>
      <patternFill patternType="solid">
        <fgColor rgb="FFFFFF00"/>
        <bgColor rgb="FFFFFF00"/>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8"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true" indent="0" shrinkToFit="false"/>
      <protection locked="true" hidden="false"/>
    </xf>
    <xf numFmtId="167" fontId="8" fillId="4"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tru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true" applyProtection="false">
      <alignment horizontal="general" vertical="top" textRotation="0" wrapText="true" indent="0" shrinkToFit="false"/>
      <protection locked="true" hidden="false"/>
    </xf>
    <xf numFmtId="169" fontId="7" fillId="0" borderId="1" xfId="0" applyFont="true" applyBorder="true" applyAlignment="true" applyProtection="false">
      <alignment horizontal="general" vertical="top" textRotation="0" wrapText="true" indent="0" shrinkToFit="false"/>
      <protection locked="true" hidden="false"/>
    </xf>
    <xf numFmtId="166" fontId="12"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0" fillId="6" borderId="1" xfId="0" applyFont="false" applyBorder="true" applyAlignment="true" applyProtection="false">
      <alignment horizontal="general" vertical="top"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6" fontId="10" fillId="0" borderId="1" xfId="0" applyFont="tru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8" fillId="6" borderId="1"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true" applyProtection="false">
      <alignment horizontal="general" vertical="top" textRotation="0" wrapText="true" indent="0" shrinkToFit="false"/>
      <protection locked="true" hidden="false"/>
    </xf>
    <xf numFmtId="171" fontId="8" fillId="6"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12" fillId="0"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6" fontId="12" fillId="3"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6" fontId="8" fillId="0" borderId="1" xfId="0" applyFont="true" applyBorder="true" applyAlignment="false" applyProtection="false">
      <alignment horizontal="general" vertical="bottom" textRotation="0" wrapText="false" indent="0" shrinkToFit="false"/>
      <protection locked="true" hidden="false"/>
    </xf>
    <xf numFmtId="166" fontId="7" fillId="0"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6" fontId="8" fillId="4" borderId="1" xfId="0" applyFont="true" applyBorder="true" applyAlignment="false" applyProtection="false">
      <alignment horizontal="general" vertical="bottom" textRotation="0" wrapText="false" indent="0" shrinkToFit="false"/>
      <protection locked="true" hidden="false"/>
    </xf>
    <xf numFmtId="166" fontId="12" fillId="4"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6" fontId="12"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10" fillId="6" borderId="0" xfId="0" applyFont="true" applyBorder="false" applyAlignment="false" applyProtection="false">
      <alignment horizontal="general" vertical="bottom" textRotation="0" wrapText="false" indent="0" shrinkToFit="false"/>
      <protection locked="true" hidden="false"/>
    </xf>
    <xf numFmtId="167" fontId="7" fillId="0" borderId="1" xfId="0" applyFont="true" applyBorder="true" applyAlignment="false" applyProtection="false">
      <alignment horizontal="general" vertical="bottom" textRotation="0" wrapText="false" indent="0" shrinkToFit="false"/>
      <protection locked="true" hidden="false"/>
    </xf>
    <xf numFmtId="167" fontId="12"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72" fontId="12" fillId="0" borderId="1" xfId="0" applyFont="true" applyBorder="true" applyAlignment="true" applyProtection="false">
      <alignment horizontal="right" vertical="bottom" textRotation="0" wrapText="false" indent="0" shrinkToFit="false"/>
      <protection locked="true" hidden="false"/>
    </xf>
    <xf numFmtId="171" fontId="12" fillId="0" borderId="1" xfId="0" applyFont="true" applyBorder="true" applyAlignment="true" applyProtection="false">
      <alignment horizontal="right" vertical="bottom" textRotation="0" wrapText="false" indent="0" shrinkToFit="false"/>
      <protection locked="true" hidden="false"/>
    </xf>
    <xf numFmtId="172" fontId="10" fillId="5" borderId="1" xfId="0" applyFont="true" applyBorder="true" applyAlignment="true" applyProtection="false">
      <alignment horizontal="right"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73" fontId="12" fillId="0" borderId="1" xfId="0" applyFont="true" applyBorder="true" applyAlignment="true" applyProtection="false">
      <alignment horizontal="right" vertical="bottom" textRotation="0" wrapText="false" indent="0" shrinkToFit="false"/>
      <protection locked="true" hidden="false"/>
    </xf>
    <xf numFmtId="166" fontId="12" fillId="0"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7" fontId="12" fillId="0" borderId="1" xfId="0" applyFont="true" applyBorder="true" applyAlignment="true" applyProtection="false">
      <alignment horizontal="right" vertical="bottom" textRotation="0" wrapText="false" indent="0" shrinkToFit="false"/>
      <protection locked="true" hidden="false"/>
    </xf>
    <xf numFmtId="174" fontId="10" fillId="5" borderId="1" xfId="0" applyFont="true" applyBorder="true" applyAlignment="false" applyProtection="false">
      <alignment horizontal="general" vertical="bottom" textRotation="0" wrapText="false" indent="0" shrinkToFit="false"/>
      <protection locked="true" hidden="false"/>
    </xf>
    <xf numFmtId="166" fontId="12" fillId="5" borderId="1" xfId="0" applyFont="true" applyBorder="true" applyAlignment="false" applyProtection="false">
      <alignment horizontal="general" vertical="bottom" textRotation="0" wrapText="false" indent="0" shrinkToFit="false"/>
      <protection locked="true" hidden="false"/>
    </xf>
    <xf numFmtId="174" fontId="10" fillId="5" borderId="1" xfId="0" applyFont="true" applyBorder="true" applyAlignment="true" applyProtection="false">
      <alignment horizontal="right" vertical="bottom" textRotation="0" wrapText="false" indent="0" shrinkToFit="false"/>
      <protection locked="true" hidden="false"/>
    </xf>
    <xf numFmtId="173" fontId="8" fillId="6" borderId="1" xfId="0" applyFont="true" applyBorder="true" applyAlignment="false" applyProtection="false">
      <alignment horizontal="general" vertical="bottom" textRotation="0" wrapText="false" indent="0" shrinkToFit="false"/>
      <protection locked="true" hidden="false"/>
    </xf>
    <xf numFmtId="171" fontId="12" fillId="0" borderId="1" xfId="0" applyFont="true" applyBorder="true" applyAlignment="false" applyProtection="false">
      <alignment horizontal="general" vertical="bottom" textRotation="0" wrapText="false" indent="0" shrinkToFit="false"/>
      <protection locked="true" hidden="false"/>
    </xf>
    <xf numFmtId="174" fontId="7" fillId="0" borderId="1" xfId="0" applyFont="true" applyBorder="true" applyAlignment="false" applyProtection="false">
      <alignment horizontal="general" vertical="bottom" textRotation="0" wrapText="false" indent="0" shrinkToFit="false"/>
      <protection locked="true" hidden="false"/>
    </xf>
    <xf numFmtId="171" fontId="7" fillId="0" borderId="1" xfId="0" applyFont="true" applyBorder="true" applyAlignment="false" applyProtection="false">
      <alignment horizontal="general" vertical="bottom" textRotation="0" wrapText="false" indent="0" shrinkToFit="false"/>
      <protection locked="true" hidden="false"/>
    </xf>
    <xf numFmtId="173" fontId="12" fillId="0" borderId="1" xfId="0" applyFont="true" applyBorder="true" applyAlignment="false" applyProtection="false">
      <alignment horizontal="general" vertical="bottom" textRotation="0" wrapText="false" indent="0" shrinkToFit="false"/>
      <protection locked="true" hidden="false"/>
    </xf>
    <xf numFmtId="172" fontId="7"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72" fontId="8" fillId="0" borderId="1" xfId="0" applyFont="true" applyBorder="true" applyAlignment="false" applyProtection="false">
      <alignment horizontal="general" vertical="bottom" textRotation="0" wrapText="false" indent="0" shrinkToFit="false"/>
      <protection locked="true" hidden="false"/>
    </xf>
    <xf numFmtId="172" fontId="12" fillId="0" borderId="1" xfId="0" applyFont="true" applyBorder="true" applyAlignment="false" applyProtection="false">
      <alignment horizontal="general" vertical="bottom" textRotation="0" wrapText="false" indent="0" shrinkToFit="false"/>
      <protection locked="true" hidden="false"/>
    </xf>
    <xf numFmtId="172" fontId="10" fillId="5" borderId="1" xfId="0" applyFont="true" applyBorder="true" applyAlignment="false" applyProtection="false">
      <alignment horizontal="general" vertical="bottom" textRotation="0" wrapText="fals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7" fontId="8" fillId="4" borderId="1" xfId="0" applyFont="true" applyBorder="true" applyAlignment="false" applyProtection="false">
      <alignment horizontal="general" vertical="bottom" textRotation="0" wrapText="false" indent="0" shrinkToFit="false"/>
      <protection locked="true" hidden="false"/>
    </xf>
    <xf numFmtId="164" fontId="8" fillId="4"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7" fontId="8" fillId="3" borderId="1" xfId="0" applyFont="true" applyBorder="tru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7" fillId="3" borderId="1" xfId="0" applyFont="true" applyBorder="true" applyAlignment="false" applyProtection="false">
      <alignment horizontal="general" vertical="bottom" textRotation="0" wrapText="false" indent="0" shrinkToFit="false"/>
      <protection locked="true" hidden="false"/>
    </xf>
    <xf numFmtId="167" fontId="12" fillId="3" borderId="1" xfId="0" applyFont="true" applyBorder="true" applyAlignment="false" applyProtection="false">
      <alignment horizontal="general" vertical="bottom" textRotation="0" wrapText="fals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74" fontId="12" fillId="0" borderId="1" xfId="0" applyFont="true" applyBorder="true" applyAlignment="false" applyProtection="false">
      <alignment horizontal="general" vertical="bottom" textRotation="0" wrapText="false" indent="0" shrinkToFit="false"/>
      <protection locked="true" hidden="false"/>
    </xf>
    <xf numFmtId="170" fontId="12"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xf numFmtId="164" fontId="7" fillId="3" borderId="0" xfId="0" applyFont="true" applyBorder="false" applyAlignment="true" applyProtection="false">
      <alignment horizontal="general" vertical="top" textRotation="0" wrapText="true" indent="0" shrinkToFit="false"/>
      <protection locked="true" hidden="false"/>
    </xf>
    <xf numFmtId="164" fontId="7" fillId="6" borderId="0" xfId="0" applyFont="true" applyBorder="false" applyAlignment="true" applyProtection="false">
      <alignment horizontal="general" vertical="top"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66"/>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20"/>
    <col collapsed="false" customWidth="true" hidden="false" outlineLevel="0" max="3" min="3" style="0" width="10"/>
    <col collapsed="false" customWidth="true" hidden="false" outlineLevel="0" max="4" min="4" style="0" width="18"/>
    <col collapsed="false" customWidth="true" hidden="false" outlineLevel="0" max="5" min="5" style="0" width="30"/>
    <col collapsed="false" customWidth="true" hidden="false" outlineLevel="0" max="6" min="6" style="0" width="28"/>
    <col collapsed="false" customWidth="true" hidden="false" outlineLevel="0" max="7" min="7" style="0" width="32"/>
    <col collapsed="false" customWidth="true" hidden="false" outlineLevel="0" max="8" min="8" style="0" width="24"/>
    <col collapsed="false" customWidth="true" hidden="false" outlineLevel="0" max="9" min="9" style="0" width="55"/>
  </cols>
  <sheetData>
    <row r="1" customFormat="false" ht="17.35" hidden="false" customHeight="false" outlineLevel="0" collapsed="false">
      <c r="A1" s="1" t="s">
        <v>0</v>
      </c>
      <c r="B1" s="1"/>
      <c r="C1" s="1"/>
      <c r="D1" s="1"/>
      <c r="E1" s="1"/>
      <c r="F1" s="1"/>
      <c r="G1" s="1"/>
      <c r="H1" s="1"/>
      <c r="I1" s="1"/>
    </row>
    <row r="2" customFormat="false" ht="15" hidden="false" customHeight="false" outlineLevel="0" collapsed="false">
      <c r="A2" s="2" t="s">
        <v>1</v>
      </c>
      <c r="B2" s="2"/>
      <c r="C2" s="2"/>
      <c r="D2" s="2"/>
      <c r="E2" s="2"/>
      <c r="F2" s="2"/>
      <c r="G2" s="2"/>
      <c r="H2" s="2"/>
      <c r="I2" s="2"/>
    </row>
    <row r="4" customFormat="false" ht="39.55" hidden="false" customHeight="false" outlineLevel="0" collapsed="false">
      <c r="A4" s="3" t="s">
        <v>2</v>
      </c>
      <c r="B4" s="3" t="s">
        <v>3</v>
      </c>
      <c r="C4" s="3" t="s">
        <v>4</v>
      </c>
      <c r="D4" s="3" t="s">
        <v>5</v>
      </c>
      <c r="E4" s="3" t="s">
        <v>6</v>
      </c>
      <c r="F4" s="3" t="s">
        <v>7</v>
      </c>
      <c r="G4" s="3" t="s">
        <v>8</v>
      </c>
      <c r="H4" s="3" t="s">
        <v>9</v>
      </c>
      <c r="I4" s="3" t="s">
        <v>10</v>
      </c>
    </row>
    <row r="5" customFormat="false" ht="90.25" hidden="false" customHeight="false" outlineLevel="0" collapsed="false">
      <c r="A5" s="4" t="s">
        <v>11</v>
      </c>
      <c r="B5" s="4" t="s">
        <v>12</v>
      </c>
      <c r="C5" s="4" t="s">
        <v>13</v>
      </c>
      <c r="D5" s="5" t="n">
        <v>53.83</v>
      </c>
      <c r="E5" s="4" t="s">
        <v>14</v>
      </c>
      <c r="F5" s="4" t="s">
        <v>15</v>
      </c>
      <c r="G5" s="4" t="s">
        <v>16</v>
      </c>
      <c r="H5" s="6" t="s">
        <v>17</v>
      </c>
      <c r="I5" s="4" t="s">
        <v>18</v>
      </c>
    </row>
    <row r="6" customFormat="false" ht="52.2" hidden="false" customHeight="false" outlineLevel="0" collapsed="false">
      <c r="A6" s="4" t="s">
        <v>19</v>
      </c>
      <c r="B6" s="4" t="s">
        <v>20</v>
      </c>
      <c r="C6" s="4" t="s">
        <v>13</v>
      </c>
      <c r="D6" s="7" t="n">
        <v>23.8</v>
      </c>
      <c r="E6" s="4" t="s">
        <v>21</v>
      </c>
      <c r="F6" s="4" t="s">
        <v>22</v>
      </c>
      <c r="G6" s="4" t="s">
        <v>23</v>
      </c>
      <c r="H6" s="4" t="s">
        <v>24</v>
      </c>
      <c r="I6" s="4" t="s">
        <v>25</v>
      </c>
    </row>
    <row r="7" customFormat="false" ht="52.2" hidden="false" customHeight="false" outlineLevel="0" collapsed="false">
      <c r="A7" s="4" t="s">
        <v>26</v>
      </c>
      <c r="B7" s="4" t="s">
        <v>27</v>
      </c>
      <c r="C7" s="4" t="s">
        <v>13</v>
      </c>
      <c r="D7" s="5" t="n">
        <v>53.55</v>
      </c>
      <c r="E7" s="4" t="s">
        <v>28</v>
      </c>
      <c r="F7" s="4" t="s">
        <v>29</v>
      </c>
      <c r="G7" s="4" t="s">
        <v>30</v>
      </c>
      <c r="H7" s="6" t="s">
        <v>31</v>
      </c>
      <c r="I7" s="4" t="s">
        <v>32</v>
      </c>
    </row>
    <row r="8" customFormat="false" ht="64.9" hidden="false" customHeight="false" outlineLevel="0" collapsed="false">
      <c r="A8" s="4" t="s">
        <v>33</v>
      </c>
      <c r="B8" s="4" t="s">
        <v>34</v>
      </c>
      <c r="C8" s="4" t="s">
        <v>35</v>
      </c>
      <c r="D8" s="8" t="n">
        <v>22</v>
      </c>
      <c r="E8" s="4" t="s">
        <v>36</v>
      </c>
      <c r="F8" s="4" t="s">
        <v>37</v>
      </c>
      <c r="G8" s="4" t="s">
        <v>38</v>
      </c>
      <c r="H8" s="6" t="s">
        <v>39</v>
      </c>
      <c r="I8" s="4" t="s">
        <v>40</v>
      </c>
    </row>
    <row r="9" customFormat="false" ht="64.9" hidden="false" customHeight="false" outlineLevel="0" collapsed="false">
      <c r="A9" s="4" t="s">
        <v>41</v>
      </c>
      <c r="B9" s="4" t="s">
        <v>27</v>
      </c>
      <c r="C9" s="4" t="s">
        <v>13</v>
      </c>
      <c r="D9" s="7" t="n">
        <v>17.85</v>
      </c>
      <c r="E9" s="4" t="s">
        <v>42</v>
      </c>
      <c r="F9" s="4" t="s">
        <v>29</v>
      </c>
      <c r="G9" s="4" t="s">
        <v>43</v>
      </c>
      <c r="H9" s="4" t="s">
        <v>24</v>
      </c>
      <c r="I9" s="4" t="s">
        <v>44</v>
      </c>
    </row>
    <row r="10" customFormat="false" ht="26.85" hidden="false" customHeight="false" outlineLevel="0" collapsed="false">
      <c r="A10" s="4" t="s">
        <v>45</v>
      </c>
      <c r="B10" s="4" t="s">
        <v>46</v>
      </c>
      <c r="C10" s="4" t="s">
        <v>47</v>
      </c>
      <c r="D10" s="9"/>
      <c r="E10" s="4" t="s">
        <v>29</v>
      </c>
      <c r="F10" s="4" t="s">
        <v>29</v>
      </c>
      <c r="G10" s="4" t="s">
        <v>29</v>
      </c>
      <c r="H10" s="10" t="s">
        <v>48</v>
      </c>
      <c r="I10" s="4" t="s">
        <v>49</v>
      </c>
    </row>
    <row r="11" customFormat="false" ht="115.65" hidden="false" customHeight="false" outlineLevel="0" collapsed="false">
      <c r="A11" s="4" t="s">
        <v>50</v>
      </c>
      <c r="B11" s="4" t="s">
        <v>51</v>
      </c>
      <c r="C11" s="4" t="s">
        <v>35</v>
      </c>
      <c r="D11" s="11" t="n">
        <v>2.5</v>
      </c>
      <c r="E11" s="4" t="s">
        <v>52</v>
      </c>
      <c r="F11" s="4" t="s">
        <v>53</v>
      </c>
      <c r="G11" s="4" t="s">
        <v>54</v>
      </c>
      <c r="H11" s="4" t="s">
        <v>24</v>
      </c>
      <c r="I11" s="4" t="s">
        <v>55</v>
      </c>
    </row>
    <row r="12" customFormat="false" ht="26.85" hidden="false" customHeight="false" outlineLevel="0" collapsed="false">
      <c r="A12" s="4" t="s">
        <v>56</v>
      </c>
      <c r="B12" s="4" t="s">
        <v>57</v>
      </c>
      <c r="C12" s="4" t="s">
        <v>47</v>
      </c>
      <c r="D12" s="9"/>
      <c r="E12" s="4" t="s">
        <v>29</v>
      </c>
      <c r="F12" s="4" t="s">
        <v>29</v>
      </c>
      <c r="G12" s="4" t="s">
        <v>29</v>
      </c>
      <c r="H12" s="10" t="s">
        <v>48</v>
      </c>
      <c r="I12" s="4" t="s">
        <v>58</v>
      </c>
    </row>
    <row r="13" customFormat="false" ht="39.55" hidden="false" customHeight="false" outlineLevel="0" collapsed="false">
      <c r="A13" s="4" t="s">
        <v>59</v>
      </c>
      <c r="B13" s="4" t="s">
        <v>60</v>
      </c>
      <c r="C13" s="4" t="s">
        <v>47</v>
      </c>
      <c r="D13" s="9"/>
      <c r="E13" s="4" t="s">
        <v>61</v>
      </c>
      <c r="F13" s="4" t="s">
        <v>29</v>
      </c>
      <c r="G13" s="4" t="s">
        <v>29</v>
      </c>
      <c r="H13" s="10" t="s">
        <v>62</v>
      </c>
      <c r="I13" s="4" t="s">
        <v>63</v>
      </c>
    </row>
    <row r="14" customFormat="false" ht="39.55" hidden="false" customHeight="false" outlineLevel="0" collapsed="false">
      <c r="A14" s="4" t="s">
        <v>64</v>
      </c>
      <c r="B14" s="4" t="s">
        <v>65</v>
      </c>
      <c r="C14" s="4" t="s">
        <v>47</v>
      </c>
      <c r="D14" s="9"/>
      <c r="E14" s="4" t="s">
        <v>66</v>
      </c>
      <c r="F14" s="4" t="s">
        <v>67</v>
      </c>
      <c r="G14" s="4" t="s">
        <v>29</v>
      </c>
      <c r="H14" s="10" t="s">
        <v>68</v>
      </c>
      <c r="I14" s="4" t="s">
        <v>69</v>
      </c>
    </row>
    <row r="15" customFormat="false" ht="15" hidden="false" customHeight="false" outlineLevel="0" collapsed="false">
      <c r="A15" s="10"/>
      <c r="B15" s="4"/>
      <c r="C15" s="4"/>
      <c r="D15" s="12"/>
      <c r="E15" s="4"/>
      <c r="F15" s="4"/>
      <c r="G15" s="4"/>
      <c r="H15" s="4"/>
      <c r="I15" s="4"/>
    </row>
    <row r="16" customFormat="false" ht="15" hidden="false" customHeight="false" outlineLevel="0" collapsed="false">
      <c r="A16" s="10"/>
      <c r="B16" s="4"/>
      <c r="C16" s="4"/>
      <c r="D16" s="12"/>
      <c r="E16" s="4"/>
      <c r="F16" s="4"/>
      <c r="G16" s="4"/>
      <c r="H16" s="4"/>
      <c r="I16" s="4"/>
    </row>
    <row r="18" customFormat="false" ht="15" hidden="false" customHeight="false" outlineLevel="0" collapsed="false">
      <c r="A18" s="13" t="s">
        <v>70</v>
      </c>
      <c r="B18" s="14"/>
      <c r="C18" s="14"/>
      <c r="D18" s="15" t="n">
        <f aca="false">SUMIF(C5:C16,"USD",D5:D16)</f>
        <v>149.03</v>
      </c>
      <c r="E18" s="14"/>
      <c r="F18" s="14"/>
      <c r="G18" s="14"/>
      <c r="H18" s="14"/>
      <c r="I18" s="14"/>
    </row>
    <row r="19" customFormat="false" ht="15" hidden="false" customHeight="false" outlineLevel="0" collapsed="false">
      <c r="A19" s="13" t="s">
        <v>71</v>
      </c>
      <c r="B19" s="14"/>
      <c r="C19" s="14"/>
      <c r="D19" s="16" t="n">
        <f aca="false">SUMIF(C5:C16,"EUR",D5:D16)</f>
        <v>24.5</v>
      </c>
      <c r="E19" s="14"/>
      <c r="F19" s="14"/>
      <c r="G19" s="14"/>
      <c r="H19" s="14"/>
      <c r="I19" s="14"/>
    </row>
    <row r="21" customFormat="false" ht="15" hidden="false" customHeight="false" outlineLevel="0" collapsed="false">
      <c r="A21" s="2" t="s">
        <v>72</v>
      </c>
      <c r="B21" s="2"/>
      <c r="C21" s="2"/>
      <c r="D21" s="2"/>
      <c r="E21" s="2"/>
      <c r="F21" s="2"/>
      <c r="G21" s="2"/>
      <c r="H21" s="2"/>
      <c r="I21" s="2"/>
    </row>
  </sheetData>
  <mergeCells count="3">
    <mergeCell ref="A1:I1"/>
    <mergeCell ref="A2:I2"/>
    <mergeCell ref="A21:I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3"/>
    <col collapsed="false" customWidth="true" hidden="false" outlineLevel="0" max="3" min="3" style="0" width="20"/>
    <col collapsed="false" customWidth="true" hidden="false" outlineLevel="0" max="5" min="4" style="0" width="26"/>
    <col collapsed="false" customWidth="true" hidden="false" outlineLevel="0" max="6" min="6" style="0" width="12"/>
    <col collapsed="false" customWidth="true" hidden="false" outlineLevel="0" max="7" min="7" style="0" width="22"/>
    <col collapsed="false" customWidth="true" hidden="false" outlineLevel="0" max="8" min="8" style="0" width="34"/>
    <col collapsed="false" customWidth="true" hidden="false" outlineLevel="0" max="9" min="9" style="0" width="10"/>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6"/>
    <col collapsed="false" customWidth="true" hidden="false" outlineLevel="0" max="15" min="15" style="0" width="34"/>
    <col collapsed="false" customWidth="true" hidden="false" outlineLevel="0" max="17" min="16" style="0" width="16"/>
    <col collapsed="false" customWidth="true" hidden="false" outlineLevel="0" max="18" min="18" style="0" width="30"/>
    <col collapsed="false" customWidth="true" hidden="false" outlineLevel="0" max="19" min="19" style="0" width="42"/>
  </cols>
  <sheetData>
    <row r="1" customFormat="false" ht="17.35" hidden="false" customHeight="false" outlineLevel="0" collapsed="false">
      <c r="A1" s="1" t="s">
        <v>73</v>
      </c>
      <c r="B1" s="1"/>
      <c r="C1" s="1"/>
      <c r="D1" s="1"/>
      <c r="E1" s="1"/>
      <c r="F1" s="1"/>
      <c r="G1" s="1"/>
      <c r="H1" s="1"/>
      <c r="I1" s="1"/>
      <c r="J1" s="1"/>
      <c r="K1" s="1"/>
      <c r="L1" s="1"/>
      <c r="M1" s="1"/>
      <c r="N1" s="1"/>
      <c r="O1" s="1"/>
      <c r="P1" s="1"/>
      <c r="Q1" s="1"/>
      <c r="R1" s="1"/>
      <c r="S1" s="1"/>
    </row>
    <row r="2" customFormat="false" ht="15" hidden="false" customHeight="false" outlineLevel="0" collapsed="false">
      <c r="A2" s="2" t="s">
        <v>74</v>
      </c>
      <c r="B2" s="2"/>
      <c r="C2" s="2"/>
      <c r="D2" s="2"/>
      <c r="E2" s="2"/>
      <c r="F2" s="2"/>
      <c r="G2" s="2"/>
      <c r="H2" s="2"/>
      <c r="I2" s="2"/>
      <c r="J2" s="2"/>
      <c r="K2" s="2"/>
      <c r="L2" s="2"/>
      <c r="M2" s="2"/>
      <c r="N2" s="2"/>
      <c r="O2" s="2"/>
      <c r="P2" s="2"/>
      <c r="Q2" s="2"/>
      <c r="R2" s="2"/>
      <c r="S2" s="2"/>
    </row>
    <row r="4" customFormat="false" ht="26.85" hidden="false" customHeight="false" outlineLevel="0" collapsed="false">
      <c r="A4" s="3" t="s">
        <v>75</v>
      </c>
      <c r="B4" s="3" t="s">
        <v>76</v>
      </c>
      <c r="C4" s="3" t="s">
        <v>77</v>
      </c>
      <c r="D4" s="3" t="s">
        <v>78</v>
      </c>
      <c r="E4" s="3" t="s">
        <v>79</v>
      </c>
      <c r="F4" s="3" t="s">
        <v>80</v>
      </c>
      <c r="G4" s="3" t="s">
        <v>2</v>
      </c>
      <c r="H4" s="3" t="s">
        <v>81</v>
      </c>
      <c r="I4" s="3" t="s">
        <v>4</v>
      </c>
      <c r="J4" s="3" t="s">
        <v>82</v>
      </c>
      <c r="K4" s="3" t="s">
        <v>83</v>
      </c>
      <c r="L4" s="3" t="s">
        <v>84</v>
      </c>
      <c r="M4" s="3" t="s">
        <v>85</v>
      </c>
      <c r="N4" s="3" t="s">
        <v>86</v>
      </c>
      <c r="O4" s="3" t="s">
        <v>87</v>
      </c>
      <c r="P4" s="3" t="s">
        <v>88</v>
      </c>
      <c r="Q4" s="3" t="s">
        <v>89</v>
      </c>
      <c r="R4" s="3" t="s">
        <v>90</v>
      </c>
      <c r="S4" s="3" t="s">
        <v>91</v>
      </c>
    </row>
    <row r="5" customFormat="false" ht="64.9" hidden="false" customHeight="false" outlineLevel="0" collapsed="false">
      <c r="A5" s="4" t="s">
        <v>92</v>
      </c>
      <c r="B5" s="17" t="n">
        <v>46146</v>
      </c>
      <c r="C5" s="4" t="s">
        <v>93</v>
      </c>
      <c r="D5" s="4" t="s">
        <v>94</v>
      </c>
      <c r="E5" s="4" t="s">
        <v>95</v>
      </c>
      <c r="F5" s="4" t="s">
        <v>96</v>
      </c>
      <c r="G5" s="4" t="s">
        <v>33</v>
      </c>
      <c r="H5" s="4" t="s">
        <v>97</v>
      </c>
      <c r="I5" s="4" t="s">
        <v>35</v>
      </c>
      <c r="J5" s="11" t="n">
        <v>18.49</v>
      </c>
      <c r="K5" s="18" t="n">
        <v>0.19</v>
      </c>
      <c r="L5" s="11" t="n">
        <v>3.51</v>
      </c>
      <c r="M5" s="11" t="n">
        <v>22</v>
      </c>
      <c r="N5" s="11" t="n">
        <v>22</v>
      </c>
      <c r="O5" s="4" t="s">
        <v>98</v>
      </c>
      <c r="P5" s="19" t="n">
        <f aca="false">M5</f>
        <v>22</v>
      </c>
      <c r="Q5" s="4" t="s">
        <v>99</v>
      </c>
      <c r="R5" s="4" t="s">
        <v>100</v>
      </c>
      <c r="S5" s="20" t="s">
        <v>101</v>
      </c>
    </row>
    <row r="6" customFormat="false" ht="52.2" hidden="false" customHeight="false" outlineLevel="0" collapsed="false">
      <c r="A6" s="4" t="s">
        <v>102</v>
      </c>
      <c r="B6" s="17" t="n">
        <v>46164</v>
      </c>
      <c r="C6" s="4" t="s">
        <v>103</v>
      </c>
      <c r="D6" s="4" t="s">
        <v>104</v>
      </c>
      <c r="E6" s="4" t="s">
        <v>105</v>
      </c>
      <c r="F6" s="4" t="s">
        <v>106</v>
      </c>
      <c r="G6" s="4" t="s">
        <v>19</v>
      </c>
      <c r="H6" s="4" t="s">
        <v>107</v>
      </c>
      <c r="I6" s="4" t="s">
        <v>13</v>
      </c>
      <c r="J6" s="7" t="n">
        <v>20</v>
      </c>
      <c r="K6" s="18" t="n">
        <v>0.19</v>
      </c>
      <c r="L6" s="7" t="n">
        <v>3.8</v>
      </c>
      <c r="M6" s="7" t="n">
        <v>23.8</v>
      </c>
      <c r="N6" s="7" t="n">
        <v>23.8</v>
      </c>
      <c r="O6" s="4" t="s">
        <v>108</v>
      </c>
      <c r="P6" s="21"/>
      <c r="Q6" s="4" t="s">
        <v>109</v>
      </c>
      <c r="R6" s="4" t="s">
        <v>110</v>
      </c>
      <c r="S6" s="20" t="s">
        <v>111</v>
      </c>
    </row>
    <row r="7" customFormat="false" ht="179.1" hidden="false" customHeight="false" outlineLevel="0" collapsed="false">
      <c r="A7" s="4" t="s">
        <v>112</v>
      </c>
      <c r="B7" s="17" t="n">
        <v>46165</v>
      </c>
      <c r="C7" s="4" t="s">
        <v>113</v>
      </c>
      <c r="D7" s="4" t="s">
        <v>114</v>
      </c>
      <c r="E7" s="4" t="s">
        <v>115</v>
      </c>
      <c r="F7" s="4" t="s">
        <v>116</v>
      </c>
      <c r="G7" s="4" t="s">
        <v>11</v>
      </c>
      <c r="H7" s="4" t="s">
        <v>117</v>
      </c>
      <c r="I7" s="4" t="s">
        <v>13</v>
      </c>
      <c r="J7" s="7" t="n">
        <v>25</v>
      </c>
      <c r="K7" s="4" t="s">
        <v>118</v>
      </c>
      <c r="L7" s="7" t="n">
        <v>0</v>
      </c>
      <c r="M7" s="7" t="n">
        <v>25</v>
      </c>
      <c r="N7" s="7" t="n">
        <v>25</v>
      </c>
      <c r="O7" s="4" t="s">
        <v>119</v>
      </c>
      <c r="P7" s="21"/>
      <c r="Q7" s="4" t="s">
        <v>29</v>
      </c>
      <c r="R7" s="4" t="s">
        <v>120</v>
      </c>
      <c r="S7" s="20" t="s">
        <v>121</v>
      </c>
    </row>
    <row r="8" customFormat="false" ht="90.25" hidden="false" customHeight="false" outlineLevel="0" collapsed="false">
      <c r="A8" s="4" t="s">
        <v>122</v>
      </c>
      <c r="B8" s="17" t="n">
        <v>46187</v>
      </c>
      <c r="C8" s="4" t="s">
        <v>123</v>
      </c>
      <c r="D8" s="4" t="s">
        <v>124</v>
      </c>
      <c r="E8" s="4" t="s">
        <v>125</v>
      </c>
      <c r="F8" s="4" t="s">
        <v>106</v>
      </c>
      <c r="G8" s="4" t="s">
        <v>41</v>
      </c>
      <c r="H8" s="4" t="s">
        <v>126</v>
      </c>
      <c r="I8" s="4" t="s">
        <v>13</v>
      </c>
      <c r="J8" s="7" t="n">
        <v>15</v>
      </c>
      <c r="K8" s="18" t="n">
        <v>0.19</v>
      </c>
      <c r="L8" s="7" t="n">
        <v>2.85</v>
      </c>
      <c r="M8" s="7" t="n">
        <v>17.85</v>
      </c>
      <c r="N8" s="7" t="n">
        <v>17.85</v>
      </c>
      <c r="O8" s="4" t="s">
        <v>127</v>
      </c>
      <c r="P8" s="21"/>
      <c r="Q8" s="4" t="s">
        <v>29</v>
      </c>
      <c r="R8" s="4" t="s">
        <v>128</v>
      </c>
      <c r="S8" s="20" t="s">
        <v>129</v>
      </c>
    </row>
    <row r="9" customFormat="false" ht="64.9" hidden="false" customHeight="false" outlineLevel="0" collapsed="false">
      <c r="A9" s="4" t="s">
        <v>130</v>
      </c>
      <c r="B9" s="17" t="n">
        <v>46195</v>
      </c>
      <c r="C9" s="4" t="s">
        <v>131</v>
      </c>
      <c r="D9" s="4" t="s">
        <v>132</v>
      </c>
      <c r="E9" s="4" t="s">
        <v>105</v>
      </c>
      <c r="F9" s="4" t="s">
        <v>106</v>
      </c>
      <c r="G9" s="4" t="s">
        <v>19</v>
      </c>
      <c r="H9" s="4" t="s">
        <v>107</v>
      </c>
      <c r="I9" s="4" t="s">
        <v>13</v>
      </c>
      <c r="J9" s="7" t="n">
        <v>20</v>
      </c>
      <c r="K9" s="18" t="n">
        <v>0.19</v>
      </c>
      <c r="L9" s="7" t="n">
        <v>3.8</v>
      </c>
      <c r="M9" s="7" t="n">
        <v>23.8</v>
      </c>
      <c r="N9" s="7" t="n">
        <v>23.8</v>
      </c>
      <c r="O9" s="4" t="s">
        <v>108</v>
      </c>
      <c r="P9" s="21"/>
      <c r="Q9" s="4" t="s">
        <v>109</v>
      </c>
      <c r="R9" s="4" t="s">
        <v>133</v>
      </c>
      <c r="S9" s="20" t="s">
        <v>134</v>
      </c>
    </row>
    <row r="10" customFormat="false" ht="179.1" hidden="false" customHeight="false" outlineLevel="0" collapsed="false">
      <c r="A10" s="4" t="s">
        <v>135</v>
      </c>
      <c r="B10" s="17" t="n">
        <v>46196</v>
      </c>
      <c r="C10" s="4" t="s">
        <v>136</v>
      </c>
      <c r="D10" s="4" t="s">
        <v>137</v>
      </c>
      <c r="E10" s="4" t="s">
        <v>115</v>
      </c>
      <c r="F10" s="4" t="s">
        <v>116</v>
      </c>
      <c r="G10" s="4" t="s">
        <v>11</v>
      </c>
      <c r="H10" s="4" t="s">
        <v>117</v>
      </c>
      <c r="I10" s="4" t="s">
        <v>13</v>
      </c>
      <c r="J10" s="7" t="n">
        <v>49.97</v>
      </c>
      <c r="K10" s="4" t="s">
        <v>118</v>
      </c>
      <c r="L10" s="7" t="n">
        <v>0</v>
      </c>
      <c r="M10" s="7" t="n">
        <v>49.97</v>
      </c>
      <c r="N10" s="7" t="n">
        <v>49.97</v>
      </c>
      <c r="O10" s="4" t="s">
        <v>119</v>
      </c>
      <c r="P10" s="21"/>
      <c r="Q10" s="4" t="s">
        <v>29</v>
      </c>
      <c r="R10" s="4" t="s">
        <v>138</v>
      </c>
      <c r="S10" s="20" t="s">
        <v>139</v>
      </c>
    </row>
    <row r="11" customFormat="false" ht="52.2" hidden="false" customHeight="false" outlineLevel="0" collapsed="false">
      <c r="A11" s="4" t="s">
        <v>140</v>
      </c>
      <c r="B11" s="17" t="n">
        <v>46225</v>
      </c>
      <c r="C11" s="4" t="s">
        <v>141</v>
      </c>
      <c r="D11" s="4" t="s">
        <v>142</v>
      </c>
      <c r="E11" s="4" t="s">
        <v>105</v>
      </c>
      <c r="F11" s="4" t="s">
        <v>106</v>
      </c>
      <c r="G11" s="4" t="s">
        <v>19</v>
      </c>
      <c r="H11" s="4" t="s">
        <v>107</v>
      </c>
      <c r="I11" s="4" t="s">
        <v>13</v>
      </c>
      <c r="J11" s="7" t="n">
        <v>20</v>
      </c>
      <c r="K11" s="18" t="n">
        <v>0.19</v>
      </c>
      <c r="L11" s="7" t="n">
        <v>3.8</v>
      </c>
      <c r="M11" s="7" t="n">
        <v>23.8</v>
      </c>
      <c r="N11" s="7" t="n">
        <v>23.8</v>
      </c>
      <c r="O11" s="4" t="s">
        <v>108</v>
      </c>
      <c r="P11" s="21"/>
      <c r="Q11" s="4" t="s">
        <v>109</v>
      </c>
      <c r="R11" s="4" t="s">
        <v>143</v>
      </c>
      <c r="S11" s="20" t="s">
        <v>144</v>
      </c>
    </row>
    <row r="12" customFormat="false" ht="179.1" hidden="false" customHeight="false" outlineLevel="0" collapsed="false">
      <c r="A12" s="4" t="s">
        <v>145</v>
      </c>
      <c r="B12" s="17" t="n">
        <v>46226</v>
      </c>
      <c r="C12" s="4" t="s">
        <v>146</v>
      </c>
      <c r="D12" s="4" t="s">
        <v>147</v>
      </c>
      <c r="E12" s="4" t="s">
        <v>115</v>
      </c>
      <c r="F12" s="4" t="s">
        <v>116</v>
      </c>
      <c r="G12" s="4" t="s">
        <v>11</v>
      </c>
      <c r="H12" s="4" t="s">
        <v>117</v>
      </c>
      <c r="I12" s="4" t="s">
        <v>13</v>
      </c>
      <c r="J12" s="7" t="n">
        <v>54.3</v>
      </c>
      <c r="K12" s="4" t="s">
        <v>118</v>
      </c>
      <c r="L12" s="7" t="n">
        <v>0</v>
      </c>
      <c r="M12" s="7" t="n">
        <v>54.3</v>
      </c>
      <c r="N12" s="7" t="n">
        <v>54.3</v>
      </c>
      <c r="O12" s="4" t="s">
        <v>119</v>
      </c>
      <c r="P12" s="21"/>
      <c r="Q12" s="4" t="s">
        <v>29</v>
      </c>
      <c r="R12" s="4" t="s">
        <v>148</v>
      </c>
      <c r="S12" s="20" t="s">
        <v>149</v>
      </c>
    </row>
    <row r="13" customFormat="false" ht="64.9" hidden="false" customHeight="false" outlineLevel="0" collapsed="false">
      <c r="A13" s="4" t="s">
        <v>150</v>
      </c>
      <c r="B13" s="17" t="n">
        <v>46237</v>
      </c>
      <c r="C13" s="4" t="s">
        <v>151</v>
      </c>
      <c r="D13" s="4" t="s">
        <v>152</v>
      </c>
      <c r="E13" s="4" t="s">
        <v>95</v>
      </c>
      <c r="F13" s="4" t="s">
        <v>96</v>
      </c>
      <c r="G13" s="4" t="s">
        <v>33</v>
      </c>
      <c r="H13" s="4" t="s">
        <v>97</v>
      </c>
      <c r="I13" s="4" t="s">
        <v>35</v>
      </c>
      <c r="J13" s="11" t="n">
        <v>18.49</v>
      </c>
      <c r="K13" s="18" t="n">
        <v>0.19</v>
      </c>
      <c r="L13" s="11" t="n">
        <v>3.51</v>
      </c>
      <c r="M13" s="11" t="n">
        <v>22</v>
      </c>
      <c r="N13" s="11" t="n">
        <v>22</v>
      </c>
      <c r="O13" s="4" t="s">
        <v>98</v>
      </c>
      <c r="P13" s="19" t="n">
        <f aca="false">M13</f>
        <v>22</v>
      </c>
      <c r="Q13" s="4" t="s">
        <v>99</v>
      </c>
      <c r="R13" s="4" t="s">
        <v>153</v>
      </c>
      <c r="S13" s="20" t="s">
        <v>154</v>
      </c>
    </row>
    <row r="14" customFormat="false" ht="128.35" hidden="false" customHeight="false" outlineLevel="0" collapsed="false">
      <c r="A14" s="4" t="s">
        <v>155</v>
      </c>
      <c r="B14" s="17" t="n">
        <v>46251</v>
      </c>
      <c r="C14" s="4" t="s">
        <v>156</v>
      </c>
      <c r="D14" s="4" t="s">
        <v>124</v>
      </c>
      <c r="E14" s="4" t="s">
        <v>157</v>
      </c>
      <c r="F14" s="4" t="s">
        <v>106</v>
      </c>
      <c r="G14" s="4" t="s">
        <v>26</v>
      </c>
      <c r="H14" s="4" t="s">
        <v>158</v>
      </c>
      <c r="I14" s="4" t="s">
        <v>13</v>
      </c>
      <c r="J14" s="7" t="n">
        <v>45</v>
      </c>
      <c r="K14" s="18" t="n">
        <v>0.19</v>
      </c>
      <c r="L14" s="7" t="n">
        <v>8.55</v>
      </c>
      <c r="M14" s="7" t="n">
        <v>53.55</v>
      </c>
      <c r="N14" s="7" t="n">
        <v>53.55</v>
      </c>
      <c r="O14" s="4" t="s">
        <v>159</v>
      </c>
      <c r="P14" s="21"/>
      <c r="Q14" s="4" t="s">
        <v>160</v>
      </c>
      <c r="R14" s="4" t="s">
        <v>161</v>
      </c>
      <c r="S14" s="20" t="s">
        <v>162</v>
      </c>
    </row>
    <row r="15" customFormat="false" ht="153.7" hidden="false" customHeight="false" outlineLevel="0" collapsed="false">
      <c r="A15" s="4" t="s">
        <v>163</v>
      </c>
      <c r="B15" s="17" t="n">
        <v>46138</v>
      </c>
      <c r="C15" s="4" t="s">
        <v>164</v>
      </c>
      <c r="D15" s="4" t="s">
        <v>165</v>
      </c>
      <c r="E15" s="4" t="s">
        <v>166</v>
      </c>
      <c r="F15" s="4" t="s">
        <v>167</v>
      </c>
      <c r="G15" s="4" t="s">
        <v>50</v>
      </c>
      <c r="H15" s="4" t="s">
        <v>168</v>
      </c>
      <c r="I15" s="4" t="s">
        <v>35</v>
      </c>
      <c r="J15" s="11" t="n">
        <v>0.81</v>
      </c>
      <c r="K15" s="18" t="n">
        <v>0.19</v>
      </c>
      <c r="L15" s="11" t="n">
        <v>0.15</v>
      </c>
      <c r="M15" s="11" t="n">
        <v>0.96</v>
      </c>
      <c r="N15" s="8" t="n">
        <v>0</v>
      </c>
      <c r="O15" s="4" t="s">
        <v>169</v>
      </c>
      <c r="P15" s="19" t="n">
        <f aca="false">M15</f>
        <v>0.96</v>
      </c>
      <c r="Q15" s="4" t="s">
        <v>99</v>
      </c>
      <c r="R15" s="4" t="s">
        <v>170</v>
      </c>
      <c r="S15" s="20" t="s">
        <v>171</v>
      </c>
    </row>
    <row r="16" customFormat="false" ht="102.95" hidden="false" customHeight="false" outlineLevel="0" collapsed="false">
      <c r="A16" s="4" t="s">
        <v>172</v>
      </c>
      <c r="B16" s="17" t="n">
        <v>46168</v>
      </c>
      <c r="C16" s="4" t="s">
        <v>173</v>
      </c>
      <c r="D16" s="4" t="s">
        <v>174</v>
      </c>
      <c r="E16" s="4" t="s">
        <v>166</v>
      </c>
      <c r="F16" s="4" t="s">
        <v>167</v>
      </c>
      <c r="G16" s="4" t="s">
        <v>50</v>
      </c>
      <c r="H16" s="4" t="s">
        <v>168</v>
      </c>
      <c r="I16" s="4" t="s">
        <v>35</v>
      </c>
      <c r="J16" s="11" t="n">
        <v>27.73</v>
      </c>
      <c r="K16" s="18" t="n">
        <v>0.19</v>
      </c>
      <c r="L16" s="11" t="n">
        <v>5.27</v>
      </c>
      <c r="M16" s="11" t="n">
        <v>33</v>
      </c>
      <c r="N16" s="8" t="n">
        <v>0</v>
      </c>
      <c r="O16" s="4" t="s">
        <v>169</v>
      </c>
      <c r="P16" s="19" t="n">
        <f aca="false">M16</f>
        <v>33</v>
      </c>
      <c r="Q16" s="4" t="s">
        <v>99</v>
      </c>
      <c r="R16" s="4" t="s">
        <v>175</v>
      </c>
      <c r="S16" s="20" t="s">
        <v>176</v>
      </c>
    </row>
    <row r="17" customFormat="false" ht="191.75" hidden="false" customHeight="false" outlineLevel="0" collapsed="false">
      <c r="A17" s="4" t="s">
        <v>177</v>
      </c>
      <c r="B17" s="17" t="n">
        <v>46199</v>
      </c>
      <c r="C17" s="4" t="s">
        <v>178</v>
      </c>
      <c r="D17" s="4" t="s">
        <v>179</v>
      </c>
      <c r="E17" s="4" t="s">
        <v>166</v>
      </c>
      <c r="F17" s="4" t="s">
        <v>167</v>
      </c>
      <c r="G17" s="4" t="s">
        <v>50</v>
      </c>
      <c r="H17" s="4" t="s">
        <v>168</v>
      </c>
      <c r="I17" s="4" t="s">
        <v>35</v>
      </c>
      <c r="J17" s="11" t="n">
        <v>13.03</v>
      </c>
      <c r="K17" s="18" t="n">
        <v>0.19</v>
      </c>
      <c r="L17" s="11" t="n">
        <v>2.47</v>
      </c>
      <c r="M17" s="11" t="n">
        <v>15.5</v>
      </c>
      <c r="N17" s="11" t="n">
        <v>15.5</v>
      </c>
      <c r="O17" s="4" t="s">
        <v>180</v>
      </c>
      <c r="P17" s="19" t="n">
        <f aca="false">M17</f>
        <v>15.5</v>
      </c>
      <c r="Q17" s="4" t="s">
        <v>99</v>
      </c>
      <c r="R17" s="4" t="s">
        <v>181</v>
      </c>
      <c r="S17" s="20" t="s">
        <v>182</v>
      </c>
    </row>
    <row r="18" customFormat="false" ht="77.6" hidden="false" customHeight="false" outlineLevel="0" collapsed="false">
      <c r="A18" s="4" t="s">
        <v>183</v>
      </c>
      <c r="B18" s="17" t="n">
        <v>46229</v>
      </c>
      <c r="C18" s="4" t="s">
        <v>184</v>
      </c>
      <c r="D18" s="4" t="s">
        <v>185</v>
      </c>
      <c r="E18" s="4" t="s">
        <v>166</v>
      </c>
      <c r="F18" s="4" t="s">
        <v>167</v>
      </c>
      <c r="G18" s="4" t="s">
        <v>50</v>
      </c>
      <c r="H18" s="4" t="s">
        <v>168</v>
      </c>
      <c r="I18" s="4" t="s">
        <v>35</v>
      </c>
      <c r="J18" s="11" t="n">
        <v>2.1</v>
      </c>
      <c r="K18" s="18" t="n">
        <v>0.19</v>
      </c>
      <c r="L18" s="11" t="n">
        <v>0.4</v>
      </c>
      <c r="M18" s="11" t="n">
        <v>2.5</v>
      </c>
      <c r="N18" s="11" t="n">
        <v>2.5</v>
      </c>
      <c r="O18" s="4" t="s">
        <v>186</v>
      </c>
      <c r="P18" s="19" t="n">
        <f aca="false">M18</f>
        <v>2.5</v>
      </c>
      <c r="Q18" s="4" t="s">
        <v>99</v>
      </c>
      <c r="R18" s="4" t="s">
        <v>187</v>
      </c>
      <c r="S18" s="20" t="s">
        <v>188</v>
      </c>
    </row>
    <row r="19" customFormat="false" ht="64.9" hidden="false" customHeight="false" outlineLevel="0" collapsed="false">
      <c r="A19" s="4" t="s">
        <v>189</v>
      </c>
      <c r="B19" s="17" t="n">
        <v>46256</v>
      </c>
      <c r="C19" s="4" t="s">
        <v>190</v>
      </c>
      <c r="D19" s="4" t="s">
        <v>191</v>
      </c>
      <c r="E19" s="4" t="s">
        <v>105</v>
      </c>
      <c r="F19" s="4" t="s">
        <v>106</v>
      </c>
      <c r="G19" s="4" t="s">
        <v>19</v>
      </c>
      <c r="H19" s="4" t="s">
        <v>107</v>
      </c>
      <c r="I19" s="4" t="s">
        <v>13</v>
      </c>
      <c r="J19" s="7" t="n">
        <v>20</v>
      </c>
      <c r="K19" s="18" t="n">
        <v>0.19</v>
      </c>
      <c r="L19" s="7" t="n">
        <v>3.8</v>
      </c>
      <c r="M19" s="7" t="n">
        <v>23.8</v>
      </c>
      <c r="N19" s="7" t="n">
        <v>23.8</v>
      </c>
      <c r="O19" s="4" t="s">
        <v>108</v>
      </c>
      <c r="P19" s="21"/>
      <c r="Q19" s="4" t="s">
        <v>109</v>
      </c>
      <c r="R19" s="4" t="s">
        <v>192</v>
      </c>
      <c r="S19" s="20" t="s">
        <v>193</v>
      </c>
    </row>
    <row r="20" customFormat="false" ht="179.1" hidden="false" customHeight="false" outlineLevel="0" collapsed="false">
      <c r="A20" s="4" t="s">
        <v>194</v>
      </c>
      <c r="B20" s="17" t="n">
        <v>46257</v>
      </c>
      <c r="C20" s="4" t="s">
        <v>195</v>
      </c>
      <c r="D20" s="4" t="s">
        <v>196</v>
      </c>
      <c r="E20" s="4" t="s">
        <v>115</v>
      </c>
      <c r="F20" s="4" t="s">
        <v>116</v>
      </c>
      <c r="G20" s="4" t="s">
        <v>11</v>
      </c>
      <c r="H20" s="4" t="s">
        <v>117</v>
      </c>
      <c r="I20" s="4" t="s">
        <v>13</v>
      </c>
      <c r="J20" s="7" t="n">
        <v>53.83</v>
      </c>
      <c r="K20" s="4" t="s">
        <v>118</v>
      </c>
      <c r="L20" s="7" t="n">
        <v>0</v>
      </c>
      <c r="M20" s="7" t="n">
        <v>53.83</v>
      </c>
      <c r="N20" s="7" t="n">
        <v>53.83</v>
      </c>
      <c r="O20" s="4" t="s">
        <v>119</v>
      </c>
      <c r="P20" s="21"/>
      <c r="Q20" s="4" t="s">
        <v>29</v>
      </c>
      <c r="R20" s="4" t="s">
        <v>197</v>
      </c>
      <c r="S20" s="20" t="s">
        <v>198</v>
      </c>
    </row>
    <row r="21" customFormat="false" ht="52.2" hidden="false" customHeight="false" outlineLevel="0" collapsed="false">
      <c r="A21" s="4" t="s">
        <v>199</v>
      </c>
      <c r="B21" s="17" t="n">
        <v>46260</v>
      </c>
      <c r="C21" s="4" t="s">
        <v>200</v>
      </c>
      <c r="D21" s="4" t="s">
        <v>201</v>
      </c>
      <c r="E21" s="4" t="s">
        <v>166</v>
      </c>
      <c r="F21" s="4" t="s">
        <v>167</v>
      </c>
      <c r="G21" s="4" t="s">
        <v>50</v>
      </c>
      <c r="H21" s="4" t="s">
        <v>168</v>
      </c>
      <c r="I21" s="4" t="s">
        <v>35</v>
      </c>
      <c r="J21" s="11" t="n">
        <v>2.1</v>
      </c>
      <c r="K21" s="18" t="n">
        <v>0.19</v>
      </c>
      <c r="L21" s="11" t="n">
        <v>0.4</v>
      </c>
      <c r="M21" s="11" t="n">
        <v>2.5</v>
      </c>
      <c r="N21" s="11" t="n">
        <v>2.5</v>
      </c>
      <c r="O21" s="4" t="s">
        <v>186</v>
      </c>
      <c r="P21" s="19" t="n">
        <f aca="false">M21</f>
        <v>2.5</v>
      </c>
      <c r="Q21" s="4" t="s">
        <v>99</v>
      </c>
      <c r="R21" s="4" t="s">
        <v>202</v>
      </c>
      <c r="S21" s="20" t="s">
        <v>203</v>
      </c>
    </row>
    <row r="22" customFormat="false" ht="15" hidden="false" customHeight="false" outlineLevel="0" collapsed="false">
      <c r="A22" s="22"/>
      <c r="B22" s="22"/>
      <c r="C22" s="22"/>
      <c r="D22" s="22"/>
      <c r="E22" s="22"/>
      <c r="F22" s="22"/>
      <c r="G22" s="22"/>
      <c r="H22" s="22"/>
      <c r="I22" s="22"/>
      <c r="J22" s="22"/>
      <c r="K22" s="22"/>
      <c r="L22" s="22"/>
      <c r="M22" s="22"/>
      <c r="N22" s="22"/>
      <c r="O22" s="22"/>
      <c r="P22" s="22"/>
      <c r="Q22" s="22"/>
      <c r="R22" s="22"/>
      <c r="S22" s="22"/>
    </row>
    <row r="23" customFormat="false" ht="15" hidden="false" customHeight="false" outlineLevel="0" collapsed="false">
      <c r="A23" s="22"/>
      <c r="B23" s="22"/>
      <c r="C23" s="22"/>
      <c r="D23" s="22"/>
      <c r="E23" s="22"/>
      <c r="F23" s="22"/>
      <c r="G23" s="22"/>
      <c r="H23" s="22"/>
      <c r="I23" s="22"/>
      <c r="J23" s="22"/>
      <c r="K23" s="22"/>
      <c r="L23" s="22"/>
      <c r="M23" s="22"/>
      <c r="N23" s="22"/>
      <c r="O23" s="22"/>
      <c r="P23" s="22"/>
      <c r="Q23" s="22"/>
      <c r="R23" s="22"/>
      <c r="S23" s="22"/>
    </row>
    <row r="24" customFormat="false" ht="15" hidden="false" customHeight="false" outlineLevel="0" collapsed="false">
      <c r="A24" s="22"/>
      <c r="B24" s="22"/>
      <c r="C24" s="22"/>
      <c r="D24" s="22"/>
      <c r="E24" s="22"/>
      <c r="F24" s="22"/>
      <c r="G24" s="22"/>
      <c r="H24" s="22"/>
      <c r="I24" s="22"/>
      <c r="J24" s="22"/>
      <c r="K24" s="22"/>
      <c r="L24" s="22"/>
      <c r="M24" s="22"/>
      <c r="N24" s="22"/>
      <c r="O24" s="22"/>
      <c r="P24" s="22"/>
      <c r="Q24" s="22"/>
      <c r="R24" s="22"/>
      <c r="S24" s="22"/>
    </row>
    <row r="25" customFormat="false" ht="15" hidden="false" customHeight="false" outlineLevel="0" collapsed="false">
      <c r="A25" s="22"/>
      <c r="B25" s="22"/>
      <c r="C25" s="22"/>
      <c r="D25" s="22"/>
      <c r="E25" s="22"/>
      <c r="F25" s="22"/>
      <c r="G25" s="22"/>
      <c r="H25" s="22"/>
      <c r="I25" s="22"/>
      <c r="J25" s="22"/>
      <c r="K25" s="22"/>
      <c r="L25" s="22"/>
      <c r="M25" s="22"/>
      <c r="N25" s="22"/>
      <c r="O25" s="22"/>
      <c r="P25" s="22"/>
      <c r="Q25" s="22"/>
      <c r="R25" s="22"/>
      <c r="S25" s="22"/>
    </row>
    <row r="26" customFormat="false" ht="15" hidden="false" customHeight="false" outlineLevel="0" collapsed="false">
      <c r="A26" s="22"/>
      <c r="B26" s="22"/>
      <c r="C26" s="22"/>
      <c r="D26" s="22"/>
      <c r="E26" s="22"/>
      <c r="F26" s="22"/>
      <c r="G26" s="22"/>
      <c r="H26" s="22"/>
      <c r="I26" s="22"/>
      <c r="J26" s="22"/>
      <c r="K26" s="22"/>
      <c r="L26" s="22"/>
      <c r="M26" s="22"/>
      <c r="N26" s="22"/>
      <c r="O26" s="22"/>
      <c r="P26" s="22"/>
      <c r="Q26" s="22"/>
      <c r="R26" s="22"/>
      <c r="S26" s="22"/>
    </row>
    <row r="27" customFormat="false" ht="15" hidden="false" customHeight="false" outlineLevel="0" collapsed="false">
      <c r="A27" s="22"/>
      <c r="B27" s="22"/>
      <c r="C27" s="22"/>
      <c r="D27" s="22"/>
      <c r="E27" s="22"/>
      <c r="F27" s="22"/>
      <c r="G27" s="22"/>
      <c r="H27" s="22"/>
      <c r="I27" s="22"/>
      <c r="J27" s="22"/>
      <c r="K27" s="22"/>
      <c r="L27" s="22"/>
      <c r="M27" s="22"/>
      <c r="N27" s="22"/>
      <c r="O27" s="22"/>
      <c r="P27" s="22"/>
      <c r="Q27" s="22"/>
      <c r="R27" s="22"/>
      <c r="S27" s="22"/>
    </row>
    <row r="28" customFormat="false" ht="15" hidden="false" customHeight="false" outlineLevel="0" collapsed="false">
      <c r="A28" s="22"/>
      <c r="B28" s="22"/>
      <c r="C28" s="22"/>
      <c r="D28" s="22"/>
      <c r="E28" s="22"/>
      <c r="F28" s="22"/>
      <c r="G28" s="22"/>
      <c r="H28" s="22"/>
      <c r="I28" s="22"/>
      <c r="J28" s="22"/>
      <c r="K28" s="22"/>
      <c r="L28" s="22"/>
      <c r="M28" s="22"/>
      <c r="N28" s="22"/>
      <c r="O28" s="22"/>
      <c r="P28" s="22"/>
      <c r="Q28" s="22"/>
      <c r="R28" s="22"/>
      <c r="S28" s="22"/>
    </row>
    <row r="29" customFormat="false" ht="15" hidden="false" customHeight="false" outlineLevel="0" collapsed="false">
      <c r="A29" s="22"/>
      <c r="B29" s="22"/>
      <c r="C29" s="22"/>
      <c r="D29" s="22"/>
      <c r="E29" s="22"/>
      <c r="F29" s="22"/>
      <c r="G29" s="22"/>
      <c r="H29" s="22"/>
      <c r="I29" s="22"/>
      <c r="J29" s="22"/>
      <c r="K29" s="22"/>
      <c r="L29" s="22"/>
      <c r="M29" s="22"/>
      <c r="N29" s="22"/>
      <c r="O29" s="22"/>
      <c r="P29" s="22"/>
      <c r="Q29" s="22"/>
      <c r="R29" s="22"/>
      <c r="S29" s="22"/>
    </row>
    <row r="30" customFormat="false" ht="15" hidden="false" customHeight="false" outlineLevel="0" collapsed="false">
      <c r="A30" s="22"/>
      <c r="B30" s="22"/>
      <c r="C30" s="22"/>
      <c r="D30" s="22"/>
      <c r="E30" s="22"/>
      <c r="F30" s="22"/>
      <c r="G30" s="22"/>
      <c r="H30" s="22"/>
      <c r="I30" s="22"/>
      <c r="J30" s="22"/>
      <c r="K30" s="22"/>
      <c r="L30" s="22"/>
      <c r="M30" s="22"/>
      <c r="N30" s="22"/>
      <c r="O30" s="22"/>
      <c r="P30" s="22"/>
      <c r="Q30" s="22"/>
      <c r="R30" s="22"/>
      <c r="S30" s="22"/>
    </row>
    <row r="31" customFormat="false" ht="15" hidden="false" customHeight="false" outlineLevel="0" collapsed="false">
      <c r="A31" s="22"/>
      <c r="B31" s="22"/>
      <c r="C31" s="22"/>
      <c r="D31" s="22"/>
      <c r="E31" s="22"/>
      <c r="F31" s="22"/>
      <c r="G31" s="22"/>
      <c r="H31" s="22"/>
      <c r="I31" s="22"/>
      <c r="J31" s="22"/>
      <c r="K31" s="22"/>
      <c r="L31" s="22"/>
      <c r="M31" s="22"/>
      <c r="N31" s="22"/>
      <c r="O31" s="22"/>
      <c r="P31" s="22"/>
      <c r="Q31" s="22"/>
      <c r="R31" s="22"/>
      <c r="S31" s="22"/>
    </row>
    <row r="32" customFormat="false" ht="15" hidden="false" customHeight="false" outlineLevel="0" collapsed="false">
      <c r="A32" s="22"/>
      <c r="B32" s="22"/>
      <c r="C32" s="22"/>
      <c r="D32" s="22"/>
      <c r="E32" s="22"/>
      <c r="F32" s="22"/>
      <c r="G32" s="22"/>
      <c r="H32" s="22"/>
      <c r="I32" s="22"/>
      <c r="J32" s="22"/>
      <c r="K32" s="22"/>
      <c r="L32" s="22"/>
      <c r="M32" s="22"/>
      <c r="N32" s="22"/>
      <c r="O32" s="22"/>
      <c r="P32" s="22"/>
      <c r="Q32" s="22"/>
      <c r="R32" s="22"/>
      <c r="S32" s="22"/>
    </row>
    <row r="33" customFormat="false" ht="15" hidden="false" customHeight="false" outlineLevel="0" collapsed="false">
      <c r="A33" s="22"/>
      <c r="B33" s="22"/>
      <c r="C33" s="22"/>
      <c r="D33" s="22"/>
      <c r="E33" s="22"/>
      <c r="F33" s="22"/>
      <c r="G33" s="22"/>
      <c r="H33" s="22"/>
      <c r="I33" s="22"/>
      <c r="J33" s="22"/>
      <c r="K33" s="22"/>
      <c r="L33" s="22"/>
      <c r="M33" s="22"/>
      <c r="N33" s="22"/>
      <c r="O33" s="22"/>
      <c r="P33" s="22"/>
      <c r="Q33" s="22"/>
      <c r="R33" s="22"/>
      <c r="S33" s="22"/>
    </row>
    <row r="34" customFormat="false" ht="15" hidden="false" customHeight="false" outlineLevel="0" collapsed="false">
      <c r="A34" s="22"/>
      <c r="B34" s="22"/>
      <c r="C34" s="22"/>
      <c r="D34" s="22"/>
      <c r="E34" s="22"/>
      <c r="F34" s="22"/>
      <c r="G34" s="22"/>
      <c r="H34" s="22"/>
      <c r="I34" s="22"/>
      <c r="J34" s="22"/>
      <c r="K34" s="22"/>
      <c r="L34" s="22"/>
      <c r="M34" s="22"/>
      <c r="N34" s="22"/>
      <c r="O34" s="22"/>
      <c r="P34" s="22"/>
      <c r="Q34" s="22"/>
      <c r="R34" s="22"/>
      <c r="S34" s="22"/>
    </row>
  </sheetData>
  <mergeCells count="2">
    <mergeCell ref="A1:S1"/>
    <mergeCell ref="A2:S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9" min="2" style="0" width="13"/>
    <col collapsed="false" customWidth="true" hidden="false" outlineLevel="0" max="10" min="10" style="0" width="16"/>
  </cols>
  <sheetData>
    <row r="1" customFormat="false" ht="17.35" hidden="false" customHeight="false" outlineLevel="0" collapsed="false">
      <c r="A1" s="1" t="s">
        <v>204</v>
      </c>
      <c r="B1" s="1"/>
      <c r="C1" s="1"/>
      <c r="D1" s="1"/>
      <c r="E1" s="1"/>
      <c r="F1" s="1"/>
      <c r="G1" s="1"/>
      <c r="H1" s="1"/>
      <c r="I1" s="1"/>
      <c r="J1" s="1"/>
    </row>
    <row r="2" customFormat="false" ht="15" hidden="false" customHeight="false" outlineLevel="0" collapsed="false">
      <c r="A2" s="2" t="s">
        <v>205</v>
      </c>
      <c r="B2" s="2"/>
      <c r="C2" s="2"/>
      <c r="D2" s="2"/>
      <c r="E2" s="2"/>
      <c r="F2" s="2"/>
      <c r="G2" s="2"/>
      <c r="H2" s="2"/>
      <c r="I2" s="2"/>
      <c r="J2" s="2"/>
    </row>
    <row r="4" customFormat="false" ht="26.85" hidden="false" customHeight="false" outlineLevel="0" collapsed="false">
      <c r="A4" s="23" t="s">
        <v>2</v>
      </c>
      <c r="B4" s="24" t="s">
        <v>206</v>
      </c>
      <c r="C4" s="24" t="s">
        <v>207</v>
      </c>
      <c r="D4" s="24" t="s">
        <v>208</v>
      </c>
      <c r="E4" s="24" t="s">
        <v>209</v>
      </c>
      <c r="F4" s="24" t="s">
        <v>210</v>
      </c>
      <c r="G4" s="24" t="s">
        <v>211</v>
      </c>
      <c r="H4" s="24" t="s">
        <v>212</v>
      </c>
      <c r="I4" s="24" t="s">
        <v>213</v>
      </c>
      <c r="J4" s="25" t="s">
        <v>214</v>
      </c>
    </row>
    <row r="5" customFormat="false" ht="15" hidden="false" customHeight="false" outlineLevel="0" collapsed="false">
      <c r="A5" s="26" t="s">
        <v>11</v>
      </c>
      <c r="B5" s="27" t="n">
        <f aca="false">IF(COUNTIFS(Rechnungsjournal!$G$5:$G$34,$A5,Rechnungsjournal!$B$5:$B$34,"&gt;="&amp;DATE(2026,5,1),Rechnungsjournal!$B$5:$B$34,"&lt;"&amp;DATE(2026,6,1))=0,"",SUMIFS(Rechnungsjournal!$N$5:$N$34,Rechnungsjournal!$G$5:$G$34,$A5,Rechnungsjournal!$B$5:$B$34,"&gt;="&amp;DATE(2026,5,1),Rechnungsjournal!$B$5:$B$34,"&lt;"&amp;DATE(2026,6,1)))</f>
        <v>25</v>
      </c>
      <c r="C5" s="27" t="n">
        <f aca="false">IF(COUNTIFS(Rechnungsjournal!$G$5:$G$34,$A5,Rechnungsjournal!$B$5:$B$34,"&gt;="&amp;DATE(2026,6,1),Rechnungsjournal!$B$5:$B$34,"&lt;"&amp;DATE(2026,7,1))=0,"",SUMIFS(Rechnungsjournal!$N$5:$N$34,Rechnungsjournal!$G$5:$G$34,$A5,Rechnungsjournal!$B$5:$B$34,"&gt;="&amp;DATE(2026,6,1),Rechnungsjournal!$B$5:$B$34,"&lt;"&amp;DATE(2026,7,1)))</f>
        <v>49.97</v>
      </c>
      <c r="D5" s="27" t="n">
        <f aca="false">IF(COUNTIFS(Rechnungsjournal!$G$5:$G$34,$A5,Rechnungsjournal!$B$5:$B$34,"&gt;="&amp;DATE(2026,7,1),Rechnungsjournal!$B$5:$B$34,"&lt;"&amp;DATE(2026,8,1))=0,"",SUMIFS(Rechnungsjournal!$N$5:$N$34,Rechnungsjournal!$G$5:$G$34,$A5,Rechnungsjournal!$B$5:$B$34,"&gt;="&amp;DATE(2026,7,1),Rechnungsjournal!$B$5:$B$34,"&lt;"&amp;DATE(2026,8,1)))</f>
        <v>54.3</v>
      </c>
      <c r="E5" s="27" t="n">
        <f aca="false">IF(COUNTIFS(Rechnungsjournal!$G$5:$G$34,$A5,Rechnungsjournal!$B$5:$B$34,"&gt;="&amp;DATE(2026,8,1),Rechnungsjournal!$B$5:$B$34,"&lt;"&amp;DATE(2026,9,1))=0,"",SUMIFS(Rechnungsjournal!$N$5:$N$34,Rechnungsjournal!$G$5:$G$34,$A5,Rechnungsjournal!$B$5:$B$34,"&gt;="&amp;DATE(2026,8,1),Rechnungsjournal!$B$5:$B$34,"&lt;"&amp;DATE(2026,9,1)))</f>
        <v>53.83</v>
      </c>
      <c r="F5" s="27" t="str">
        <f aca="false">IF(COUNTIFS(Rechnungsjournal!$G$5:$G$34,$A5,Rechnungsjournal!$B$5:$B$34,"&gt;="&amp;DATE(2026,9,1),Rechnungsjournal!$B$5:$B$34,"&lt;"&amp;DATE(2026,10,1))=0,"",SUMIFS(Rechnungsjournal!$N$5:$N$34,Rechnungsjournal!$G$5:$G$34,$A5,Rechnungsjournal!$B$5:$B$34,"&gt;="&amp;DATE(2026,9,1),Rechnungsjournal!$B$5:$B$34,"&lt;"&amp;DATE(2026,10,1)))</f>
        <v/>
      </c>
      <c r="G5" s="27" t="str">
        <f aca="false">IF(COUNTIFS(Rechnungsjournal!$G$5:$G$34,$A5,Rechnungsjournal!$B$5:$B$34,"&gt;="&amp;DATE(2026,10,1),Rechnungsjournal!$B$5:$B$34,"&lt;"&amp;DATE(2026,11,1))=0,"",SUMIFS(Rechnungsjournal!$N$5:$N$34,Rechnungsjournal!$G$5:$G$34,$A5,Rechnungsjournal!$B$5:$B$34,"&gt;="&amp;DATE(2026,10,1),Rechnungsjournal!$B$5:$B$34,"&lt;"&amp;DATE(2026,11,1)))</f>
        <v/>
      </c>
      <c r="H5" s="27" t="str">
        <f aca="false">IF(COUNTIFS(Rechnungsjournal!$G$5:$G$34,$A5,Rechnungsjournal!$B$5:$B$34,"&gt;="&amp;DATE(2026,11,1),Rechnungsjournal!$B$5:$B$34,"&lt;"&amp;DATE(2026,12,1))=0,"",SUMIFS(Rechnungsjournal!$N$5:$N$34,Rechnungsjournal!$G$5:$G$34,$A5,Rechnungsjournal!$B$5:$B$34,"&gt;="&amp;DATE(2026,11,1),Rechnungsjournal!$B$5:$B$34,"&lt;"&amp;DATE(2026,12,1)))</f>
        <v/>
      </c>
      <c r="I5" s="27" t="str">
        <f aca="false">IF(COUNTIFS(Rechnungsjournal!$G$5:$G$34,$A5,Rechnungsjournal!$B$5:$B$34,"&gt;="&amp;DATE(2026,12,1),Rechnungsjournal!$B$5:$B$34,"&lt;"&amp;DATE(2027,1,1))=0,"",SUMIFS(Rechnungsjournal!$N$5:$N$34,Rechnungsjournal!$G$5:$G$34,$A5,Rechnungsjournal!$B$5:$B$34,"&gt;="&amp;DATE(2026,12,1),Rechnungsjournal!$B$5:$B$34,"&lt;"&amp;DATE(2027,1,1)))</f>
        <v/>
      </c>
      <c r="J5" s="28" t="n">
        <f aca="false">SUM(B5:I5)</f>
        <v>183.1</v>
      </c>
    </row>
    <row r="6" customFormat="false" ht="15" hidden="false" customHeight="false" outlineLevel="0" collapsed="false">
      <c r="A6" s="26" t="s">
        <v>19</v>
      </c>
      <c r="B6" s="27" t="n">
        <f aca="false">IF(COUNTIFS(Rechnungsjournal!$G$5:$G$34,$A6,Rechnungsjournal!$B$5:$B$34,"&gt;="&amp;DATE(2026,5,1),Rechnungsjournal!$B$5:$B$34,"&lt;"&amp;DATE(2026,6,1))=0,"",SUMIFS(Rechnungsjournal!$N$5:$N$34,Rechnungsjournal!$G$5:$G$34,$A6,Rechnungsjournal!$B$5:$B$34,"&gt;="&amp;DATE(2026,5,1),Rechnungsjournal!$B$5:$B$34,"&lt;"&amp;DATE(2026,6,1)))</f>
        <v>23.8</v>
      </c>
      <c r="C6" s="27" t="n">
        <f aca="false">IF(COUNTIFS(Rechnungsjournal!$G$5:$G$34,$A6,Rechnungsjournal!$B$5:$B$34,"&gt;="&amp;DATE(2026,6,1),Rechnungsjournal!$B$5:$B$34,"&lt;"&amp;DATE(2026,7,1))=0,"",SUMIFS(Rechnungsjournal!$N$5:$N$34,Rechnungsjournal!$G$5:$G$34,$A6,Rechnungsjournal!$B$5:$B$34,"&gt;="&amp;DATE(2026,6,1),Rechnungsjournal!$B$5:$B$34,"&lt;"&amp;DATE(2026,7,1)))</f>
        <v>23.8</v>
      </c>
      <c r="D6" s="27" t="n">
        <f aca="false">IF(COUNTIFS(Rechnungsjournal!$G$5:$G$34,$A6,Rechnungsjournal!$B$5:$B$34,"&gt;="&amp;DATE(2026,7,1),Rechnungsjournal!$B$5:$B$34,"&lt;"&amp;DATE(2026,8,1))=0,"",SUMIFS(Rechnungsjournal!$N$5:$N$34,Rechnungsjournal!$G$5:$G$34,$A6,Rechnungsjournal!$B$5:$B$34,"&gt;="&amp;DATE(2026,7,1),Rechnungsjournal!$B$5:$B$34,"&lt;"&amp;DATE(2026,8,1)))</f>
        <v>23.8</v>
      </c>
      <c r="E6" s="27" t="n">
        <f aca="false">IF(COUNTIFS(Rechnungsjournal!$G$5:$G$34,$A6,Rechnungsjournal!$B$5:$B$34,"&gt;="&amp;DATE(2026,8,1),Rechnungsjournal!$B$5:$B$34,"&lt;"&amp;DATE(2026,9,1))=0,"",SUMIFS(Rechnungsjournal!$N$5:$N$34,Rechnungsjournal!$G$5:$G$34,$A6,Rechnungsjournal!$B$5:$B$34,"&gt;="&amp;DATE(2026,8,1),Rechnungsjournal!$B$5:$B$34,"&lt;"&amp;DATE(2026,9,1)))</f>
        <v>23.8</v>
      </c>
      <c r="F6" s="27" t="str">
        <f aca="false">IF(COUNTIFS(Rechnungsjournal!$G$5:$G$34,$A6,Rechnungsjournal!$B$5:$B$34,"&gt;="&amp;DATE(2026,9,1),Rechnungsjournal!$B$5:$B$34,"&lt;"&amp;DATE(2026,10,1))=0,"",SUMIFS(Rechnungsjournal!$N$5:$N$34,Rechnungsjournal!$G$5:$G$34,$A6,Rechnungsjournal!$B$5:$B$34,"&gt;="&amp;DATE(2026,9,1),Rechnungsjournal!$B$5:$B$34,"&lt;"&amp;DATE(2026,10,1)))</f>
        <v/>
      </c>
      <c r="G6" s="27" t="str">
        <f aca="false">IF(COUNTIFS(Rechnungsjournal!$G$5:$G$34,$A6,Rechnungsjournal!$B$5:$B$34,"&gt;="&amp;DATE(2026,10,1),Rechnungsjournal!$B$5:$B$34,"&lt;"&amp;DATE(2026,11,1))=0,"",SUMIFS(Rechnungsjournal!$N$5:$N$34,Rechnungsjournal!$G$5:$G$34,$A6,Rechnungsjournal!$B$5:$B$34,"&gt;="&amp;DATE(2026,10,1),Rechnungsjournal!$B$5:$B$34,"&lt;"&amp;DATE(2026,11,1)))</f>
        <v/>
      </c>
      <c r="H6" s="27" t="str">
        <f aca="false">IF(COUNTIFS(Rechnungsjournal!$G$5:$G$34,$A6,Rechnungsjournal!$B$5:$B$34,"&gt;="&amp;DATE(2026,11,1),Rechnungsjournal!$B$5:$B$34,"&lt;"&amp;DATE(2026,12,1))=0,"",SUMIFS(Rechnungsjournal!$N$5:$N$34,Rechnungsjournal!$G$5:$G$34,$A6,Rechnungsjournal!$B$5:$B$34,"&gt;="&amp;DATE(2026,11,1),Rechnungsjournal!$B$5:$B$34,"&lt;"&amp;DATE(2026,12,1)))</f>
        <v/>
      </c>
      <c r="I6" s="27" t="str">
        <f aca="false">IF(COUNTIFS(Rechnungsjournal!$G$5:$G$34,$A6,Rechnungsjournal!$B$5:$B$34,"&gt;="&amp;DATE(2026,12,1),Rechnungsjournal!$B$5:$B$34,"&lt;"&amp;DATE(2027,1,1))=0,"",SUMIFS(Rechnungsjournal!$N$5:$N$34,Rechnungsjournal!$G$5:$G$34,$A6,Rechnungsjournal!$B$5:$B$34,"&gt;="&amp;DATE(2026,12,1),Rechnungsjournal!$B$5:$B$34,"&lt;"&amp;DATE(2027,1,1)))</f>
        <v/>
      </c>
      <c r="J6" s="28" t="n">
        <f aca="false">SUM(B6:I6)</f>
        <v>95.2</v>
      </c>
    </row>
    <row r="7" customFormat="false" ht="15" hidden="false" customHeight="false" outlineLevel="0" collapsed="false">
      <c r="A7" s="26" t="s">
        <v>26</v>
      </c>
      <c r="B7" s="27" t="str">
        <f aca="false">IF(COUNTIFS(Rechnungsjournal!$G$5:$G$34,$A7,Rechnungsjournal!$B$5:$B$34,"&gt;="&amp;DATE(2026,5,1),Rechnungsjournal!$B$5:$B$34,"&lt;"&amp;DATE(2026,6,1))=0,"",SUMIFS(Rechnungsjournal!$N$5:$N$34,Rechnungsjournal!$G$5:$G$34,$A7,Rechnungsjournal!$B$5:$B$34,"&gt;="&amp;DATE(2026,5,1),Rechnungsjournal!$B$5:$B$34,"&lt;"&amp;DATE(2026,6,1)))</f>
        <v/>
      </c>
      <c r="C7" s="27" t="str">
        <f aca="false">IF(COUNTIFS(Rechnungsjournal!$G$5:$G$34,$A7,Rechnungsjournal!$B$5:$B$34,"&gt;="&amp;DATE(2026,6,1),Rechnungsjournal!$B$5:$B$34,"&lt;"&amp;DATE(2026,7,1))=0,"",SUMIFS(Rechnungsjournal!$N$5:$N$34,Rechnungsjournal!$G$5:$G$34,$A7,Rechnungsjournal!$B$5:$B$34,"&gt;="&amp;DATE(2026,6,1),Rechnungsjournal!$B$5:$B$34,"&lt;"&amp;DATE(2026,7,1)))</f>
        <v/>
      </c>
      <c r="D7" s="27" t="str">
        <f aca="false">IF(COUNTIFS(Rechnungsjournal!$G$5:$G$34,$A7,Rechnungsjournal!$B$5:$B$34,"&gt;="&amp;DATE(2026,7,1),Rechnungsjournal!$B$5:$B$34,"&lt;"&amp;DATE(2026,8,1))=0,"",SUMIFS(Rechnungsjournal!$N$5:$N$34,Rechnungsjournal!$G$5:$G$34,$A7,Rechnungsjournal!$B$5:$B$34,"&gt;="&amp;DATE(2026,7,1),Rechnungsjournal!$B$5:$B$34,"&lt;"&amp;DATE(2026,8,1)))</f>
        <v/>
      </c>
      <c r="E7" s="27" t="n">
        <f aca="false">IF(COUNTIFS(Rechnungsjournal!$G$5:$G$34,$A7,Rechnungsjournal!$B$5:$B$34,"&gt;="&amp;DATE(2026,8,1),Rechnungsjournal!$B$5:$B$34,"&lt;"&amp;DATE(2026,9,1))=0,"",SUMIFS(Rechnungsjournal!$N$5:$N$34,Rechnungsjournal!$G$5:$G$34,$A7,Rechnungsjournal!$B$5:$B$34,"&gt;="&amp;DATE(2026,8,1),Rechnungsjournal!$B$5:$B$34,"&lt;"&amp;DATE(2026,9,1)))</f>
        <v>53.55</v>
      </c>
      <c r="F7" s="27" t="str">
        <f aca="false">IF(COUNTIFS(Rechnungsjournal!$G$5:$G$34,$A7,Rechnungsjournal!$B$5:$B$34,"&gt;="&amp;DATE(2026,9,1),Rechnungsjournal!$B$5:$B$34,"&lt;"&amp;DATE(2026,10,1))=0,"",SUMIFS(Rechnungsjournal!$N$5:$N$34,Rechnungsjournal!$G$5:$G$34,$A7,Rechnungsjournal!$B$5:$B$34,"&gt;="&amp;DATE(2026,9,1),Rechnungsjournal!$B$5:$B$34,"&lt;"&amp;DATE(2026,10,1)))</f>
        <v/>
      </c>
      <c r="G7" s="27" t="str">
        <f aca="false">IF(COUNTIFS(Rechnungsjournal!$G$5:$G$34,$A7,Rechnungsjournal!$B$5:$B$34,"&gt;="&amp;DATE(2026,10,1),Rechnungsjournal!$B$5:$B$34,"&lt;"&amp;DATE(2026,11,1))=0,"",SUMIFS(Rechnungsjournal!$N$5:$N$34,Rechnungsjournal!$G$5:$G$34,$A7,Rechnungsjournal!$B$5:$B$34,"&gt;="&amp;DATE(2026,10,1),Rechnungsjournal!$B$5:$B$34,"&lt;"&amp;DATE(2026,11,1)))</f>
        <v/>
      </c>
      <c r="H7" s="27" t="str">
        <f aca="false">IF(COUNTIFS(Rechnungsjournal!$G$5:$G$34,$A7,Rechnungsjournal!$B$5:$B$34,"&gt;="&amp;DATE(2026,11,1),Rechnungsjournal!$B$5:$B$34,"&lt;"&amp;DATE(2026,12,1))=0,"",SUMIFS(Rechnungsjournal!$N$5:$N$34,Rechnungsjournal!$G$5:$G$34,$A7,Rechnungsjournal!$B$5:$B$34,"&gt;="&amp;DATE(2026,11,1),Rechnungsjournal!$B$5:$B$34,"&lt;"&amp;DATE(2026,12,1)))</f>
        <v/>
      </c>
      <c r="I7" s="27" t="str">
        <f aca="false">IF(COUNTIFS(Rechnungsjournal!$G$5:$G$34,$A7,Rechnungsjournal!$B$5:$B$34,"&gt;="&amp;DATE(2026,12,1),Rechnungsjournal!$B$5:$B$34,"&lt;"&amp;DATE(2027,1,1))=0,"",SUMIFS(Rechnungsjournal!$N$5:$N$34,Rechnungsjournal!$G$5:$G$34,$A7,Rechnungsjournal!$B$5:$B$34,"&gt;="&amp;DATE(2026,12,1),Rechnungsjournal!$B$5:$B$34,"&lt;"&amp;DATE(2027,1,1)))</f>
        <v/>
      </c>
      <c r="J7" s="28" t="n">
        <f aca="false">SUM(B7:I7)</f>
        <v>53.55</v>
      </c>
    </row>
    <row r="8" customFormat="false" ht="15" hidden="false" customHeight="false" outlineLevel="0" collapsed="false">
      <c r="A8" s="26" t="s">
        <v>33</v>
      </c>
      <c r="B8" s="29" t="n">
        <f aca="false">IF(COUNTIFS(Rechnungsjournal!$G$5:$G$34,$A8,Rechnungsjournal!$B$5:$B$34,"&gt;="&amp;DATE(2026,5,1),Rechnungsjournal!$B$5:$B$34,"&lt;"&amp;DATE(2026,6,1))=0,"",SUMIFS(Rechnungsjournal!$N$5:$N$34,Rechnungsjournal!$G$5:$G$34,$A8,Rechnungsjournal!$B$5:$B$34,"&gt;="&amp;DATE(2026,5,1),Rechnungsjournal!$B$5:$B$34,"&lt;"&amp;DATE(2026,6,1)))</f>
        <v>22</v>
      </c>
      <c r="C8" s="29" t="str">
        <f aca="false">IF(COUNTIFS(Rechnungsjournal!$G$5:$G$34,$A8,Rechnungsjournal!$B$5:$B$34,"&gt;="&amp;DATE(2026,6,1),Rechnungsjournal!$B$5:$B$34,"&lt;"&amp;DATE(2026,7,1))=0,"",SUMIFS(Rechnungsjournal!$N$5:$N$34,Rechnungsjournal!$G$5:$G$34,$A8,Rechnungsjournal!$B$5:$B$34,"&gt;="&amp;DATE(2026,6,1),Rechnungsjournal!$B$5:$B$34,"&lt;"&amp;DATE(2026,7,1)))</f>
        <v/>
      </c>
      <c r="D8" s="29" t="str">
        <f aca="false">IF(COUNTIFS(Rechnungsjournal!$G$5:$G$34,$A8,Rechnungsjournal!$B$5:$B$34,"&gt;="&amp;DATE(2026,7,1),Rechnungsjournal!$B$5:$B$34,"&lt;"&amp;DATE(2026,8,1))=0,"",SUMIFS(Rechnungsjournal!$N$5:$N$34,Rechnungsjournal!$G$5:$G$34,$A8,Rechnungsjournal!$B$5:$B$34,"&gt;="&amp;DATE(2026,7,1),Rechnungsjournal!$B$5:$B$34,"&lt;"&amp;DATE(2026,8,1)))</f>
        <v/>
      </c>
      <c r="E8" s="29" t="n">
        <f aca="false">IF(COUNTIFS(Rechnungsjournal!$G$5:$G$34,$A8,Rechnungsjournal!$B$5:$B$34,"&gt;="&amp;DATE(2026,8,1),Rechnungsjournal!$B$5:$B$34,"&lt;"&amp;DATE(2026,9,1))=0,"",SUMIFS(Rechnungsjournal!$N$5:$N$34,Rechnungsjournal!$G$5:$G$34,$A8,Rechnungsjournal!$B$5:$B$34,"&gt;="&amp;DATE(2026,8,1),Rechnungsjournal!$B$5:$B$34,"&lt;"&amp;DATE(2026,9,1)))</f>
        <v>22</v>
      </c>
      <c r="F8" s="29" t="str">
        <f aca="false">IF(COUNTIFS(Rechnungsjournal!$G$5:$G$34,$A8,Rechnungsjournal!$B$5:$B$34,"&gt;="&amp;DATE(2026,9,1),Rechnungsjournal!$B$5:$B$34,"&lt;"&amp;DATE(2026,10,1))=0,"",SUMIFS(Rechnungsjournal!$N$5:$N$34,Rechnungsjournal!$G$5:$G$34,$A8,Rechnungsjournal!$B$5:$B$34,"&gt;="&amp;DATE(2026,9,1),Rechnungsjournal!$B$5:$B$34,"&lt;"&amp;DATE(2026,10,1)))</f>
        <v/>
      </c>
      <c r="G8" s="29" t="str">
        <f aca="false">IF(COUNTIFS(Rechnungsjournal!$G$5:$G$34,$A8,Rechnungsjournal!$B$5:$B$34,"&gt;="&amp;DATE(2026,10,1),Rechnungsjournal!$B$5:$B$34,"&lt;"&amp;DATE(2026,11,1))=0,"",SUMIFS(Rechnungsjournal!$N$5:$N$34,Rechnungsjournal!$G$5:$G$34,$A8,Rechnungsjournal!$B$5:$B$34,"&gt;="&amp;DATE(2026,10,1),Rechnungsjournal!$B$5:$B$34,"&lt;"&amp;DATE(2026,11,1)))</f>
        <v/>
      </c>
      <c r="H8" s="29" t="str">
        <f aca="false">IF(COUNTIFS(Rechnungsjournal!$G$5:$G$34,$A8,Rechnungsjournal!$B$5:$B$34,"&gt;="&amp;DATE(2026,11,1),Rechnungsjournal!$B$5:$B$34,"&lt;"&amp;DATE(2026,12,1))=0,"",SUMIFS(Rechnungsjournal!$N$5:$N$34,Rechnungsjournal!$G$5:$G$34,$A8,Rechnungsjournal!$B$5:$B$34,"&gt;="&amp;DATE(2026,11,1),Rechnungsjournal!$B$5:$B$34,"&lt;"&amp;DATE(2026,12,1)))</f>
        <v/>
      </c>
      <c r="I8" s="29" t="str">
        <f aca="false">IF(COUNTIFS(Rechnungsjournal!$G$5:$G$34,$A8,Rechnungsjournal!$B$5:$B$34,"&gt;="&amp;DATE(2026,12,1),Rechnungsjournal!$B$5:$B$34,"&lt;"&amp;DATE(2027,1,1))=0,"",SUMIFS(Rechnungsjournal!$N$5:$N$34,Rechnungsjournal!$G$5:$G$34,$A8,Rechnungsjournal!$B$5:$B$34,"&gt;="&amp;DATE(2026,12,1),Rechnungsjournal!$B$5:$B$34,"&lt;"&amp;DATE(2027,1,1)))</f>
        <v/>
      </c>
      <c r="J8" s="30" t="n">
        <f aca="false">SUM(B8:I8)</f>
        <v>44</v>
      </c>
    </row>
    <row r="9" customFormat="false" ht="15" hidden="false" customHeight="false" outlineLevel="0" collapsed="false">
      <c r="A9" s="26" t="s">
        <v>41</v>
      </c>
      <c r="B9" s="27" t="str">
        <f aca="false">IF(COUNTIFS(Rechnungsjournal!$G$5:$G$34,$A9,Rechnungsjournal!$B$5:$B$34,"&gt;="&amp;DATE(2026,5,1),Rechnungsjournal!$B$5:$B$34,"&lt;"&amp;DATE(2026,6,1))=0,"",SUMIFS(Rechnungsjournal!$N$5:$N$34,Rechnungsjournal!$G$5:$G$34,$A9,Rechnungsjournal!$B$5:$B$34,"&gt;="&amp;DATE(2026,5,1),Rechnungsjournal!$B$5:$B$34,"&lt;"&amp;DATE(2026,6,1)))</f>
        <v/>
      </c>
      <c r="C9" s="27" t="n">
        <f aca="false">IF(COUNTIFS(Rechnungsjournal!$G$5:$G$34,$A9,Rechnungsjournal!$B$5:$B$34,"&gt;="&amp;DATE(2026,6,1),Rechnungsjournal!$B$5:$B$34,"&lt;"&amp;DATE(2026,7,1))=0,"",SUMIFS(Rechnungsjournal!$N$5:$N$34,Rechnungsjournal!$G$5:$G$34,$A9,Rechnungsjournal!$B$5:$B$34,"&gt;="&amp;DATE(2026,6,1),Rechnungsjournal!$B$5:$B$34,"&lt;"&amp;DATE(2026,7,1)))</f>
        <v>17.85</v>
      </c>
      <c r="D9" s="27" t="str">
        <f aca="false">IF(COUNTIFS(Rechnungsjournal!$G$5:$G$34,$A9,Rechnungsjournal!$B$5:$B$34,"&gt;="&amp;DATE(2026,7,1),Rechnungsjournal!$B$5:$B$34,"&lt;"&amp;DATE(2026,8,1))=0,"",SUMIFS(Rechnungsjournal!$N$5:$N$34,Rechnungsjournal!$G$5:$G$34,$A9,Rechnungsjournal!$B$5:$B$34,"&gt;="&amp;DATE(2026,7,1),Rechnungsjournal!$B$5:$B$34,"&lt;"&amp;DATE(2026,8,1)))</f>
        <v/>
      </c>
      <c r="E9" s="27" t="str">
        <f aca="false">IF(COUNTIFS(Rechnungsjournal!$G$5:$G$34,$A9,Rechnungsjournal!$B$5:$B$34,"&gt;="&amp;DATE(2026,8,1),Rechnungsjournal!$B$5:$B$34,"&lt;"&amp;DATE(2026,9,1))=0,"",SUMIFS(Rechnungsjournal!$N$5:$N$34,Rechnungsjournal!$G$5:$G$34,$A9,Rechnungsjournal!$B$5:$B$34,"&gt;="&amp;DATE(2026,8,1),Rechnungsjournal!$B$5:$B$34,"&lt;"&amp;DATE(2026,9,1)))</f>
        <v/>
      </c>
      <c r="F9" s="27" t="str">
        <f aca="false">IF(COUNTIFS(Rechnungsjournal!$G$5:$G$34,$A9,Rechnungsjournal!$B$5:$B$34,"&gt;="&amp;DATE(2026,9,1),Rechnungsjournal!$B$5:$B$34,"&lt;"&amp;DATE(2026,10,1))=0,"",SUMIFS(Rechnungsjournal!$N$5:$N$34,Rechnungsjournal!$G$5:$G$34,$A9,Rechnungsjournal!$B$5:$B$34,"&gt;="&amp;DATE(2026,9,1),Rechnungsjournal!$B$5:$B$34,"&lt;"&amp;DATE(2026,10,1)))</f>
        <v/>
      </c>
      <c r="G9" s="27" t="str">
        <f aca="false">IF(COUNTIFS(Rechnungsjournal!$G$5:$G$34,$A9,Rechnungsjournal!$B$5:$B$34,"&gt;="&amp;DATE(2026,10,1),Rechnungsjournal!$B$5:$B$34,"&lt;"&amp;DATE(2026,11,1))=0,"",SUMIFS(Rechnungsjournal!$N$5:$N$34,Rechnungsjournal!$G$5:$G$34,$A9,Rechnungsjournal!$B$5:$B$34,"&gt;="&amp;DATE(2026,10,1),Rechnungsjournal!$B$5:$B$34,"&lt;"&amp;DATE(2026,11,1)))</f>
        <v/>
      </c>
      <c r="H9" s="27" t="str">
        <f aca="false">IF(COUNTIFS(Rechnungsjournal!$G$5:$G$34,$A9,Rechnungsjournal!$B$5:$B$34,"&gt;="&amp;DATE(2026,11,1),Rechnungsjournal!$B$5:$B$34,"&lt;"&amp;DATE(2026,12,1))=0,"",SUMIFS(Rechnungsjournal!$N$5:$N$34,Rechnungsjournal!$G$5:$G$34,$A9,Rechnungsjournal!$B$5:$B$34,"&gt;="&amp;DATE(2026,11,1),Rechnungsjournal!$B$5:$B$34,"&lt;"&amp;DATE(2026,12,1)))</f>
        <v/>
      </c>
      <c r="I9" s="27" t="str">
        <f aca="false">IF(COUNTIFS(Rechnungsjournal!$G$5:$G$34,$A9,Rechnungsjournal!$B$5:$B$34,"&gt;="&amp;DATE(2026,12,1),Rechnungsjournal!$B$5:$B$34,"&lt;"&amp;DATE(2027,1,1))=0,"",SUMIFS(Rechnungsjournal!$N$5:$N$34,Rechnungsjournal!$G$5:$G$34,$A9,Rechnungsjournal!$B$5:$B$34,"&gt;="&amp;DATE(2026,12,1),Rechnungsjournal!$B$5:$B$34,"&lt;"&amp;DATE(2027,1,1)))</f>
        <v/>
      </c>
      <c r="J9" s="28" t="n">
        <f aca="false">SUM(B9:I9)</f>
        <v>17.85</v>
      </c>
    </row>
    <row r="10" customFormat="false" ht="15" hidden="false" customHeight="false" outlineLevel="0" collapsed="false">
      <c r="A10" s="26" t="s">
        <v>45</v>
      </c>
      <c r="B10" s="31"/>
      <c r="C10" s="31"/>
      <c r="D10" s="31"/>
      <c r="E10" s="31"/>
      <c r="F10" s="31"/>
      <c r="G10" s="31"/>
      <c r="H10" s="31"/>
      <c r="I10" s="31"/>
      <c r="J10" s="32" t="n">
        <f aca="false">SUM(B10:I10)</f>
        <v>0</v>
      </c>
    </row>
    <row r="11" customFormat="false" ht="15" hidden="false" customHeight="false" outlineLevel="0" collapsed="false">
      <c r="A11" s="26" t="s">
        <v>50</v>
      </c>
      <c r="B11" s="29" t="n">
        <f aca="false">IF(COUNTIFS(Rechnungsjournal!$G$5:$G$34,$A11,Rechnungsjournal!$B$5:$B$34,"&gt;="&amp;DATE(2026,5,1),Rechnungsjournal!$B$5:$B$34,"&lt;"&amp;DATE(2026,6,1))=0,"",SUMIFS(Rechnungsjournal!$N$5:$N$34,Rechnungsjournal!$G$5:$G$34,$A11,Rechnungsjournal!$B$5:$B$34,"&gt;="&amp;DATE(2026,5,1),Rechnungsjournal!$B$5:$B$34,"&lt;"&amp;DATE(2026,6,1)))</f>
        <v>0</v>
      </c>
      <c r="C11" s="29" t="n">
        <f aca="false">IF(COUNTIFS(Rechnungsjournal!$G$5:$G$34,$A11,Rechnungsjournal!$B$5:$B$34,"&gt;="&amp;DATE(2026,6,1),Rechnungsjournal!$B$5:$B$34,"&lt;"&amp;DATE(2026,7,1))=0,"",SUMIFS(Rechnungsjournal!$N$5:$N$34,Rechnungsjournal!$G$5:$G$34,$A11,Rechnungsjournal!$B$5:$B$34,"&gt;="&amp;DATE(2026,6,1),Rechnungsjournal!$B$5:$B$34,"&lt;"&amp;DATE(2026,7,1)))</f>
        <v>15.5</v>
      </c>
      <c r="D11" s="29" t="n">
        <f aca="false">IF(COUNTIFS(Rechnungsjournal!$G$5:$G$34,$A11,Rechnungsjournal!$B$5:$B$34,"&gt;="&amp;DATE(2026,7,1),Rechnungsjournal!$B$5:$B$34,"&lt;"&amp;DATE(2026,8,1))=0,"",SUMIFS(Rechnungsjournal!$N$5:$N$34,Rechnungsjournal!$G$5:$G$34,$A11,Rechnungsjournal!$B$5:$B$34,"&gt;="&amp;DATE(2026,7,1),Rechnungsjournal!$B$5:$B$34,"&lt;"&amp;DATE(2026,8,1)))</f>
        <v>2.5</v>
      </c>
      <c r="E11" s="29" t="n">
        <f aca="false">IF(COUNTIFS(Rechnungsjournal!$G$5:$G$34,$A11,Rechnungsjournal!$B$5:$B$34,"&gt;="&amp;DATE(2026,8,1),Rechnungsjournal!$B$5:$B$34,"&lt;"&amp;DATE(2026,9,1))=0,"",SUMIFS(Rechnungsjournal!$N$5:$N$34,Rechnungsjournal!$G$5:$G$34,$A11,Rechnungsjournal!$B$5:$B$34,"&gt;="&amp;DATE(2026,8,1),Rechnungsjournal!$B$5:$B$34,"&lt;"&amp;DATE(2026,9,1)))</f>
        <v>2.5</v>
      </c>
      <c r="F11" s="29" t="str">
        <f aca="false">IF(COUNTIFS(Rechnungsjournal!$G$5:$G$34,$A11,Rechnungsjournal!$B$5:$B$34,"&gt;="&amp;DATE(2026,9,1),Rechnungsjournal!$B$5:$B$34,"&lt;"&amp;DATE(2026,10,1))=0,"",SUMIFS(Rechnungsjournal!$N$5:$N$34,Rechnungsjournal!$G$5:$G$34,$A11,Rechnungsjournal!$B$5:$B$34,"&gt;="&amp;DATE(2026,9,1),Rechnungsjournal!$B$5:$B$34,"&lt;"&amp;DATE(2026,10,1)))</f>
        <v/>
      </c>
      <c r="G11" s="29" t="str">
        <f aca="false">IF(COUNTIFS(Rechnungsjournal!$G$5:$G$34,$A11,Rechnungsjournal!$B$5:$B$34,"&gt;="&amp;DATE(2026,10,1),Rechnungsjournal!$B$5:$B$34,"&lt;"&amp;DATE(2026,11,1))=0,"",SUMIFS(Rechnungsjournal!$N$5:$N$34,Rechnungsjournal!$G$5:$G$34,$A11,Rechnungsjournal!$B$5:$B$34,"&gt;="&amp;DATE(2026,10,1),Rechnungsjournal!$B$5:$B$34,"&lt;"&amp;DATE(2026,11,1)))</f>
        <v/>
      </c>
      <c r="H11" s="29" t="str">
        <f aca="false">IF(COUNTIFS(Rechnungsjournal!$G$5:$G$34,$A11,Rechnungsjournal!$B$5:$B$34,"&gt;="&amp;DATE(2026,11,1),Rechnungsjournal!$B$5:$B$34,"&lt;"&amp;DATE(2026,12,1))=0,"",SUMIFS(Rechnungsjournal!$N$5:$N$34,Rechnungsjournal!$G$5:$G$34,$A11,Rechnungsjournal!$B$5:$B$34,"&gt;="&amp;DATE(2026,11,1),Rechnungsjournal!$B$5:$B$34,"&lt;"&amp;DATE(2026,12,1)))</f>
        <v/>
      </c>
      <c r="I11" s="29" t="str">
        <f aca="false">IF(COUNTIFS(Rechnungsjournal!$G$5:$G$34,$A11,Rechnungsjournal!$B$5:$B$34,"&gt;="&amp;DATE(2026,12,1),Rechnungsjournal!$B$5:$B$34,"&lt;"&amp;DATE(2027,1,1))=0,"",SUMIFS(Rechnungsjournal!$N$5:$N$34,Rechnungsjournal!$G$5:$G$34,$A11,Rechnungsjournal!$B$5:$B$34,"&gt;="&amp;DATE(2026,12,1),Rechnungsjournal!$B$5:$B$34,"&lt;"&amp;DATE(2027,1,1)))</f>
        <v/>
      </c>
      <c r="J11" s="30" t="n">
        <f aca="false">SUM(B11:I11)</f>
        <v>20.5</v>
      </c>
    </row>
    <row r="12" customFormat="false" ht="15" hidden="false" customHeight="false" outlineLevel="0" collapsed="false">
      <c r="A12" s="26" t="s">
        <v>56</v>
      </c>
      <c r="B12" s="31"/>
      <c r="C12" s="31"/>
      <c r="D12" s="31"/>
      <c r="E12" s="31"/>
      <c r="F12" s="31"/>
      <c r="G12" s="31"/>
      <c r="H12" s="31"/>
      <c r="I12" s="31"/>
      <c r="J12" s="32" t="n">
        <f aca="false">SUM(B12:I12)</f>
        <v>0</v>
      </c>
    </row>
    <row r="13" customFormat="false" ht="15" hidden="false" customHeight="false" outlineLevel="0" collapsed="false">
      <c r="A13" s="26" t="s">
        <v>59</v>
      </c>
      <c r="B13" s="31"/>
      <c r="C13" s="31"/>
      <c r="D13" s="31"/>
      <c r="E13" s="31"/>
      <c r="F13" s="31"/>
      <c r="G13" s="31"/>
      <c r="H13" s="31"/>
      <c r="I13" s="31"/>
      <c r="J13" s="32" t="n">
        <f aca="false">SUM(B13:I13)</f>
        <v>0</v>
      </c>
    </row>
    <row r="14" customFormat="false" ht="15" hidden="false" customHeight="false" outlineLevel="0" collapsed="false">
      <c r="A14" s="26" t="s">
        <v>64</v>
      </c>
      <c r="B14" s="31"/>
      <c r="C14" s="31"/>
      <c r="D14" s="31"/>
      <c r="E14" s="31"/>
      <c r="F14" s="31"/>
      <c r="G14" s="31"/>
      <c r="H14" s="31"/>
      <c r="I14" s="31"/>
      <c r="J14" s="32" t="n">
        <f aca="false">SUM(B14:I14)</f>
        <v>0</v>
      </c>
    </row>
    <row r="16" customFormat="false" ht="15" hidden="false" customHeight="false" outlineLevel="0" collapsed="false">
      <c r="A16" s="13" t="s">
        <v>215</v>
      </c>
      <c r="B16" s="15" t="n">
        <f aca="false">IF(B5="",0,B5)+IF(B6="",0,B6)+IF(B7="",0,B7)+IF(B9="",0,B9)</f>
        <v>48.8</v>
      </c>
      <c r="C16" s="15" t="n">
        <f aca="false">IF(C5="",0,C5)+IF(C6="",0,C6)+IF(C7="",0,C7)+IF(C9="",0,C9)</f>
        <v>91.62</v>
      </c>
      <c r="D16" s="15" t="n">
        <f aca="false">IF(D5="",0,D5)+IF(D6="",0,D6)+IF(D7="",0,D7)+IF(D9="",0,D9)</f>
        <v>78.1</v>
      </c>
      <c r="E16" s="15" t="n">
        <f aca="false">IF(E5="",0,E5)+IF(E6="",0,E6)+IF(E7="",0,E7)+IF(E9="",0,E9)</f>
        <v>131.18</v>
      </c>
      <c r="F16" s="15" t="n">
        <f aca="false">IF(F5="",0,F5)+IF(F6="",0,F6)+IF(F7="",0,F7)+IF(F9="",0,F9)</f>
        <v>0</v>
      </c>
      <c r="G16" s="15" t="n">
        <f aca="false">IF(G5="",0,G5)+IF(G6="",0,G6)+IF(G7="",0,G7)+IF(G9="",0,G9)</f>
        <v>0</v>
      </c>
      <c r="H16" s="15" t="n">
        <f aca="false">IF(H5="",0,H5)+IF(H6="",0,H6)+IF(H7="",0,H7)+IF(H9="",0,H9)</f>
        <v>0</v>
      </c>
      <c r="I16" s="15" t="n">
        <f aca="false">IF(I5="",0,I5)+IF(I6="",0,I6)+IF(I7="",0,I7)+IF(I9="",0,I9)</f>
        <v>0</v>
      </c>
      <c r="J16" s="33"/>
    </row>
    <row r="17" customFormat="false" ht="15" hidden="false" customHeight="false" outlineLevel="0" collapsed="false">
      <c r="A17" s="13" t="s">
        <v>216</v>
      </c>
      <c r="B17" s="16" t="n">
        <f aca="false">IF(B8="",0,B8)+IF(B11="",0,B11)</f>
        <v>22</v>
      </c>
      <c r="C17" s="16" t="n">
        <f aca="false">IF(C8="",0,C8)+IF(C11="",0,C11)</f>
        <v>15.5</v>
      </c>
      <c r="D17" s="16" t="n">
        <f aca="false">IF(D8="",0,D8)+IF(D11="",0,D11)</f>
        <v>2.5</v>
      </c>
      <c r="E17" s="16" t="n">
        <f aca="false">IF(E8="",0,E8)+IF(E11="",0,E11)</f>
        <v>24.5</v>
      </c>
      <c r="F17" s="16" t="n">
        <f aca="false">IF(F8="",0,F8)+IF(F11="",0,F11)</f>
        <v>0</v>
      </c>
      <c r="G17" s="16" t="n">
        <f aca="false">IF(G8="",0,G8)+IF(G11="",0,G11)</f>
        <v>0</v>
      </c>
      <c r="H17" s="16" t="n">
        <f aca="false">IF(H8="",0,H8)+IF(H11="",0,H11)</f>
        <v>0</v>
      </c>
      <c r="I17" s="16" t="n">
        <f aca="false">IF(I8="",0,I8)+IF(I11="",0,I11)</f>
        <v>0</v>
      </c>
      <c r="J17" s="33"/>
    </row>
  </sheetData>
  <mergeCells count="2">
    <mergeCell ref="A1:J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5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3" min="2" style="0" width="13"/>
    <col collapsed="false" customWidth="true" hidden="false" outlineLevel="0" max="6" min="4" style="0" width="15"/>
    <col collapsed="false" customWidth="true" hidden="false" outlineLevel="0" max="7" min="7" style="0" width="30"/>
  </cols>
  <sheetData>
    <row r="1" customFormat="false" ht="17.35" hidden="false" customHeight="false" outlineLevel="0" collapsed="false">
      <c r="A1" s="34" t="s">
        <v>217</v>
      </c>
    </row>
    <row r="2" customFormat="false" ht="15" hidden="false" customHeight="true" outlineLevel="0" collapsed="false">
      <c r="A2" s="35" t="s">
        <v>218</v>
      </c>
      <c r="B2" s="35"/>
      <c r="C2" s="35"/>
      <c r="D2" s="35"/>
      <c r="E2" s="35"/>
      <c r="F2" s="35"/>
      <c r="G2" s="35"/>
    </row>
    <row r="3" customFormat="false" ht="15" hidden="false" customHeight="false" outlineLevel="0" collapsed="false">
      <c r="A3" s="35"/>
      <c r="B3" s="35"/>
      <c r="C3" s="35"/>
      <c r="D3" s="35"/>
      <c r="E3" s="35"/>
      <c r="F3" s="35"/>
      <c r="G3" s="35"/>
    </row>
    <row r="5" customFormat="false" ht="15" hidden="false" customHeight="false" outlineLevel="0" collapsed="false">
      <c r="A5" s="36" t="s">
        <v>219</v>
      </c>
    </row>
    <row r="6" customFormat="false" ht="15" hidden="false" customHeight="false" outlineLevel="0" collapsed="false">
      <c r="A6" s="23" t="s">
        <v>220</v>
      </c>
      <c r="B6" s="23" t="s">
        <v>221</v>
      </c>
      <c r="C6" s="23" t="s">
        <v>222</v>
      </c>
      <c r="D6" s="23" t="s">
        <v>223</v>
      </c>
      <c r="E6" s="23"/>
      <c r="F6" s="23"/>
      <c r="G6" s="23"/>
    </row>
    <row r="7" customFormat="false" ht="128.35" hidden="false" customHeight="true" outlineLevel="0" collapsed="false">
      <c r="A7" s="26" t="s">
        <v>224</v>
      </c>
      <c r="B7" s="37" t="n">
        <v>2.5</v>
      </c>
      <c r="C7" s="26" t="s">
        <v>225</v>
      </c>
      <c r="D7" s="38" t="s">
        <v>226</v>
      </c>
      <c r="E7" s="38"/>
      <c r="F7" s="38"/>
      <c r="G7" s="38"/>
    </row>
    <row r="8" customFormat="false" ht="26.85" hidden="false" customHeight="true" outlineLevel="0" collapsed="false">
      <c r="A8" s="26" t="s">
        <v>227</v>
      </c>
      <c r="B8" s="37" t="n">
        <v>0.86</v>
      </c>
      <c r="C8" s="26" t="s">
        <v>228</v>
      </c>
      <c r="D8" s="38" t="s">
        <v>229</v>
      </c>
      <c r="E8" s="38"/>
      <c r="F8" s="38"/>
      <c r="G8" s="38"/>
    </row>
    <row r="9" customFormat="false" ht="64.9" hidden="false" customHeight="true" outlineLevel="0" collapsed="false">
      <c r="A9" s="26" t="s">
        <v>230</v>
      </c>
      <c r="B9" s="39" t="n">
        <v>0.015</v>
      </c>
      <c r="C9" s="26" t="s">
        <v>231</v>
      </c>
      <c r="D9" s="38" t="s">
        <v>232</v>
      </c>
      <c r="E9" s="38"/>
      <c r="F9" s="38"/>
      <c r="G9" s="38"/>
    </row>
    <row r="10" customFormat="false" ht="15" hidden="false" customHeight="true" outlineLevel="0" collapsed="false">
      <c r="A10" s="26" t="s">
        <v>233</v>
      </c>
      <c r="B10" s="37" t="n">
        <v>0.25</v>
      </c>
      <c r="C10" s="26" t="s">
        <v>234</v>
      </c>
      <c r="D10" s="38" t="s">
        <v>235</v>
      </c>
      <c r="E10" s="38"/>
      <c r="F10" s="38"/>
      <c r="G10" s="38"/>
    </row>
    <row r="11" customFormat="false" ht="15" hidden="false" customHeight="true" outlineLevel="0" collapsed="false">
      <c r="A11" s="26" t="s">
        <v>236</v>
      </c>
      <c r="B11" s="40" t="n">
        <v>29</v>
      </c>
      <c r="C11" s="26" t="s">
        <v>237</v>
      </c>
      <c r="D11" s="38" t="s">
        <v>238</v>
      </c>
      <c r="E11" s="38"/>
      <c r="F11" s="38"/>
      <c r="G11" s="38"/>
    </row>
    <row r="12" customFormat="false" ht="15" hidden="false" customHeight="true" outlineLevel="0" collapsed="false">
      <c r="A12" s="26" t="s">
        <v>239</v>
      </c>
      <c r="B12" s="40" t="n">
        <v>49</v>
      </c>
      <c r="C12" s="26" t="s">
        <v>237</v>
      </c>
      <c r="D12" s="38" t="s">
        <v>238</v>
      </c>
      <c r="E12" s="38"/>
      <c r="F12" s="38"/>
      <c r="G12" s="38"/>
    </row>
    <row r="13" customFormat="false" ht="26.85" hidden="false" customHeight="true" outlineLevel="0" collapsed="false">
      <c r="A13" s="26" t="s">
        <v>240</v>
      </c>
      <c r="B13" s="40" t="n">
        <v>25</v>
      </c>
      <c r="C13" s="26" t="s">
        <v>241</v>
      </c>
      <c r="D13" s="38" t="s">
        <v>242</v>
      </c>
      <c r="E13" s="38"/>
      <c r="F13" s="38"/>
      <c r="G13" s="38"/>
    </row>
    <row r="14" customFormat="false" ht="39.55" hidden="false" customHeight="true" outlineLevel="0" collapsed="false">
      <c r="A14" s="26" t="s">
        <v>243</v>
      </c>
      <c r="B14" s="40" t="n">
        <v>25000</v>
      </c>
      <c r="C14" s="26" t="s">
        <v>244</v>
      </c>
      <c r="D14" s="38" t="s">
        <v>245</v>
      </c>
      <c r="E14" s="38"/>
      <c r="F14" s="38"/>
      <c r="G14" s="38"/>
    </row>
    <row r="15" customFormat="false" ht="15" hidden="false" customHeight="true" outlineLevel="0" collapsed="false">
      <c r="A15" s="26" t="s">
        <v>246</v>
      </c>
      <c r="B15" s="40" t="n">
        <v>100000</v>
      </c>
      <c r="C15" s="26" t="s">
        <v>244</v>
      </c>
      <c r="D15" s="38" t="s">
        <v>247</v>
      </c>
      <c r="E15" s="38"/>
      <c r="F15" s="38"/>
      <c r="G15" s="38"/>
    </row>
    <row r="17" customFormat="false" ht="15" hidden="false" customHeight="false" outlineLevel="0" collapsed="false">
      <c r="A17" s="36" t="s">
        <v>248</v>
      </c>
    </row>
    <row r="18" customFormat="false" ht="15" hidden="false" customHeight="false" outlineLevel="0" collapsed="false">
      <c r="A18" s="23" t="s">
        <v>2</v>
      </c>
      <c r="B18" s="23" t="s">
        <v>249</v>
      </c>
      <c r="C18" s="23" t="s">
        <v>4</v>
      </c>
      <c r="D18" s="23" t="s">
        <v>250</v>
      </c>
      <c r="E18" s="23" t="s">
        <v>251</v>
      </c>
      <c r="F18" s="23"/>
      <c r="G18" s="23"/>
    </row>
    <row r="19" customFormat="false" ht="77.6" hidden="false" customHeight="true" outlineLevel="0" collapsed="false">
      <c r="A19" s="26" t="s">
        <v>11</v>
      </c>
      <c r="B19" s="41" t="n">
        <v>50</v>
      </c>
      <c r="C19" s="26" t="s">
        <v>13</v>
      </c>
      <c r="D19" s="42" t="n">
        <f aca="false">IF(C19="USD",B19*$B$8,B19)</f>
        <v>43</v>
      </c>
      <c r="E19" s="35" t="s">
        <v>252</v>
      </c>
      <c r="F19" s="35"/>
      <c r="G19" s="35"/>
    </row>
    <row r="20" customFormat="false" ht="26.85" hidden="false" customHeight="true" outlineLevel="0" collapsed="false">
      <c r="A20" s="26" t="s">
        <v>19</v>
      </c>
      <c r="B20" s="41" t="n">
        <v>23.8</v>
      </c>
      <c r="C20" s="26" t="s">
        <v>13</v>
      </c>
      <c r="D20" s="42" t="n">
        <f aca="false">IF(C20="USD",B20*$B$8,B20)</f>
        <v>20.468</v>
      </c>
      <c r="E20" s="35" t="s">
        <v>253</v>
      </c>
      <c r="F20" s="35"/>
      <c r="G20" s="35"/>
    </row>
    <row r="21" customFormat="false" ht="39.55" hidden="false" customHeight="true" outlineLevel="0" collapsed="false">
      <c r="A21" s="43" t="s">
        <v>26</v>
      </c>
      <c r="B21" s="44" t="n">
        <v>53.55</v>
      </c>
      <c r="C21" s="43" t="s">
        <v>13</v>
      </c>
      <c r="D21" s="45" t="n">
        <f aca="false">IF(C21="USD",B21*$B$8,B21)</f>
        <v>46.053</v>
      </c>
      <c r="E21" s="46" t="s">
        <v>254</v>
      </c>
      <c r="F21" s="46"/>
      <c r="G21" s="46"/>
    </row>
    <row r="22" customFormat="false" ht="26.85" hidden="false" customHeight="true" outlineLevel="0" collapsed="false">
      <c r="A22" s="26" t="s">
        <v>33</v>
      </c>
      <c r="B22" s="47" t="n">
        <v>22</v>
      </c>
      <c r="C22" s="26" t="s">
        <v>35</v>
      </c>
      <c r="D22" s="42" t="n">
        <f aca="false">IF(C22="USD",B22*$B$8,B22)</f>
        <v>22</v>
      </c>
      <c r="E22" s="35" t="s">
        <v>255</v>
      </c>
      <c r="F22" s="35"/>
      <c r="G22" s="35"/>
    </row>
    <row r="23" customFormat="false" ht="26.85" hidden="false" customHeight="true" outlineLevel="0" collapsed="false">
      <c r="A23" s="26" t="s">
        <v>256</v>
      </c>
      <c r="B23" s="48" t="n">
        <f aca="false">2.5+13/12</f>
        <v>3.58333333333333</v>
      </c>
      <c r="C23" s="26" t="s">
        <v>35</v>
      </c>
      <c r="D23" s="42" t="n">
        <f aca="false">IF(C23="USD",B23*$B$8,B23)</f>
        <v>3.58333333333333</v>
      </c>
      <c r="E23" s="35" t="s">
        <v>257</v>
      </c>
      <c r="F23" s="35"/>
      <c r="G23" s="35"/>
    </row>
    <row r="24" customFormat="false" ht="52.2" hidden="false" customHeight="true" outlineLevel="0" collapsed="false">
      <c r="A24" s="49" t="s">
        <v>258</v>
      </c>
      <c r="B24" s="50" t="n">
        <v>0</v>
      </c>
      <c r="C24" s="49" t="s">
        <v>35</v>
      </c>
      <c r="D24" s="51" t="n">
        <f aca="false">IF(C24="USD",B24*$B$8,B24)</f>
        <v>0</v>
      </c>
      <c r="E24" s="52" t="s">
        <v>259</v>
      </c>
      <c r="F24" s="52"/>
      <c r="G24" s="52"/>
    </row>
    <row r="25" customFormat="false" ht="15" hidden="false" customHeight="false" outlineLevel="0" collapsed="false">
      <c r="A25" s="13" t="s">
        <v>260</v>
      </c>
      <c r="B25" s="14"/>
      <c r="C25" s="14"/>
      <c r="D25" s="16" t="n">
        <f aca="false">SUM(D19:D24)</f>
        <v>135.104333333333</v>
      </c>
      <c r="E25" s="14"/>
      <c r="F25" s="14"/>
      <c r="G25" s="14"/>
    </row>
    <row r="26" customFormat="false" ht="15" hidden="false" customHeight="false" outlineLevel="0" collapsed="false">
      <c r="A26" s="53" t="s">
        <v>261</v>
      </c>
      <c r="D26" s="54" t="n">
        <f aca="false">D25-D21</f>
        <v>89.0513333333333</v>
      </c>
    </row>
    <row r="28" customFormat="false" ht="39.55" hidden="false" customHeight="true" outlineLevel="0" collapsed="false">
      <c r="A28" s="35" t="s">
        <v>262</v>
      </c>
      <c r="B28" s="35"/>
      <c r="C28" s="35"/>
      <c r="D28" s="35"/>
      <c r="E28" s="35"/>
      <c r="F28" s="35"/>
      <c r="G28" s="35"/>
    </row>
    <row r="30" customFormat="false" ht="15" hidden="false" customHeight="false" outlineLevel="0" collapsed="false">
      <c r="A30" s="36" t="s">
        <v>263</v>
      </c>
    </row>
    <row r="31" customFormat="false" ht="15" hidden="false" customHeight="false" outlineLevel="0" collapsed="false">
      <c r="A31" s="2" t="s">
        <v>264</v>
      </c>
      <c r="B31" s="2"/>
      <c r="C31" s="2"/>
      <c r="D31" s="2"/>
      <c r="E31" s="2"/>
      <c r="F31" s="2"/>
      <c r="G31" s="2"/>
    </row>
    <row r="32" customFormat="false" ht="39.55" hidden="false" customHeight="false" outlineLevel="0" collapsed="false">
      <c r="A32" s="3" t="s">
        <v>265</v>
      </c>
      <c r="B32" s="3" t="s">
        <v>266</v>
      </c>
      <c r="C32" s="3" t="s">
        <v>267</v>
      </c>
      <c r="D32" s="3" t="s">
        <v>268</v>
      </c>
      <c r="E32" s="3" t="s">
        <v>269</v>
      </c>
      <c r="F32" s="3" t="s">
        <v>270</v>
      </c>
      <c r="G32" s="3" t="s">
        <v>271</v>
      </c>
    </row>
    <row r="33" customFormat="false" ht="15" hidden="false" customHeight="false" outlineLevel="0" collapsed="false">
      <c r="A33" s="40" t="n">
        <v>3</v>
      </c>
      <c r="B33" s="48" t="n">
        <f aca="false">A33*$B$7/100</f>
        <v>0.075</v>
      </c>
      <c r="C33" s="48" t="n">
        <f aca="false">$B$11*$B$9+$B$10</f>
        <v>0.685</v>
      </c>
      <c r="D33" s="30" t="n">
        <f aca="false">$B$11-B33-C33</f>
        <v>28.24</v>
      </c>
      <c r="E33" s="48" t="n">
        <f aca="false">$B$12*$B$9+$B$10</f>
        <v>0.985</v>
      </c>
      <c r="F33" s="30" t="n">
        <f aca="false">$B$12-B33-E33</f>
        <v>47.94</v>
      </c>
      <c r="G33" s="55" t="s">
        <v>272</v>
      </c>
    </row>
    <row r="34" customFormat="false" ht="26.85" hidden="false" customHeight="false" outlineLevel="0" collapsed="false">
      <c r="A34" s="40" t="n">
        <v>5</v>
      </c>
      <c r="B34" s="48" t="n">
        <f aca="false">A34*$B$7/100</f>
        <v>0.125</v>
      </c>
      <c r="C34" s="48" t="n">
        <f aca="false">$B$11*$B$9+$B$10</f>
        <v>0.685</v>
      </c>
      <c r="D34" s="30" t="n">
        <f aca="false">$B$11-B34-C34</f>
        <v>28.19</v>
      </c>
      <c r="E34" s="48" t="n">
        <f aca="false">$B$12*$B$9+$B$10</f>
        <v>0.985</v>
      </c>
      <c r="F34" s="30" t="n">
        <f aca="false">$B$12-B34-E34</f>
        <v>47.89</v>
      </c>
      <c r="G34" s="55" t="s">
        <v>273</v>
      </c>
    </row>
    <row r="35" customFormat="false" ht="15" hidden="false" customHeight="false" outlineLevel="0" collapsed="false">
      <c r="A35" s="40" t="n">
        <v>8</v>
      </c>
      <c r="B35" s="48" t="n">
        <f aca="false">A35*$B$7/100</f>
        <v>0.2</v>
      </c>
      <c r="C35" s="48" t="n">
        <f aca="false">$B$11*$B$9+$B$10</f>
        <v>0.685</v>
      </c>
      <c r="D35" s="30" t="n">
        <f aca="false">$B$11-B35-C35</f>
        <v>28.115</v>
      </c>
      <c r="E35" s="48" t="n">
        <f aca="false">$B$12*$B$9+$B$10</f>
        <v>0.985</v>
      </c>
      <c r="F35" s="30" t="n">
        <f aca="false">$B$12-B35-E35</f>
        <v>47.815</v>
      </c>
      <c r="G35" s="55" t="s">
        <v>274</v>
      </c>
    </row>
    <row r="36" customFormat="false" ht="39.55" hidden="false" customHeight="false" outlineLevel="0" collapsed="false">
      <c r="A36" s="40" t="n">
        <v>40</v>
      </c>
      <c r="B36" s="48" t="n">
        <f aca="false">A36*$B$7/100</f>
        <v>1</v>
      </c>
      <c r="C36" s="48" t="n">
        <f aca="false">$B$11*$B$9+$B$10</f>
        <v>0.685</v>
      </c>
      <c r="D36" s="30" t="n">
        <f aca="false">$B$11-B36-C36</f>
        <v>27.315</v>
      </c>
      <c r="E36" s="48" t="n">
        <f aca="false">$B$12*$B$9+$B$10</f>
        <v>0.985</v>
      </c>
      <c r="F36" s="30" t="n">
        <f aca="false">$B$12-B36-E36</f>
        <v>47.015</v>
      </c>
      <c r="G36" s="55" t="s">
        <v>275</v>
      </c>
    </row>
    <row r="38" customFormat="false" ht="15" hidden="false" customHeight="false" outlineLevel="0" collapsed="false">
      <c r="A38" s="36" t="s">
        <v>276</v>
      </c>
    </row>
    <row r="39" customFormat="false" ht="15" hidden="false" customHeight="false" outlineLevel="0" collapsed="false">
      <c r="A39" s="2" t="s">
        <v>277</v>
      </c>
      <c r="B39" s="2"/>
      <c r="C39" s="2"/>
      <c r="D39" s="2"/>
      <c r="E39" s="2"/>
      <c r="F39" s="2"/>
      <c r="G39" s="2"/>
    </row>
    <row r="41" customFormat="false" ht="15" hidden="false" customHeight="false" outlineLevel="0" collapsed="false">
      <c r="A41" s="56" t="s">
        <v>260</v>
      </c>
      <c r="B41" s="57" t="n">
        <f aca="false">D25</f>
        <v>135.104333333333</v>
      </c>
    </row>
    <row r="42" customFormat="false" ht="15" hidden="false" customHeight="false" outlineLevel="0" collapsed="false">
      <c r="A42" s="56" t="s">
        <v>278</v>
      </c>
      <c r="B42" s="57" t="n">
        <f aca="false">D34</f>
        <v>28.19</v>
      </c>
    </row>
    <row r="43" customFormat="false" ht="15" hidden="false" customHeight="false" outlineLevel="0" collapsed="false">
      <c r="A43" s="56" t="s">
        <v>279</v>
      </c>
      <c r="B43" s="57" t="n">
        <f aca="false">F34</f>
        <v>47.89</v>
      </c>
    </row>
    <row r="44" customFormat="false" ht="15" hidden="false" customHeight="false" outlineLevel="0" collapsed="false">
      <c r="A44" s="56" t="s">
        <v>280</v>
      </c>
      <c r="B44" s="58" t="n">
        <f aca="false">$B$13*B42</f>
        <v>704.75</v>
      </c>
    </row>
    <row r="45" customFormat="false" ht="15" hidden="false" customHeight="false" outlineLevel="0" collapsed="false">
      <c r="A45" s="56" t="s">
        <v>281</v>
      </c>
      <c r="B45" s="36" t="str">
        <f aca="false">IF(B44&gt;=B41,"Ja","Nein")</f>
        <v>Ja</v>
      </c>
    </row>
    <row r="46" customFormat="false" ht="15" hidden="false" customHeight="false" outlineLevel="0" collapsed="false">
      <c r="A46" s="56" t="s">
        <v>282</v>
      </c>
      <c r="B46" s="59" t="n">
        <f aca="false">ROUNDUP(B41/B42,0)</f>
        <v>5</v>
      </c>
    </row>
    <row r="47" customFormat="false" ht="15" hidden="false" customHeight="false" outlineLevel="0" collapsed="false">
      <c r="A47" s="56" t="s">
        <v>283</v>
      </c>
      <c r="B47" s="56" t="n">
        <f aca="false">IF(B44&gt;=B41,0,ROUNDUP((B41-B44)/B43,0))</f>
        <v>0</v>
      </c>
    </row>
    <row r="48" customFormat="false" ht="15" hidden="false" customHeight="false" outlineLevel="0" collapsed="false">
      <c r="A48" s="13" t="s">
        <v>284</v>
      </c>
      <c r="B48" s="13" t="n">
        <f aca="false">$B$13+B47</f>
        <v>25</v>
      </c>
    </row>
    <row r="49" customFormat="false" ht="39.55" hidden="false" customHeight="true" outlineLevel="0" collapsed="false">
      <c r="A49" s="35" t="s">
        <v>285</v>
      </c>
      <c r="B49" s="35"/>
      <c r="C49" s="35"/>
      <c r="D49" s="35"/>
      <c r="E49" s="35"/>
      <c r="F49" s="35"/>
      <c r="G49" s="35"/>
    </row>
    <row r="51" customFormat="false" ht="15" hidden="false" customHeight="false" outlineLevel="0" collapsed="false">
      <c r="A51" s="2" t="s">
        <v>286</v>
      </c>
      <c r="B51" s="2"/>
      <c r="C51" s="2"/>
      <c r="D51" s="2"/>
      <c r="E51" s="2"/>
      <c r="F51" s="2"/>
      <c r="G51" s="2"/>
    </row>
    <row r="52" customFormat="false" ht="15" hidden="false" customHeight="false" outlineLevel="0" collapsed="false">
      <c r="A52" s="56" t="s">
        <v>287</v>
      </c>
      <c r="B52" s="57" t="n">
        <f aca="false">F36</f>
        <v>47.015</v>
      </c>
    </row>
    <row r="53" customFormat="false" ht="15" hidden="false" customHeight="false" outlineLevel="0" collapsed="false">
      <c r="A53" s="56" t="s">
        <v>288</v>
      </c>
      <c r="B53" s="57" t="n">
        <f aca="false">D36</f>
        <v>27.315</v>
      </c>
    </row>
    <row r="54" customFormat="false" ht="15" hidden="false" customHeight="false" outlineLevel="0" collapsed="false">
      <c r="A54" s="36" t="s">
        <v>289</v>
      </c>
      <c r="B54" s="36" t="str">
        <f aca="false">IF(AND(B52&gt;0,B53&gt;0),"Ja, beide Deckungsbeiträge bleiben positiv","Nein, mind. ein Deckungsbeitrag wird negativ — bitte prüfen")</f>
        <v>Ja, beide Deckungsbeiträge bleiben positiv</v>
      </c>
    </row>
    <row r="56" customFormat="false" ht="39.55" hidden="false" customHeight="true" outlineLevel="0" collapsed="false">
      <c r="A56" s="35" t="s">
        <v>290</v>
      </c>
      <c r="B56" s="35"/>
      <c r="C56" s="35"/>
      <c r="D56" s="35"/>
      <c r="E56" s="35"/>
      <c r="F56" s="35"/>
      <c r="G56" s="35"/>
    </row>
  </sheetData>
  <mergeCells count="24">
    <mergeCell ref="A2:G3"/>
    <mergeCell ref="D6:G6"/>
    <mergeCell ref="D7:G7"/>
    <mergeCell ref="D8:G8"/>
    <mergeCell ref="D9:G9"/>
    <mergeCell ref="D10:G10"/>
    <mergeCell ref="D11:G11"/>
    <mergeCell ref="D12:G12"/>
    <mergeCell ref="D13:G13"/>
    <mergeCell ref="D14:G14"/>
    <mergeCell ref="D15:G15"/>
    <mergeCell ref="E18:G18"/>
    <mergeCell ref="E19:G19"/>
    <mergeCell ref="E20:G20"/>
    <mergeCell ref="E21:G21"/>
    <mergeCell ref="E22:G22"/>
    <mergeCell ref="E23:G23"/>
    <mergeCell ref="E24:G24"/>
    <mergeCell ref="A28:G28"/>
    <mergeCell ref="A31:G31"/>
    <mergeCell ref="A39:G39"/>
    <mergeCell ref="A49:G49"/>
    <mergeCell ref="A51:G51"/>
    <mergeCell ref="A56:G5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3"/>
    <col collapsed="false" customWidth="true" hidden="false" outlineLevel="0" max="3" min="3" style="0" width="16"/>
    <col collapsed="false" customWidth="true" hidden="false" outlineLevel="0" max="5" min="4" style="0" width="12"/>
    <col collapsed="false" customWidth="true" hidden="false" outlineLevel="0" max="6" min="6" style="0" width="16"/>
    <col collapsed="false" customWidth="true" hidden="false" outlineLevel="0" max="7" min="7" style="0" width="20"/>
    <col collapsed="false" customWidth="true" hidden="false" outlineLevel="0" max="9" min="8" style="0" width="14"/>
  </cols>
  <sheetData>
    <row r="1" customFormat="false" ht="17.35" hidden="false" customHeight="false" outlineLevel="0" collapsed="false">
      <c r="A1" s="34" t="s">
        <v>291</v>
      </c>
    </row>
    <row r="2" customFormat="false" ht="15" hidden="false" customHeight="true" outlineLevel="0" collapsed="false">
      <c r="A2" s="35" t="s">
        <v>292</v>
      </c>
      <c r="B2" s="35"/>
      <c r="C2" s="35"/>
      <c r="D2" s="35"/>
      <c r="E2" s="35"/>
      <c r="F2" s="35"/>
      <c r="G2" s="35"/>
      <c r="H2" s="35"/>
      <c r="I2" s="35"/>
    </row>
    <row r="3" customFormat="false" ht="15" hidden="false" customHeight="false" outlineLevel="0" collapsed="false">
      <c r="A3" s="35"/>
      <c r="B3" s="35"/>
      <c r="C3" s="35"/>
      <c r="D3" s="35"/>
      <c r="E3" s="35"/>
      <c r="F3" s="35"/>
      <c r="G3" s="35"/>
      <c r="H3" s="35"/>
      <c r="I3" s="35"/>
    </row>
    <row r="4" customFormat="false" ht="15" hidden="false" customHeight="false" outlineLevel="0" collapsed="false">
      <c r="A4" s="35"/>
      <c r="B4" s="35"/>
      <c r="C4" s="35"/>
      <c r="D4" s="35"/>
      <c r="E4" s="35"/>
      <c r="F4" s="35"/>
      <c r="G4" s="35"/>
      <c r="H4" s="35"/>
      <c r="I4" s="35"/>
    </row>
    <row r="6" customFormat="false" ht="15" hidden="false" customHeight="false" outlineLevel="0" collapsed="false">
      <c r="A6" s="36" t="s">
        <v>293</v>
      </c>
    </row>
    <row r="7" customFormat="false" ht="15" hidden="false" customHeight="false" outlineLevel="0" collapsed="false">
      <c r="A7" s="23" t="s">
        <v>294</v>
      </c>
      <c r="B7" s="23" t="s">
        <v>295</v>
      </c>
      <c r="C7" s="23" t="s">
        <v>296</v>
      </c>
      <c r="D7" s="23"/>
      <c r="E7" s="23"/>
      <c r="F7" s="23"/>
      <c r="G7" s="23"/>
      <c r="H7" s="23"/>
      <c r="I7" s="23"/>
    </row>
    <row r="8" customFormat="false" ht="15" hidden="false" customHeight="true" outlineLevel="0" collapsed="false">
      <c r="A8" s="26" t="s">
        <v>297</v>
      </c>
      <c r="B8" s="37" t="n">
        <v>2</v>
      </c>
      <c r="C8" s="38" t="s">
        <v>298</v>
      </c>
      <c r="D8" s="38"/>
      <c r="E8" s="38"/>
      <c r="F8" s="38"/>
      <c r="G8" s="38"/>
      <c r="H8" s="38"/>
      <c r="I8" s="38"/>
    </row>
    <row r="9" customFormat="false" ht="26.85" hidden="false" customHeight="true" outlineLevel="0" collapsed="false">
      <c r="A9" s="26" t="s">
        <v>299</v>
      </c>
      <c r="B9" s="37" t="n">
        <v>4</v>
      </c>
      <c r="C9" s="38" t="s">
        <v>300</v>
      </c>
      <c r="D9" s="38"/>
      <c r="E9" s="38"/>
      <c r="F9" s="38"/>
      <c r="G9" s="38"/>
      <c r="H9" s="38"/>
      <c r="I9" s="38"/>
    </row>
    <row r="10" customFormat="false" ht="15" hidden="false" customHeight="true" outlineLevel="0" collapsed="false">
      <c r="A10" s="26" t="s">
        <v>301</v>
      </c>
      <c r="B10" s="37" t="n">
        <v>8</v>
      </c>
      <c r="C10" s="38" t="s">
        <v>302</v>
      </c>
      <c r="D10" s="38"/>
      <c r="E10" s="38"/>
      <c r="F10" s="38"/>
      <c r="G10" s="38"/>
      <c r="H10" s="38"/>
      <c r="I10" s="38"/>
    </row>
    <row r="12" customFormat="false" ht="39.55" hidden="false" customHeight="true" outlineLevel="0" collapsed="false">
      <c r="A12" s="35" t="s">
        <v>303</v>
      </c>
      <c r="B12" s="35"/>
      <c r="C12" s="35"/>
      <c r="D12" s="35"/>
      <c r="E12" s="35"/>
      <c r="F12" s="35"/>
      <c r="G12" s="35"/>
      <c r="H12" s="35"/>
      <c r="I12" s="35"/>
    </row>
    <row r="14" customFormat="false" ht="15" hidden="false" customHeight="false" outlineLevel="0" collapsed="false">
      <c r="A14" s="36" t="s">
        <v>304</v>
      </c>
    </row>
    <row r="15" customFormat="false" ht="52.2" hidden="false" customHeight="false" outlineLevel="0" collapsed="false">
      <c r="A15" s="3" t="s">
        <v>294</v>
      </c>
      <c r="B15" s="3" t="s">
        <v>305</v>
      </c>
      <c r="C15" s="3" t="s">
        <v>306</v>
      </c>
    </row>
    <row r="16" customFormat="false" ht="15" hidden="false" customHeight="false" outlineLevel="0" collapsed="false">
      <c r="A16" s="13" t="s">
        <v>297</v>
      </c>
      <c r="B16" s="13" t="n">
        <f aca="false">IFERROR(INDEX(A25:A60,MATCH(1,H25:H60,0)),"&gt; 36 Monate (nicht erreicht)")</f>
        <v>35</v>
      </c>
      <c r="C16" s="13" t="str">
        <f aca="false">IFERROR(INDEX(A25:A60,MATCH(1,I25:I60,0)),"&gt; 36 Monate (nicht erreicht)")</f>
        <v>&gt; 36 Monate (nicht erreicht)</v>
      </c>
    </row>
    <row r="17" customFormat="false" ht="15" hidden="false" customHeight="false" outlineLevel="0" collapsed="false">
      <c r="A17" s="13" t="s">
        <v>299</v>
      </c>
      <c r="B17" s="13" t="n">
        <f aca="false">IFERROR(INDEX(A65:A100,MATCH(1,H65:H100,0)),"&gt; 36 Monate (nicht erreicht)")</f>
        <v>21</v>
      </c>
      <c r="C17" s="13" t="str">
        <f aca="false">IFERROR(INDEX(A65:A100,MATCH(1,I65:I100,0)),"&gt; 36 Monate (nicht erreicht)")</f>
        <v>&gt; 36 Monate (nicht erreicht)</v>
      </c>
    </row>
    <row r="18" customFormat="false" ht="15" hidden="false" customHeight="false" outlineLevel="0" collapsed="false">
      <c r="A18" s="13" t="s">
        <v>301</v>
      </c>
      <c r="B18" s="13" t="n">
        <f aca="false">IFERROR(INDEX(A105:A140,MATCH(1,H105:H140,0)),"&gt; 36 Monate (nicht erreicht)")</f>
        <v>12</v>
      </c>
      <c r="C18" s="13" t="n">
        <f aca="false">IFERROR(INDEX(A105:A140,MATCH(1,I105:I140,0)),"&gt; 36 Monate (nicht erreicht)")</f>
        <v>34</v>
      </c>
    </row>
    <row r="21" customFormat="false" ht="39.55" hidden="false" customHeight="true" outlineLevel="0" collapsed="false">
      <c r="A21" s="35" t="s">
        <v>307</v>
      </c>
      <c r="B21" s="35"/>
      <c r="C21" s="35"/>
      <c r="D21" s="35"/>
      <c r="E21" s="35"/>
      <c r="F21" s="35"/>
      <c r="G21" s="35"/>
      <c r="H21" s="35"/>
      <c r="I21" s="35"/>
    </row>
    <row r="23" customFormat="false" ht="15" hidden="false" customHeight="false" outlineLevel="0" collapsed="false">
      <c r="A23" s="36" t="s">
        <v>308</v>
      </c>
    </row>
    <row r="24" customFormat="false" ht="39.55" hidden="false" customHeight="false" outlineLevel="0" collapsed="false">
      <c r="A24" s="3" t="s">
        <v>309</v>
      </c>
      <c r="B24" s="3" t="s">
        <v>310</v>
      </c>
      <c r="C24" s="3" t="s">
        <v>311</v>
      </c>
      <c r="D24" s="3" t="s">
        <v>312</v>
      </c>
      <c r="E24" s="3" t="s">
        <v>313</v>
      </c>
      <c r="F24" s="3" t="s">
        <v>314</v>
      </c>
      <c r="G24" s="3" t="s">
        <v>315</v>
      </c>
      <c r="H24" s="3" t="s">
        <v>316</v>
      </c>
      <c r="I24" s="3" t="s">
        <v>317</v>
      </c>
    </row>
    <row r="25" customFormat="false" ht="15" hidden="false" customHeight="false" outlineLevel="0" collapsed="false">
      <c r="A25" s="26" t="n">
        <v>1</v>
      </c>
      <c r="B25" s="60" t="n">
        <f aca="false">$B$8</f>
        <v>2</v>
      </c>
      <c r="C25" s="60" t="n">
        <f aca="false">B25</f>
        <v>2</v>
      </c>
      <c r="D25" s="61" t="n">
        <f aca="false">MIN(C25,'Marge &amp; Tragfähigkeit'!$B$13)</f>
        <v>2</v>
      </c>
      <c r="E25" s="61" t="n">
        <f aca="false">MAX(C25-'Marge &amp; Tragfähigkeit'!$B$13,0)</f>
        <v>0</v>
      </c>
      <c r="F25" s="42" t="n">
        <f aca="false">D25*'Marge &amp; Tragfähigkeit'!$B$11+E25*'Marge &amp; Tragfähigkeit'!$B$12</f>
        <v>58</v>
      </c>
      <c r="G25" s="48" t="n">
        <f aca="false">F25</f>
        <v>58</v>
      </c>
      <c r="H25" s="61" t="n">
        <f aca="false">IF(G25&gt;'Marge &amp; Tragfähigkeit'!$B$14,1,0)</f>
        <v>0</v>
      </c>
      <c r="I25" s="61" t="n">
        <f aca="false">IF(G25&gt;'Marge &amp; Tragfähigkeit'!$B$15,1,0)</f>
        <v>0</v>
      </c>
    </row>
    <row r="26" customFormat="false" ht="15" hidden="false" customHeight="false" outlineLevel="0" collapsed="false">
      <c r="A26" s="26" t="n">
        <v>2</v>
      </c>
      <c r="B26" s="60" t="n">
        <f aca="false">$B$8</f>
        <v>2</v>
      </c>
      <c r="C26" s="60" t="n">
        <f aca="false">C25+B26</f>
        <v>4</v>
      </c>
      <c r="D26" s="61" t="n">
        <f aca="false">MIN(C26,'Marge &amp; Tragfähigkeit'!$B$13)</f>
        <v>4</v>
      </c>
      <c r="E26" s="61" t="n">
        <f aca="false">MAX(C26-'Marge &amp; Tragfähigkeit'!$B$13,0)</f>
        <v>0</v>
      </c>
      <c r="F26" s="42" t="n">
        <f aca="false">D26*'Marge &amp; Tragfähigkeit'!$B$11+E26*'Marge &amp; Tragfähigkeit'!$B$12</f>
        <v>116</v>
      </c>
      <c r="G26" s="48" t="n">
        <f aca="false">IF(MOD(A26-1,12)=0,F26,G25+F26)</f>
        <v>174</v>
      </c>
      <c r="H26" s="61" t="n">
        <f aca="false">IF(G26&gt;'Marge &amp; Tragfähigkeit'!$B$14,1,0)</f>
        <v>0</v>
      </c>
      <c r="I26" s="61" t="n">
        <f aca="false">IF(G26&gt;'Marge &amp; Tragfähigkeit'!$B$15,1,0)</f>
        <v>0</v>
      </c>
    </row>
    <row r="27" customFormat="false" ht="15" hidden="false" customHeight="false" outlineLevel="0" collapsed="false">
      <c r="A27" s="26" t="n">
        <v>3</v>
      </c>
      <c r="B27" s="60" t="n">
        <f aca="false">$B$8</f>
        <v>2</v>
      </c>
      <c r="C27" s="60" t="n">
        <f aca="false">C26+B27</f>
        <v>6</v>
      </c>
      <c r="D27" s="61" t="n">
        <f aca="false">MIN(C27,'Marge &amp; Tragfähigkeit'!$B$13)</f>
        <v>6</v>
      </c>
      <c r="E27" s="61" t="n">
        <f aca="false">MAX(C27-'Marge &amp; Tragfähigkeit'!$B$13,0)</f>
        <v>0</v>
      </c>
      <c r="F27" s="42" t="n">
        <f aca="false">D27*'Marge &amp; Tragfähigkeit'!$B$11+E27*'Marge &amp; Tragfähigkeit'!$B$12</f>
        <v>174</v>
      </c>
      <c r="G27" s="48" t="n">
        <f aca="false">IF(MOD(A27-1,12)=0,F27,G26+F27)</f>
        <v>348</v>
      </c>
      <c r="H27" s="61" t="n">
        <f aca="false">IF(G27&gt;'Marge &amp; Tragfähigkeit'!$B$14,1,0)</f>
        <v>0</v>
      </c>
      <c r="I27" s="61" t="n">
        <f aca="false">IF(G27&gt;'Marge &amp; Tragfähigkeit'!$B$15,1,0)</f>
        <v>0</v>
      </c>
    </row>
    <row r="28" customFormat="false" ht="15" hidden="false" customHeight="false" outlineLevel="0" collapsed="false">
      <c r="A28" s="26" t="n">
        <v>4</v>
      </c>
      <c r="B28" s="60" t="n">
        <f aca="false">$B$8</f>
        <v>2</v>
      </c>
      <c r="C28" s="60" t="n">
        <f aca="false">C27+B28</f>
        <v>8</v>
      </c>
      <c r="D28" s="61" t="n">
        <f aca="false">MIN(C28,'Marge &amp; Tragfähigkeit'!$B$13)</f>
        <v>8</v>
      </c>
      <c r="E28" s="61" t="n">
        <f aca="false">MAX(C28-'Marge &amp; Tragfähigkeit'!$B$13,0)</f>
        <v>0</v>
      </c>
      <c r="F28" s="42" t="n">
        <f aca="false">D28*'Marge &amp; Tragfähigkeit'!$B$11+E28*'Marge &amp; Tragfähigkeit'!$B$12</f>
        <v>232</v>
      </c>
      <c r="G28" s="48" t="n">
        <f aca="false">IF(MOD(A28-1,12)=0,F28,G27+F28)</f>
        <v>580</v>
      </c>
      <c r="H28" s="61" t="n">
        <f aca="false">IF(G28&gt;'Marge &amp; Tragfähigkeit'!$B$14,1,0)</f>
        <v>0</v>
      </c>
      <c r="I28" s="61" t="n">
        <f aca="false">IF(G28&gt;'Marge &amp; Tragfähigkeit'!$B$15,1,0)</f>
        <v>0</v>
      </c>
    </row>
    <row r="29" customFormat="false" ht="15" hidden="false" customHeight="false" outlineLevel="0" collapsed="false">
      <c r="A29" s="26" t="n">
        <v>5</v>
      </c>
      <c r="B29" s="60" t="n">
        <f aca="false">$B$8</f>
        <v>2</v>
      </c>
      <c r="C29" s="60" t="n">
        <f aca="false">C28+B29</f>
        <v>10</v>
      </c>
      <c r="D29" s="61" t="n">
        <f aca="false">MIN(C29,'Marge &amp; Tragfähigkeit'!$B$13)</f>
        <v>10</v>
      </c>
      <c r="E29" s="61" t="n">
        <f aca="false">MAX(C29-'Marge &amp; Tragfähigkeit'!$B$13,0)</f>
        <v>0</v>
      </c>
      <c r="F29" s="42" t="n">
        <f aca="false">D29*'Marge &amp; Tragfähigkeit'!$B$11+E29*'Marge &amp; Tragfähigkeit'!$B$12</f>
        <v>290</v>
      </c>
      <c r="G29" s="48" t="n">
        <f aca="false">IF(MOD(A29-1,12)=0,F29,G28+F29)</f>
        <v>870</v>
      </c>
      <c r="H29" s="61" t="n">
        <f aca="false">IF(G29&gt;'Marge &amp; Tragfähigkeit'!$B$14,1,0)</f>
        <v>0</v>
      </c>
      <c r="I29" s="61" t="n">
        <f aca="false">IF(G29&gt;'Marge &amp; Tragfähigkeit'!$B$15,1,0)</f>
        <v>0</v>
      </c>
    </row>
    <row r="30" customFormat="false" ht="15" hidden="false" customHeight="false" outlineLevel="0" collapsed="false">
      <c r="A30" s="26" t="n">
        <v>6</v>
      </c>
      <c r="B30" s="60" t="n">
        <f aca="false">$B$8</f>
        <v>2</v>
      </c>
      <c r="C30" s="60" t="n">
        <f aca="false">C29+B30</f>
        <v>12</v>
      </c>
      <c r="D30" s="61" t="n">
        <f aca="false">MIN(C30,'Marge &amp; Tragfähigkeit'!$B$13)</f>
        <v>12</v>
      </c>
      <c r="E30" s="61" t="n">
        <f aca="false">MAX(C30-'Marge &amp; Tragfähigkeit'!$B$13,0)</f>
        <v>0</v>
      </c>
      <c r="F30" s="42" t="n">
        <f aca="false">D30*'Marge &amp; Tragfähigkeit'!$B$11+E30*'Marge &amp; Tragfähigkeit'!$B$12</f>
        <v>348</v>
      </c>
      <c r="G30" s="48" t="n">
        <f aca="false">IF(MOD(A30-1,12)=0,F30,G29+F30)</f>
        <v>1218</v>
      </c>
      <c r="H30" s="61" t="n">
        <f aca="false">IF(G30&gt;'Marge &amp; Tragfähigkeit'!$B$14,1,0)</f>
        <v>0</v>
      </c>
      <c r="I30" s="61" t="n">
        <f aca="false">IF(G30&gt;'Marge &amp; Tragfähigkeit'!$B$15,1,0)</f>
        <v>0</v>
      </c>
    </row>
    <row r="31" customFormat="false" ht="15" hidden="false" customHeight="false" outlineLevel="0" collapsed="false">
      <c r="A31" s="26" t="n">
        <v>7</v>
      </c>
      <c r="B31" s="60" t="n">
        <f aca="false">$B$8</f>
        <v>2</v>
      </c>
      <c r="C31" s="60" t="n">
        <f aca="false">C30+B31</f>
        <v>14</v>
      </c>
      <c r="D31" s="61" t="n">
        <f aca="false">MIN(C31,'Marge &amp; Tragfähigkeit'!$B$13)</f>
        <v>14</v>
      </c>
      <c r="E31" s="61" t="n">
        <f aca="false">MAX(C31-'Marge &amp; Tragfähigkeit'!$B$13,0)</f>
        <v>0</v>
      </c>
      <c r="F31" s="42" t="n">
        <f aca="false">D31*'Marge &amp; Tragfähigkeit'!$B$11+E31*'Marge &amp; Tragfähigkeit'!$B$12</f>
        <v>406</v>
      </c>
      <c r="G31" s="48" t="n">
        <f aca="false">IF(MOD(A31-1,12)=0,F31,G30+F31)</f>
        <v>1624</v>
      </c>
      <c r="H31" s="61" t="n">
        <f aca="false">IF(G31&gt;'Marge &amp; Tragfähigkeit'!$B$14,1,0)</f>
        <v>0</v>
      </c>
      <c r="I31" s="61" t="n">
        <f aca="false">IF(G31&gt;'Marge &amp; Tragfähigkeit'!$B$15,1,0)</f>
        <v>0</v>
      </c>
    </row>
    <row r="32" customFormat="false" ht="15" hidden="false" customHeight="false" outlineLevel="0" collapsed="false">
      <c r="A32" s="26" t="n">
        <v>8</v>
      </c>
      <c r="B32" s="60" t="n">
        <f aca="false">$B$8</f>
        <v>2</v>
      </c>
      <c r="C32" s="60" t="n">
        <f aca="false">C31+B32</f>
        <v>16</v>
      </c>
      <c r="D32" s="61" t="n">
        <f aca="false">MIN(C32,'Marge &amp; Tragfähigkeit'!$B$13)</f>
        <v>16</v>
      </c>
      <c r="E32" s="61" t="n">
        <f aca="false">MAX(C32-'Marge &amp; Tragfähigkeit'!$B$13,0)</f>
        <v>0</v>
      </c>
      <c r="F32" s="42" t="n">
        <f aca="false">D32*'Marge &amp; Tragfähigkeit'!$B$11+E32*'Marge &amp; Tragfähigkeit'!$B$12</f>
        <v>464</v>
      </c>
      <c r="G32" s="48" t="n">
        <f aca="false">IF(MOD(A32-1,12)=0,F32,G31+F32)</f>
        <v>2088</v>
      </c>
      <c r="H32" s="61" t="n">
        <f aca="false">IF(G32&gt;'Marge &amp; Tragfähigkeit'!$B$14,1,0)</f>
        <v>0</v>
      </c>
      <c r="I32" s="61" t="n">
        <f aca="false">IF(G32&gt;'Marge &amp; Tragfähigkeit'!$B$15,1,0)</f>
        <v>0</v>
      </c>
    </row>
    <row r="33" customFormat="false" ht="15" hidden="false" customHeight="false" outlineLevel="0" collapsed="false">
      <c r="A33" s="26" t="n">
        <v>9</v>
      </c>
      <c r="B33" s="60" t="n">
        <f aca="false">$B$8</f>
        <v>2</v>
      </c>
      <c r="C33" s="60" t="n">
        <f aca="false">C32+B33</f>
        <v>18</v>
      </c>
      <c r="D33" s="61" t="n">
        <f aca="false">MIN(C33,'Marge &amp; Tragfähigkeit'!$B$13)</f>
        <v>18</v>
      </c>
      <c r="E33" s="61" t="n">
        <f aca="false">MAX(C33-'Marge &amp; Tragfähigkeit'!$B$13,0)</f>
        <v>0</v>
      </c>
      <c r="F33" s="42" t="n">
        <f aca="false">D33*'Marge &amp; Tragfähigkeit'!$B$11+E33*'Marge &amp; Tragfähigkeit'!$B$12</f>
        <v>522</v>
      </c>
      <c r="G33" s="48" t="n">
        <f aca="false">IF(MOD(A33-1,12)=0,F33,G32+F33)</f>
        <v>2610</v>
      </c>
      <c r="H33" s="61" t="n">
        <f aca="false">IF(G33&gt;'Marge &amp; Tragfähigkeit'!$B$14,1,0)</f>
        <v>0</v>
      </c>
      <c r="I33" s="61" t="n">
        <f aca="false">IF(G33&gt;'Marge &amp; Tragfähigkeit'!$B$15,1,0)</f>
        <v>0</v>
      </c>
    </row>
    <row r="34" customFormat="false" ht="15" hidden="false" customHeight="false" outlineLevel="0" collapsed="false">
      <c r="A34" s="26" t="n">
        <v>10</v>
      </c>
      <c r="B34" s="60" t="n">
        <f aca="false">$B$8</f>
        <v>2</v>
      </c>
      <c r="C34" s="60" t="n">
        <f aca="false">C33+B34</f>
        <v>20</v>
      </c>
      <c r="D34" s="61" t="n">
        <f aca="false">MIN(C34,'Marge &amp; Tragfähigkeit'!$B$13)</f>
        <v>20</v>
      </c>
      <c r="E34" s="61" t="n">
        <f aca="false">MAX(C34-'Marge &amp; Tragfähigkeit'!$B$13,0)</f>
        <v>0</v>
      </c>
      <c r="F34" s="42" t="n">
        <f aca="false">D34*'Marge &amp; Tragfähigkeit'!$B$11+E34*'Marge &amp; Tragfähigkeit'!$B$12</f>
        <v>580</v>
      </c>
      <c r="G34" s="48" t="n">
        <f aca="false">IF(MOD(A34-1,12)=0,F34,G33+F34)</f>
        <v>3190</v>
      </c>
      <c r="H34" s="61" t="n">
        <f aca="false">IF(G34&gt;'Marge &amp; Tragfähigkeit'!$B$14,1,0)</f>
        <v>0</v>
      </c>
      <c r="I34" s="61" t="n">
        <f aca="false">IF(G34&gt;'Marge &amp; Tragfähigkeit'!$B$15,1,0)</f>
        <v>0</v>
      </c>
    </row>
    <row r="35" customFormat="false" ht="15" hidden="false" customHeight="false" outlineLevel="0" collapsed="false">
      <c r="A35" s="26" t="n">
        <v>11</v>
      </c>
      <c r="B35" s="60" t="n">
        <f aca="false">$B$8</f>
        <v>2</v>
      </c>
      <c r="C35" s="60" t="n">
        <f aca="false">C34+B35</f>
        <v>22</v>
      </c>
      <c r="D35" s="61" t="n">
        <f aca="false">MIN(C35,'Marge &amp; Tragfähigkeit'!$B$13)</f>
        <v>22</v>
      </c>
      <c r="E35" s="61" t="n">
        <f aca="false">MAX(C35-'Marge &amp; Tragfähigkeit'!$B$13,0)</f>
        <v>0</v>
      </c>
      <c r="F35" s="42" t="n">
        <f aca="false">D35*'Marge &amp; Tragfähigkeit'!$B$11+E35*'Marge &amp; Tragfähigkeit'!$B$12</f>
        <v>638</v>
      </c>
      <c r="G35" s="48" t="n">
        <f aca="false">IF(MOD(A35-1,12)=0,F35,G34+F35)</f>
        <v>3828</v>
      </c>
      <c r="H35" s="61" t="n">
        <f aca="false">IF(G35&gt;'Marge &amp; Tragfähigkeit'!$B$14,1,0)</f>
        <v>0</v>
      </c>
      <c r="I35" s="61" t="n">
        <f aca="false">IF(G35&gt;'Marge &amp; Tragfähigkeit'!$B$15,1,0)</f>
        <v>0</v>
      </c>
    </row>
    <row r="36" customFormat="false" ht="15" hidden="false" customHeight="false" outlineLevel="0" collapsed="false">
      <c r="A36" s="26" t="n">
        <v>12</v>
      </c>
      <c r="B36" s="60" t="n">
        <f aca="false">$B$8</f>
        <v>2</v>
      </c>
      <c r="C36" s="60" t="n">
        <f aca="false">C35+B36</f>
        <v>24</v>
      </c>
      <c r="D36" s="61" t="n">
        <f aca="false">MIN(C36,'Marge &amp; Tragfähigkeit'!$B$13)</f>
        <v>24</v>
      </c>
      <c r="E36" s="61" t="n">
        <f aca="false">MAX(C36-'Marge &amp; Tragfähigkeit'!$B$13,0)</f>
        <v>0</v>
      </c>
      <c r="F36" s="42" t="n">
        <f aca="false">D36*'Marge &amp; Tragfähigkeit'!$B$11+E36*'Marge &amp; Tragfähigkeit'!$B$12</f>
        <v>696</v>
      </c>
      <c r="G36" s="48" t="n">
        <f aca="false">IF(MOD(A36-1,12)=0,F36,G35+F36)</f>
        <v>4524</v>
      </c>
      <c r="H36" s="61" t="n">
        <f aca="false">IF(G36&gt;'Marge &amp; Tragfähigkeit'!$B$14,1,0)</f>
        <v>0</v>
      </c>
      <c r="I36" s="61" t="n">
        <f aca="false">IF(G36&gt;'Marge &amp; Tragfähigkeit'!$B$15,1,0)</f>
        <v>0</v>
      </c>
    </row>
    <row r="37" customFormat="false" ht="15" hidden="false" customHeight="false" outlineLevel="0" collapsed="false">
      <c r="A37" s="26" t="n">
        <v>13</v>
      </c>
      <c r="B37" s="60" t="n">
        <f aca="false">$B$8</f>
        <v>2</v>
      </c>
      <c r="C37" s="60" t="n">
        <f aca="false">C36+B37</f>
        <v>26</v>
      </c>
      <c r="D37" s="61" t="n">
        <f aca="false">MIN(C37,'Marge &amp; Tragfähigkeit'!$B$13)</f>
        <v>25</v>
      </c>
      <c r="E37" s="61" t="n">
        <f aca="false">MAX(C37-'Marge &amp; Tragfähigkeit'!$B$13,0)</f>
        <v>1</v>
      </c>
      <c r="F37" s="42" t="n">
        <f aca="false">D37*'Marge &amp; Tragfähigkeit'!$B$11+E37*'Marge &amp; Tragfähigkeit'!$B$12</f>
        <v>774</v>
      </c>
      <c r="G37" s="48" t="n">
        <f aca="false">IF(MOD(A37-1,12)=0,F37,G36+F37)</f>
        <v>774</v>
      </c>
      <c r="H37" s="61" t="n">
        <f aca="false">IF(G37&gt;'Marge &amp; Tragfähigkeit'!$B$14,1,0)</f>
        <v>0</v>
      </c>
      <c r="I37" s="61" t="n">
        <f aca="false">IF(G37&gt;'Marge &amp; Tragfähigkeit'!$B$15,1,0)</f>
        <v>0</v>
      </c>
    </row>
    <row r="38" customFormat="false" ht="15" hidden="false" customHeight="false" outlineLevel="0" collapsed="false">
      <c r="A38" s="26" t="n">
        <v>14</v>
      </c>
      <c r="B38" s="60" t="n">
        <f aca="false">$B$8</f>
        <v>2</v>
      </c>
      <c r="C38" s="60" t="n">
        <f aca="false">C37+B38</f>
        <v>28</v>
      </c>
      <c r="D38" s="61" t="n">
        <f aca="false">MIN(C38,'Marge &amp; Tragfähigkeit'!$B$13)</f>
        <v>25</v>
      </c>
      <c r="E38" s="61" t="n">
        <f aca="false">MAX(C38-'Marge &amp; Tragfähigkeit'!$B$13,0)</f>
        <v>3</v>
      </c>
      <c r="F38" s="42" t="n">
        <f aca="false">D38*'Marge &amp; Tragfähigkeit'!$B$11+E38*'Marge &amp; Tragfähigkeit'!$B$12</f>
        <v>872</v>
      </c>
      <c r="G38" s="48" t="n">
        <f aca="false">IF(MOD(A38-1,12)=0,F38,G37+F38)</f>
        <v>1646</v>
      </c>
      <c r="H38" s="61" t="n">
        <f aca="false">IF(G38&gt;'Marge &amp; Tragfähigkeit'!$B$14,1,0)</f>
        <v>0</v>
      </c>
      <c r="I38" s="61" t="n">
        <f aca="false">IF(G38&gt;'Marge &amp; Tragfähigkeit'!$B$15,1,0)</f>
        <v>0</v>
      </c>
    </row>
    <row r="39" customFormat="false" ht="15" hidden="false" customHeight="false" outlineLevel="0" collapsed="false">
      <c r="A39" s="26" t="n">
        <v>15</v>
      </c>
      <c r="B39" s="60" t="n">
        <f aca="false">$B$8</f>
        <v>2</v>
      </c>
      <c r="C39" s="60" t="n">
        <f aca="false">C38+B39</f>
        <v>30</v>
      </c>
      <c r="D39" s="61" t="n">
        <f aca="false">MIN(C39,'Marge &amp; Tragfähigkeit'!$B$13)</f>
        <v>25</v>
      </c>
      <c r="E39" s="61" t="n">
        <f aca="false">MAX(C39-'Marge &amp; Tragfähigkeit'!$B$13,0)</f>
        <v>5</v>
      </c>
      <c r="F39" s="42" t="n">
        <f aca="false">D39*'Marge &amp; Tragfähigkeit'!$B$11+E39*'Marge &amp; Tragfähigkeit'!$B$12</f>
        <v>970</v>
      </c>
      <c r="G39" s="48" t="n">
        <f aca="false">IF(MOD(A39-1,12)=0,F39,G38+F39)</f>
        <v>2616</v>
      </c>
      <c r="H39" s="61" t="n">
        <f aca="false">IF(G39&gt;'Marge &amp; Tragfähigkeit'!$B$14,1,0)</f>
        <v>0</v>
      </c>
      <c r="I39" s="61" t="n">
        <f aca="false">IF(G39&gt;'Marge &amp; Tragfähigkeit'!$B$15,1,0)</f>
        <v>0</v>
      </c>
    </row>
    <row r="40" customFormat="false" ht="15" hidden="false" customHeight="false" outlineLevel="0" collapsed="false">
      <c r="A40" s="26" t="n">
        <v>16</v>
      </c>
      <c r="B40" s="60" t="n">
        <f aca="false">$B$8</f>
        <v>2</v>
      </c>
      <c r="C40" s="60" t="n">
        <f aca="false">C39+B40</f>
        <v>32</v>
      </c>
      <c r="D40" s="61" t="n">
        <f aca="false">MIN(C40,'Marge &amp; Tragfähigkeit'!$B$13)</f>
        <v>25</v>
      </c>
      <c r="E40" s="61" t="n">
        <f aca="false">MAX(C40-'Marge &amp; Tragfähigkeit'!$B$13,0)</f>
        <v>7</v>
      </c>
      <c r="F40" s="42" t="n">
        <f aca="false">D40*'Marge &amp; Tragfähigkeit'!$B$11+E40*'Marge &amp; Tragfähigkeit'!$B$12</f>
        <v>1068</v>
      </c>
      <c r="G40" s="48" t="n">
        <f aca="false">IF(MOD(A40-1,12)=0,F40,G39+F40)</f>
        <v>3684</v>
      </c>
      <c r="H40" s="61" t="n">
        <f aca="false">IF(G40&gt;'Marge &amp; Tragfähigkeit'!$B$14,1,0)</f>
        <v>0</v>
      </c>
      <c r="I40" s="61" t="n">
        <f aca="false">IF(G40&gt;'Marge &amp; Tragfähigkeit'!$B$15,1,0)</f>
        <v>0</v>
      </c>
    </row>
    <row r="41" customFormat="false" ht="15" hidden="false" customHeight="false" outlineLevel="0" collapsed="false">
      <c r="A41" s="26" t="n">
        <v>17</v>
      </c>
      <c r="B41" s="60" t="n">
        <f aca="false">$B$8</f>
        <v>2</v>
      </c>
      <c r="C41" s="60" t="n">
        <f aca="false">C40+B41</f>
        <v>34</v>
      </c>
      <c r="D41" s="61" t="n">
        <f aca="false">MIN(C41,'Marge &amp; Tragfähigkeit'!$B$13)</f>
        <v>25</v>
      </c>
      <c r="E41" s="61" t="n">
        <f aca="false">MAX(C41-'Marge &amp; Tragfähigkeit'!$B$13,0)</f>
        <v>9</v>
      </c>
      <c r="F41" s="42" t="n">
        <f aca="false">D41*'Marge &amp; Tragfähigkeit'!$B$11+E41*'Marge &amp; Tragfähigkeit'!$B$12</f>
        <v>1166</v>
      </c>
      <c r="G41" s="48" t="n">
        <f aca="false">IF(MOD(A41-1,12)=0,F41,G40+F41)</f>
        <v>4850</v>
      </c>
      <c r="H41" s="61" t="n">
        <f aca="false">IF(G41&gt;'Marge &amp; Tragfähigkeit'!$B$14,1,0)</f>
        <v>0</v>
      </c>
      <c r="I41" s="61" t="n">
        <f aca="false">IF(G41&gt;'Marge &amp; Tragfähigkeit'!$B$15,1,0)</f>
        <v>0</v>
      </c>
    </row>
    <row r="42" customFormat="false" ht="15" hidden="false" customHeight="false" outlineLevel="0" collapsed="false">
      <c r="A42" s="26" t="n">
        <v>18</v>
      </c>
      <c r="B42" s="60" t="n">
        <f aca="false">$B$8</f>
        <v>2</v>
      </c>
      <c r="C42" s="60" t="n">
        <f aca="false">C41+B42</f>
        <v>36</v>
      </c>
      <c r="D42" s="61" t="n">
        <f aca="false">MIN(C42,'Marge &amp; Tragfähigkeit'!$B$13)</f>
        <v>25</v>
      </c>
      <c r="E42" s="61" t="n">
        <f aca="false">MAX(C42-'Marge &amp; Tragfähigkeit'!$B$13,0)</f>
        <v>11</v>
      </c>
      <c r="F42" s="42" t="n">
        <f aca="false">D42*'Marge &amp; Tragfähigkeit'!$B$11+E42*'Marge &amp; Tragfähigkeit'!$B$12</f>
        <v>1264</v>
      </c>
      <c r="G42" s="48" t="n">
        <f aca="false">IF(MOD(A42-1,12)=0,F42,G41+F42)</f>
        <v>6114</v>
      </c>
      <c r="H42" s="61" t="n">
        <f aca="false">IF(G42&gt;'Marge &amp; Tragfähigkeit'!$B$14,1,0)</f>
        <v>0</v>
      </c>
      <c r="I42" s="61" t="n">
        <f aca="false">IF(G42&gt;'Marge &amp; Tragfähigkeit'!$B$15,1,0)</f>
        <v>0</v>
      </c>
    </row>
    <row r="43" customFormat="false" ht="15" hidden="false" customHeight="false" outlineLevel="0" collapsed="false">
      <c r="A43" s="26" t="n">
        <v>19</v>
      </c>
      <c r="B43" s="60" t="n">
        <f aca="false">$B$8</f>
        <v>2</v>
      </c>
      <c r="C43" s="60" t="n">
        <f aca="false">C42+B43</f>
        <v>38</v>
      </c>
      <c r="D43" s="61" t="n">
        <f aca="false">MIN(C43,'Marge &amp; Tragfähigkeit'!$B$13)</f>
        <v>25</v>
      </c>
      <c r="E43" s="61" t="n">
        <f aca="false">MAX(C43-'Marge &amp; Tragfähigkeit'!$B$13,0)</f>
        <v>13</v>
      </c>
      <c r="F43" s="42" t="n">
        <f aca="false">D43*'Marge &amp; Tragfähigkeit'!$B$11+E43*'Marge &amp; Tragfähigkeit'!$B$12</f>
        <v>1362</v>
      </c>
      <c r="G43" s="48" t="n">
        <f aca="false">IF(MOD(A43-1,12)=0,F43,G42+F43)</f>
        <v>7476</v>
      </c>
      <c r="H43" s="61" t="n">
        <f aca="false">IF(G43&gt;'Marge &amp; Tragfähigkeit'!$B$14,1,0)</f>
        <v>0</v>
      </c>
      <c r="I43" s="61" t="n">
        <f aca="false">IF(G43&gt;'Marge &amp; Tragfähigkeit'!$B$15,1,0)</f>
        <v>0</v>
      </c>
    </row>
    <row r="44" customFormat="false" ht="15" hidden="false" customHeight="false" outlineLevel="0" collapsed="false">
      <c r="A44" s="26" t="n">
        <v>20</v>
      </c>
      <c r="B44" s="60" t="n">
        <f aca="false">$B$8</f>
        <v>2</v>
      </c>
      <c r="C44" s="60" t="n">
        <f aca="false">C43+B44</f>
        <v>40</v>
      </c>
      <c r="D44" s="61" t="n">
        <f aca="false">MIN(C44,'Marge &amp; Tragfähigkeit'!$B$13)</f>
        <v>25</v>
      </c>
      <c r="E44" s="61" t="n">
        <f aca="false">MAX(C44-'Marge &amp; Tragfähigkeit'!$B$13,0)</f>
        <v>15</v>
      </c>
      <c r="F44" s="42" t="n">
        <f aca="false">D44*'Marge &amp; Tragfähigkeit'!$B$11+E44*'Marge &amp; Tragfähigkeit'!$B$12</f>
        <v>1460</v>
      </c>
      <c r="G44" s="48" t="n">
        <f aca="false">IF(MOD(A44-1,12)=0,F44,G43+F44)</f>
        <v>8936</v>
      </c>
      <c r="H44" s="61" t="n">
        <f aca="false">IF(G44&gt;'Marge &amp; Tragfähigkeit'!$B$14,1,0)</f>
        <v>0</v>
      </c>
      <c r="I44" s="61" t="n">
        <f aca="false">IF(G44&gt;'Marge &amp; Tragfähigkeit'!$B$15,1,0)</f>
        <v>0</v>
      </c>
    </row>
    <row r="45" customFormat="false" ht="15" hidden="false" customHeight="false" outlineLevel="0" collapsed="false">
      <c r="A45" s="26" t="n">
        <v>21</v>
      </c>
      <c r="B45" s="60" t="n">
        <f aca="false">$B$8</f>
        <v>2</v>
      </c>
      <c r="C45" s="60" t="n">
        <f aca="false">C44+B45</f>
        <v>42</v>
      </c>
      <c r="D45" s="61" t="n">
        <f aca="false">MIN(C45,'Marge &amp; Tragfähigkeit'!$B$13)</f>
        <v>25</v>
      </c>
      <c r="E45" s="61" t="n">
        <f aca="false">MAX(C45-'Marge &amp; Tragfähigkeit'!$B$13,0)</f>
        <v>17</v>
      </c>
      <c r="F45" s="42" t="n">
        <f aca="false">D45*'Marge &amp; Tragfähigkeit'!$B$11+E45*'Marge &amp; Tragfähigkeit'!$B$12</f>
        <v>1558</v>
      </c>
      <c r="G45" s="48" t="n">
        <f aca="false">IF(MOD(A45-1,12)=0,F45,G44+F45)</f>
        <v>10494</v>
      </c>
      <c r="H45" s="61" t="n">
        <f aca="false">IF(G45&gt;'Marge &amp; Tragfähigkeit'!$B$14,1,0)</f>
        <v>0</v>
      </c>
      <c r="I45" s="61" t="n">
        <f aca="false">IF(G45&gt;'Marge &amp; Tragfähigkeit'!$B$15,1,0)</f>
        <v>0</v>
      </c>
    </row>
    <row r="46" customFormat="false" ht="15" hidden="false" customHeight="false" outlineLevel="0" collapsed="false">
      <c r="A46" s="26" t="n">
        <v>22</v>
      </c>
      <c r="B46" s="60" t="n">
        <f aca="false">$B$8</f>
        <v>2</v>
      </c>
      <c r="C46" s="60" t="n">
        <f aca="false">C45+B46</f>
        <v>44</v>
      </c>
      <c r="D46" s="61" t="n">
        <f aca="false">MIN(C46,'Marge &amp; Tragfähigkeit'!$B$13)</f>
        <v>25</v>
      </c>
      <c r="E46" s="61" t="n">
        <f aca="false">MAX(C46-'Marge &amp; Tragfähigkeit'!$B$13,0)</f>
        <v>19</v>
      </c>
      <c r="F46" s="42" t="n">
        <f aca="false">D46*'Marge &amp; Tragfähigkeit'!$B$11+E46*'Marge &amp; Tragfähigkeit'!$B$12</f>
        <v>1656</v>
      </c>
      <c r="G46" s="48" t="n">
        <f aca="false">IF(MOD(A46-1,12)=0,F46,G45+F46)</f>
        <v>12150</v>
      </c>
      <c r="H46" s="61" t="n">
        <f aca="false">IF(G46&gt;'Marge &amp; Tragfähigkeit'!$B$14,1,0)</f>
        <v>0</v>
      </c>
      <c r="I46" s="61" t="n">
        <f aca="false">IF(G46&gt;'Marge &amp; Tragfähigkeit'!$B$15,1,0)</f>
        <v>0</v>
      </c>
    </row>
    <row r="47" customFormat="false" ht="15" hidden="false" customHeight="false" outlineLevel="0" collapsed="false">
      <c r="A47" s="26" t="n">
        <v>23</v>
      </c>
      <c r="B47" s="60" t="n">
        <f aca="false">$B$8</f>
        <v>2</v>
      </c>
      <c r="C47" s="60" t="n">
        <f aca="false">C46+B47</f>
        <v>46</v>
      </c>
      <c r="D47" s="61" t="n">
        <f aca="false">MIN(C47,'Marge &amp; Tragfähigkeit'!$B$13)</f>
        <v>25</v>
      </c>
      <c r="E47" s="61" t="n">
        <f aca="false">MAX(C47-'Marge &amp; Tragfähigkeit'!$B$13,0)</f>
        <v>21</v>
      </c>
      <c r="F47" s="42" t="n">
        <f aca="false">D47*'Marge &amp; Tragfähigkeit'!$B$11+E47*'Marge &amp; Tragfähigkeit'!$B$12</f>
        <v>1754</v>
      </c>
      <c r="G47" s="48" t="n">
        <f aca="false">IF(MOD(A47-1,12)=0,F47,G46+F47)</f>
        <v>13904</v>
      </c>
      <c r="H47" s="61" t="n">
        <f aca="false">IF(G47&gt;'Marge &amp; Tragfähigkeit'!$B$14,1,0)</f>
        <v>0</v>
      </c>
      <c r="I47" s="61" t="n">
        <f aca="false">IF(G47&gt;'Marge &amp; Tragfähigkeit'!$B$15,1,0)</f>
        <v>0</v>
      </c>
    </row>
    <row r="48" customFormat="false" ht="15" hidden="false" customHeight="false" outlineLevel="0" collapsed="false">
      <c r="A48" s="26" t="n">
        <v>24</v>
      </c>
      <c r="B48" s="60" t="n">
        <f aca="false">$B$8</f>
        <v>2</v>
      </c>
      <c r="C48" s="60" t="n">
        <f aca="false">C47+B48</f>
        <v>48</v>
      </c>
      <c r="D48" s="61" t="n">
        <f aca="false">MIN(C48,'Marge &amp; Tragfähigkeit'!$B$13)</f>
        <v>25</v>
      </c>
      <c r="E48" s="61" t="n">
        <f aca="false">MAX(C48-'Marge &amp; Tragfähigkeit'!$B$13,0)</f>
        <v>23</v>
      </c>
      <c r="F48" s="42" t="n">
        <f aca="false">D48*'Marge &amp; Tragfähigkeit'!$B$11+E48*'Marge &amp; Tragfähigkeit'!$B$12</f>
        <v>1852</v>
      </c>
      <c r="G48" s="48" t="n">
        <f aca="false">IF(MOD(A48-1,12)=0,F48,G47+F48)</f>
        <v>15756</v>
      </c>
      <c r="H48" s="61" t="n">
        <f aca="false">IF(G48&gt;'Marge &amp; Tragfähigkeit'!$B$14,1,0)</f>
        <v>0</v>
      </c>
      <c r="I48" s="61" t="n">
        <f aca="false">IF(G48&gt;'Marge &amp; Tragfähigkeit'!$B$15,1,0)</f>
        <v>0</v>
      </c>
    </row>
    <row r="49" customFormat="false" ht="15" hidden="false" customHeight="false" outlineLevel="0" collapsed="false">
      <c r="A49" s="26" t="n">
        <v>25</v>
      </c>
      <c r="B49" s="60" t="n">
        <f aca="false">$B$8</f>
        <v>2</v>
      </c>
      <c r="C49" s="60" t="n">
        <f aca="false">C48+B49</f>
        <v>50</v>
      </c>
      <c r="D49" s="61" t="n">
        <f aca="false">MIN(C49,'Marge &amp; Tragfähigkeit'!$B$13)</f>
        <v>25</v>
      </c>
      <c r="E49" s="61" t="n">
        <f aca="false">MAX(C49-'Marge &amp; Tragfähigkeit'!$B$13,0)</f>
        <v>25</v>
      </c>
      <c r="F49" s="42" t="n">
        <f aca="false">D49*'Marge &amp; Tragfähigkeit'!$B$11+E49*'Marge &amp; Tragfähigkeit'!$B$12</f>
        <v>1950</v>
      </c>
      <c r="G49" s="48" t="n">
        <f aca="false">IF(MOD(A49-1,12)=0,F49,G48+F49)</f>
        <v>1950</v>
      </c>
      <c r="H49" s="61" t="n">
        <f aca="false">IF(G49&gt;'Marge &amp; Tragfähigkeit'!$B$14,1,0)</f>
        <v>0</v>
      </c>
      <c r="I49" s="61" t="n">
        <f aca="false">IF(G49&gt;'Marge &amp; Tragfähigkeit'!$B$15,1,0)</f>
        <v>0</v>
      </c>
    </row>
    <row r="50" customFormat="false" ht="15" hidden="false" customHeight="false" outlineLevel="0" collapsed="false">
      <c r="A50" s="26" t="n">
        <v>26</v>
      </c>
      <c r="B50" s="60" t="n">
        <f aca="false">$B$8</f>
        <v>2</v>
      </c>
      <c r="C50" s="60" t="n">
        <f aca="false">C49+B50</f>
        <v>52</v>
      </c>
      <c r="D50" s="61" t="n">
        <f aca="false">MIN(C50,'Marge &amp; Tragfähigkeit'!$B$13)</f>
        <v>25</v>
      </c>
      <c r="E50" s="61" t="n">
        <f aca="false">MAX(C50-'Marge &amp; Tragfähigkeit'!$B$13,0)</f>
        <v>27</v>
      </c>
      <c r="F50" s="42" t="n">
        <f aca="false">D50*'Marge &amp; Tragfähigkeit'!$B$11+E50*'Marge &amp; Tragfähigkeit'!$B$12</f>
        <v>2048</v>
      </c>
      <c r="G50" s="48" t="n">
        <f aca="false">IF(MOD(A50-1,12)=0,F50,G49+F50)</f>
        <v>3998</v>
      </c>
      <c r="H50" s="61" t="n">
        <f aca="false">IF(G50&gt;'Marge &amp; Tragfähigkeit'!$B$14,1,0)</f>
        <v>0</v>
      </c>
      <c r="I50" s="61" t="n">
        <f aca="false">IF(G50&gt;'Marge &amp; Tragfähigkeit'!$B$15,1,0)</f>
        <v>0</v>
      </c>
    </row>
    <row r="51" customFormat="false" ht="15" hidden="false" customHeight="false" outlineLevel="0" collapsed="false">
      <c r="A51" s="26" t="n">
        <v>27</v>
      </c>
      <c r="B51" s="60" t="n">
        <f aca="false">$B$8</f>
        <v>2</v>
      </c>
      <c r="C51" s="60" t="n">
        <f aca="false">C50+B51</f>
        <v>54</v>
      </c>
      <c r="D51" s="61" t="n">
        <f aca="false">MIN(C51,'Marge &amp; Tragfähigkeit'!$B$13)</f>
        <v>25</v>
      </c>
      <c r="E51" s="61" t="n">
        <f aca="false">MAX(C51-'Marge &amp; Tragfähigkeit'!$B$13,0)</f>
        <v>29</v>
      </c>
      <c r="F51" s="42" t="n">
        <f aca="false">D51*'Marge &amp; Tragfähigkeit'!$B$11+E51*'Marge &amp; Tragfähigkeit'!$B$12</f>
        <v>2146</v>
      </c>
      <c r="G51" s="48" t="n">
        <f aca="false">IF(MOD(A51-1,12)=0,F51,G50+F51)</f>
        <v>6144</v>
      </c>
      <c r="H51" s="61" t="n">
        <f aca="false">IF(G51&gt;'Marge &amp; Tragfähigkeit'!$B$14,1,0)</f>
        <v>0</v>
      </c>
      <c r="I51" s="61" t="n">
        <f aca="false">IF(G51&gt;'Marge &amp; Tragfähigkeit'!$B$15,1,0)</f>
        <v>0</v>
      </c>
    </row>
    <row r="52" customFormat="false" ht="15" hidden="false" customHeight="false" outlineLevel="0" collapsed="false">
      <c r="A52" s="26" t="n">
        <v>28</v>
      </c>
      <c r="B52" s="60" t="n">
        <f aca="false">$B$8</f>
        <v>2</v>
      </c>
      <c r="C52" s="60" t="n">
        <f aca="false">C51+B52</f>
        <v>56</v>
      </c>
      <c r="D52" s="61" t="n">
        <f aca="false">MIN(C52,'Marge &amp; Tragfähigkeit'!$B$13)</f>
        <v>25</v>
      </c>
      <c r="E52" s="61" t="n">
        <f aca="false">MAX(C52-'Marge &amp; Tragfähigkeit'!$B$13,0)</f>
        <v>31</v>
      </c>
      <c r="F52" s="42" t="n">
        <f aca="false">D52*'Marge &amp; Tragfähigkeit'!$B$11+E52*'Marge &amp; Tragfähigkeit'!$B$12</f>
        <v>2244</v>
      </c>
      <c r="G52" s="48" t="n">
        <f aca="false">IF(MOD(A52-1,12)=0,F52,G51+F52)</f>
        <v>8388</v>
      </c>
      <c r="H52" s="61" t="n">
        <f aca="false">IF(G52&gt;'Marge &amp; Tragfähigkeit'!$B$14,1,0)</f>
        <v>0</v>
      </c>
      <c r="I52" s="61" t="n">
        <f aca="false">IF(G52&gt;'Marge &amp; Tragfähigkeit'!$B$15,1,0)</f>
        <v>0</v>
      </c>
    </row>
    <row r="53" customFormat="false" ht="15" hidden="false" customHeight="false" outlineLevel="0" collapsed="false">
      <c r="A53" s="26" t="n">
        <v>29</v>
      </c>
      <c r="B53" s="60" t="n">
        <f aca="false">$B$8</f>
        <v>2</v>
      </c>
      <c r="C53" s="60" t="n">
        <f aca="false">C52+B53</f>
        <v>58</v>
      </c>
      <c r="D53" s="61" t="n">
        <f aca="false">MIN(C53,'Marge &amp; Tragfähigkeit'!$B$13)</f>
        <v>25</v>
      </c>
      <c r="E53" s="61" t="n">
        <f aca="false">MAX(C53-'Marge &amp; Tragfähigkeit'!$B$13,0)</f>
        <v>33</v>
      </c>
      <c r="F53" s="42" t="n">
        <f aca="false">D53*'Marge &amp; Tragfähigkeit'!$B$11+E53*'Marge &amp; Tragfähigkeit'!$B$12</f>
        <v>2342</v>
      </c>
      <c r="G53" s="48" t="n">
        <f aca="false">IF(MOD(A53-1,12)=0,F53,G52+F53)</f>
        <v>10730</v>
      </c>
      <c r="H53" s="61" t="n">
        <f aca="false">IF(G53&gt;'Marge &amp; Tragfähigkeit'!$B$14,1,0)</f>
        <v>0</v>
      </c>
      <c r="I53" s="61" t="n">
        <f aca="false">IF(G53&gt;'Marge &amp; Tragfähigkeit'!$B$15,1,0)</f>
        <v>0</v>
      </c>
    </row>
    <row r="54" customFormat="false" ht="15" hidden="false" customHeight="false" outlineLevel="0" collapsed="false">
      <c r="A54" s="26" t="n">
        <v>30</v>
      </c>
      <c r="B54" s="60" t="n">
        <f aca="false">$B$8</f>
        <v>2</v>
      </c>
      <c r="C54" s="60" t="n">
        <f aca="false">C53+B54</f>
        <v>60</v>
      </c>
      <c r="D54" s="61" t="n">
        <f aca="false">MIN(C54,'Marge &amp; Tragfähigkeit'!$B$13)</f>
        <v>25</v>
      </c>
      <c r="E54" s="61" t="n">
        <f aca="false">MAX(C54-'Marge &amp; Tragfähigkeit'!$B$13,0)</f>
        <v>35</v>
      </c>
      <c r="F54" s="42" t="n">
        <f aca="false">D54*'Marge &amp; Tragfähigkeit'!$B$11+E54*'Marge &amp; Tragfähigkeit'!$B$12</f>
        <v>2440</v>
      </c>
      <c r="G54" s="48" t="n">
        <f aca="false">IF(MOD(A54-1,12)=0,F54,G53+F54)</f>
        <v>13170</v>
      </c>
      <c r="H54" s="61" t="n">
        <f aca="false">IF(G54&gt;'Marge &amp; Tragfähigkeit'!$B$14,1,0)</f>
        <v>0</v>
      </c>
      <c r="I54" s="61" t="n">
        <f aca="false">IF(G54&gt;'Marge &amp; Tragfähigkeit'!$B$15,1,0)</f>
        <v>0</v>
      </c>
    </row>
    <row r="55" customFormat="false" ht="15" hidden="false" customHeight="false" outlineLevel="0" collapsed="false">
      <c r="A55" s="26" t="n">
        <v>31</v>
      </c>
      <c r="B55" s="60" t="n">
        <f aca="false">$B$8</f>
        <v>2</v>
      </c>
      <c r="C55" s="60" t="n">
        <f aca="false">C54+B55</f>
        <v>62</v>
      </c>
      <c r="D55" s="61" t="n">
        <f aca="false">MIN(C55,'Marge &amp; Tragfähigkeit'!$B$13)</f>
        <v>25</v>
      </c>
      <c r="E55" s="61" t="n">
        <f aca="false">MAX(C55-'Marge &amp; Tragfähigkeit'!$B$13,0)</f>
        <v>37</v>
      </c>
      <c r="F55" s="42" t="n">
        <f aca="false">D55*'Marge &amp; Tragfähigkeit'!$B$11+E55*'Marge &amp; Tragfähigkeit'!$B$12</f>
        <v>2538</v>
      </c>
      <c r="G55" s="48" t="n">
        <f aca="false">IF(MOD(A55-1,12)=0,F55,G54+F55)</f>
        <v>15708</v>
      </c>
      <c r="H55" s="61" t="n">
        <f aca="false">IF(G55&gt;'Marge &amp; Tragfähigkeit'!$B$14,1,0)</f>
        <v>0</v>
      </c>
      <c r="I55" s="61" t="n">
        <f aca="false">IF(G55&gt;'Marge &amp; Tragfähigkeit'!$B$15,1,0)</f>
        <v>0</v>
      </c>
    </row>
    <row r="56" customFormat="false" ht="15" hidden="false" customHeight="false" outlineLevel="0" collapsed="false">
      <c r="A56" s="26" t="n">
        <v>32</v>
      </c>
      <c r="B56" s="60" t="n">
        <f aca="false">$B$8</f>
        <v>2</v>
      </c>
      <c r="C56" s="60" t="n">
        <f aca="false">C55+B56</f>
        <v>64</v>
      </c>
      <c r="D56" s="61" t="n">
        <f aca="false">MIN(C56,'Marge &amp; Tragfähigkeit'!$B$13)</f>
        <v>25</v>
      </c>
      <c r="E56" s="61" t="n">
        <f aca="false">MAX(C56-'Marge &amp; Tragfähigkeit'!$B$13,0)</f>
        <v>39</v>
      </c>
      <c r="F56" s="42" t="n">
        <f aca="false">D56*'Marge &amp; Tragfähigkeit'!$B$11+E56*'Marge &amp; Tragfähigkeit'!$B$12</f>
        <v>2636</v>
      </c>
      <c r="G56" s="48" t="n">
        <f aca="false">IF(MOD(A56-1,12)=0,F56,G55+F56)</f>
        <v>18344</v>
      </c>
      <c r="H56" s="61" t="n">
        <f aca="false">IF(G56&gt;'Marge &amp; Tragfähigkeit'!$B$14,1,0)</f>
        <v>0</v>
      </c>
      <c r="I56" s="61" t="n">
        <f aca="false">IF(G56&gt;'Marge &amp; Tragfähigkeit'!$B$15,1,0)</f>
        <v>0</v>
      </c>
    </row>
    <row r="57" customFormat="false" ht="15" hidden="false" customHeight="false" outlineLevel="0" collapsed="false">
      <c r="A57" s="26" t="n">
        <v>33</v>
      </c>
      <c r="B57" s="60" t="n">
        <f aca="false">$B$8</f>
        <v>2</v>
      </c>
      <c r="C57" s="60" t="n">
        <f aca="false">C56+B57</f>
        <v>66</v>
      </c>
      <c r="D57" s="61" t="n">
        <f aca="false">MIN(C57,'Marge &amp; Tragfähigkeit'!$B$13)</f>
        <v>25</v>
      </c>
      <c r="E57" s="61" t="n">
        <f aca="false">MAX(C57-'Marge &amp; Tragfähigkeit'!$B$13,0)</f>
        <v>41</v>
      </c>
      <c r="F57" s="42" t="n">
        <f aca="false">D57*'Marge &amp; Tragfähigkeit'!$B$11+E57*'Marge &amp; Tragfähigkeit'!$B$12</f>
        <v>2734</v>
      </c>
      <c r="G57" s="48" t="n">
        <f aca="false">IF(MOD(A57-1,12)=0,F57,G56+F57)</f>
        <v>21078</v>
      </c>
      <c r="H57" s="61" t="n">
        <f aca="false">IF(G57&gt;'Marge &amp; Tragfähigkeit'!$B$14,1,0)</f>
        <v>0</v>
      </c>
      <c r="I57" s="61" t="n">
        <f aca="false">IF(G57&gt;'Marge &amp; Tragfähigkeit'!$B$15,1,0)</f>
        <v>0</v>
      </c>
    </row>
    <row r="58" customFormat="false" ht="15" hidden="false" customHeight="false" outlineLevel="0" collapsed="false">
      <c r="A58" s="26" t="n">
        <v>34</v>
      </c>
      <c r="B58" s="60" t="n">
        <f aca="false">$B$8</f>
        <v>2</v>
      </c>
      <c r="C58" s="60" t="n">
        <f aca="false">C57+B58</f>
        <v>68</v>
      </c>
      <c r="D58" s="61" t="n">
        <f aca="false">MIN(C58,'Marge &amp; Tragfähigkeit'!$B$13)</f>
        <v>25</v>
      </c>
      <c r="E58" s="61" t="n">
        <f aca="false">MAX(C58-'Marge &amp; Tragfähigkeit'!$B$13,0)</f>
        <v>43</v>
      </c>
      <c r="F58" s="42" t="n">
        <f aca="false">D58*'Marge &amp; Tragfähigkeit'!$B$11+E58*'Marge &amp; Tragfähigkeit'!$B$12</f>
        <v>2832</v>
      </c>
      <c r="G58" s="48" t="n">
        <f aca="false">IF(MOD(A58-1,12)=0,F58,G57+F58)</f>
        <v>23910</v>
      </c>
      <c r="H58" s="61" t="n">
        <f aca="false">IF(G58&gt;'Marge &amp; Tragfähigkeit'!$B$14,1,0)</f>
        <v>0</v>
      </c>
      <c r="I58" s="61" t="n">
        <f aca="false">IF(G58&gt;'Marge &amp; Tragfähigkeit'!$B$15,1,0)</f>
        <v>0</v>
      </c>
    </row>
    <row r="59" customFormat="false" ht="15" hidden="false" customHeight="false" outlineLevel="0" collapsed="false">
      <c r="A59" s="26" t="n">
        <v>35</v>
      </c>
      <c r="B59" s="60" t="n">
        <f aca="false">$B$8</f>
        <v>2</v>
      </c>
      <c r="C59" s="60" t="n">
        <f aca="false">C58+B59</f>
        <v>70</v>
      </c>
      <c r="D59" s="61" t="n">
        <f aca="false">MIN(C59,'Marge &amp; Tragfähigkeit'!$B$13)</f>
        <v>25</v>
      </c>
      <c r="E59" s="61" t="n">
        <f aca="false">MAX(C59-'Marge &amp; Tragfähigkeit'!$B$13,0)</f>
        <v>45</v>
      </c>
      <c r="F59" s="42" t="n">
        <f aca="false">D59*'Marge &amp; Tragfähigkeit'!$B$11+E59*'Marge &amp; Tragfähigkeit'!$B$12</f>
        <v>2930</v>
      </c>
      <c r="G59" s="48" t="n">
        <f aca="false">IF(MOD(A59-1,12)=0,F59,G58+F59)</f>
        <v>26840</v>
      </c>
      <c r="H59" s="61" t="n">
        <f aca="false">IF(G59&gt;'Marge &amp; Tragfähigkeit'!$B$14,1,0)</f>
        <v>1</v>
      </c>
      <c r="I59" s="61" t="n">
        <f aca="false">IF(G59&gt;'Marge &amp; Tragfähigkeit'!$B$15,1,0)</f>
        <v>0</v>
      </c>
    </row>
    <row r="60" customFormat="false" ht="15" hidden="false" customHeight="false" outlineLevel="0" collapsed="false">
      <c r="A60" s="26" t="n">
        <v>36</v>
      </c>
      <c r="B60" s="60" t="n">
        <f aca="false">$B$8</f>
        <v>2</v>
      </c>
      <c r="C60" s="60" t="n">
        <f aca="false">C59+B60</f>
        <v>72</v>
      </c>
      <c r="D60" s="61" t="n">
        <f aca="false">MIN(C60,'Marge &amp; Tragfähigkeit'!$B$13)</f>
        <v>25</v>
      </c>
      <c r="E60" s="61" t="n">
        <f aca="false">MAX(C60-'Marge &amp; Tragfähigkeit'!$B$13,0)</f>
        <v>47</v>
      </c>
      <c r="F60" s="42" t="n">
        <f aca="false">D60*'Marge &amp; Tragfähigkeit'!$B$11+E60*'Marge &amp; Tragfähigkeit'!$B$12</f>
        <v>3028</v>
      </c>
      <c r="G60" s="48" t="n">
        <f aca="false">IF(MOD(A60-1,12)=0,F60,G59+F60)</f>
        <v>29868</v>
      </c>
      <c r="H60" s="61" t="n">
        <f aca="false">IF(G60&gt;'Marge &amp; Tragfähigkeit'!$B$14,1,0)</f>
        <v>1</v>
      </c>
      <c r="I60" s="61" t="n">
        <f aca="false">IF(G60&gt;'Marge &amp; Tragfähigkeit'!$B$15,1,0)</f>
        <v>0</v>
      </c>
    </row>
    <row r="63" customFormat="false" ht="15" hidden="false" customHeight="false" outlineLevel="0" collapsed="false">
      <c r="A63" s="36" t="s">
        <v>318</v>
      </c>
    </row>
    <row r="64" customFormat="false" ht="39.55" hidden="false" customHeight="false" outlineLevel="0" collapsed="false">
      <c r="A64" s="3" t="s">
        <v>309</v>
      </c>
      <c r="B64" s="3" t="s">
        <v>310</v>
      </c>
      <c r="C64" s="3" t="s">
        <v>311</v>
      </c>
      <c r="D64" s="3" t="s">
        <v>312</v>
      </c>
      <c r="E64" s="3" t="s">
        <v>313</v>
      </c>
      <c r="F64" s="3" t="s">
        <v>314</v>
      </c>
      <c r="G64" s="3" t="s">
        <v>315</v>
      </c>
      <c r="H64" s="3" t="s">
        <v>316</v>
      </c>
      <c r="I64" s="3" t="s">
        <v>317</v>
      </c>
    </row>
    <row r="65" customFormat="false" ht="15" hidden="false" customHeight="false" outlineLevel="0" collapsed="false">
      <c r="A65" s="26" t="n">
        <v>1</v>
      </c>
      <c r="B65" s="60" t="n">
        <f aca="false">$B$9</f>
        <v>4</v>
      </c>
      <c r="C65" s="60" t="n">
        <f aca="false">B65</f>
        <v>4</v>
      </c>
      <c r="D65" s="61" t="n">
        <f aca="false">MIN(C65,'Marge &amp; Tragfähigkeit'!$B$13)</f>
        <v>4</v>
      </c>
      <c r="E65" s="61" t="n">
        <f aca="false">MAX(C65-'Marge &amp; Tragfähigkeit'!$B$13,0)</f>
        <v>0</v>
      </c>
      <c r="F65" s="42" t="n">
        <f aca="false">D65*'Marge &amp; Tragfähigkeit'!$B$11+E65*'Marge &amp; Tragfähigkeit'!$B$12</f>
        <v>116</v>
      </c>
      <c r="G65" s="48" t="n">
        <f aca="false">F65</f>
        <v>116</v>
      </c>
      <c r="H65" s="61" t="n">
        <f aca="false">IF(G65&gt;'Marge &amp; Tragfähigkeit'!$B$14,1,0)</f>
        <v>0</v>
      </c>
      <c r="I65" s="61" t="n">
        <f aca="false">IF(G65&gt;'Marge &amp; Tragfähigkeit'!$B$15,1,0)</f>
        <v>0</v>
      </c>
    </row>
    <row r="66" customFormat="false" ht="15" hidden="false" customHeight="false" outlineLevel="0" collapsed="false">
      <c r="A66" s="26" t="n">
        <v>2</v>
      </c>
      <c r="B66" s="60" t="n">
        <f aca="false">$B$9</f>
        <v>4</v>
      </c>
      <c r="C66" s="60" t="n">
        <f aca="false">C65+B66</f>
        <v>8</v>
      </c>
      <c r="D66" s="61" t="n">
        <f aca="false">MIN(C66,'Marge &amp; Tragfähigkeit'!$B$13)</f>
        <v>8</v>
      </c>
      <c r="E66" s="61" t="n">
        <f aca="false">MAX(C66-'Marge &amp; Tragfähigkeit'!$B$13,0)</f>
        <v>0</v>
      </c>
      <c r="F66" s="42" t="n">
        <f aca="false">D66*'Marge &amp; Tragfähigkeit'!$B$11+E66*'Marge &amp; Tragfähigkeit'!$B$12</f>
        <v>232</v>
      </c>
      <c r="G66" s="48" t="n">
        <f aca="false">IF(MOD(A66-1,12)=0,F66,G65+F66)</f>
        <v>348</v>
      </c>
      <c r="H66" s="61" t="n">
        <f aca="false">IF(G66&gt;'Marge &amp; Tragfähigkeit'!$B$14,1,0)</f>
        <v>0</v>
      </c>
      <c r="I66" s="61" t="n">
        <f aca="false">IF(G66&gt;'Marge &amp; Tragfähigkeit'!$B$15,1,0)</f>
        <v>0</v>
      </c>
    </row>
    <row r="67" customFormat="false" ht="15" hidden="false" customHeight="false" outlineLevel="0" collapsed="false">
      <c r="A67" s="26" t="n">
        <v>3</v>
      </c>
      <c r="B67" s="60" t="n">
        <f aca="false">$B$9</f>
        <v>4</v>
      </c>
      <c r="C67" s="60" t="n">
        <f aca="false">C66+B67</f>
        <v>12</v>
      </c>
      <c r="D67" s="61" t="n">
        <f aca="false">MIN(C67,'Marge &amp; Tragfähigkeit'!$B$13)</f>
        <v>12</v>
      </c>
      <c r="E67" s="61" t="n">
        <f aca="false">MAX(C67-'Marge &amp; Tragfähigkeit'!$B$13,0)</f>
        <v>0</v>
      </c>
      <c r="F67" s="42" t="n">
        <f aca="false">D67*'Marge &amp; Tragfähigkeit'!$B$11+E67*'Marge &amp; Tragfähigkeit'!$B$12</f>
        <v>348</v>
      </c>
      <c r="G67" s="48" t="n">
        <f aca="false">IF(MOD(A67-1,12)=0,F67,G66+F67)</f>
        <v>696</v>
      </c>
      <c r="H67" s="61" t="n">
        <f aca="false">IF(G67&gt;'Marge &amp; Tragfähigkeit'!$B$14,1,0)</f>
        <v>0</v>
      </c>
      <c r="I67" s="61" t="n">
        <f aca="false">IF(G67&gt;'Marge &amp; Tragfähigkeit'!$B$15,1,0)</f>
        <v>0</v>
      </c>
    </row>
    <row r="68" customFormat="false" ht="15" hidden="false" customHeight="false" outlineLevel="0" collapsed="false">
      <c r="A68" s="26" t="n">
        <v>4</v>
      </c>
      <c r="B68" s="60" t="n">
        <f aca="false">$B$9</f>
        <v>4</v>
      </c>
      <c r="C68" s="60" t="n">
        <f aca="false">C67+B68</f>
        <v>16</v>
      </c>
      <c r="D68" s="61" t="n">
        <f aca="false">MIN(C68,'Marge &amp; Tragfähigkeit'!$B$13)</f>
        <v>16</v>
      </c>
      <c r="E68" s="61" t="n">
        <f aca="false">MAX(C68-'Marge &amp; Tragfähigkeit'!$B$13,0)</f>
        <v>0</v>
      </c>
      <c r="F68" s="42" t="n">
        <f aca="false">D68*'Marge &amp; Tragfähigkeit'!$B$11+E68*'Marge &amp; Tragfähigkeit'!$B$12</f>
        <v>464</v>
      </c>
      <c r="G68" s="48" t="n">
        <f aca="false">IF(MOD(A68-1,12)=0,F68,G67+F68)</f>
        <v>1160</v>
      </c>
      <c r="H68" s="61" t="n">
        <f aca="false">IF(G68&gt;'Marge &amp; Tragfähigkeit'!$B$14,1,0)</f>
        <v>0</v>
      </c>
      <c r="I68" s="61" t="n">
        <f aca="false">IF(G68&gt;'Marge &amp; Tragfähigkeit'!$B$15,1,0)</f>
        <v>0</v>
      </c>
    </row>
    <row r="69" customFormat="false" ht="15" hidden="false" customHeight="false" outlineLevel="0" collapsed="false">
      <c r="A69" s="26" t="n">
        <v>5</v>
      </c>
      <c r="B69" s="60" t="n">
        <f aca="false">$B$9</f>
        <v>4</v>
      </c>
      <c r="C69" s="60" t="n">
        <f aca="false">C68+B69</f>
        <v>20</v>
      </c>
      <c r="D69" s="61" t="n">
        <f aca="false">MIN(C69,'Marge &amp; Tragfähigkeit'!$B$13)</f>
        <v>20</v>
      </c>
      <c r="E69" s="61" t="n">
        <f aca="false">MAX(C69-'Marge &amp; Tragfähigkeit'!$B$13,0)</f>
        <v>0</v>
      </c>
      <c r="F69" s="42" t="n">
        <f aca="false">D69*'Marge &amp; Tragfähigkeit'!$B$11+E69*'Marge &amp; Tragfähigkeit'!$B$12</f>
        <v>580</v>
      </c>
      <c r="G69" s="48" t="n">
        <f aca="false">IF(MOD(A69-1,12)=0,F69,G68+F69)</f>
        <v>1740</v>
      </c>
      <c r="H69" s="61" t="n">
        <f aca="false">IF(G69&gt;'Marge &amp; Tragfähigkeit'!$B$14,1,0)</f>
        <v>0</v>
      </c>
      <c r="I69" s="61" t="n">
        <f aca="false">IF(G69&gt;'Marge &amp; Tragfähigkeit'!$B$15,1,0)</f>
        <v>0</v>
      </c>
    </row>
    <row r="70" customFormat="false" ht="15" hidden="false" customHeight="false" outlineLevel="0" collapsed="false">
      <c r="A70" s="26" t="n">
        <v>6</v>
      </c>
      <c r="B70" s="60" t="n">
        <f aca="false">$B$9</f>
        <v>4</v>
      </c>
      <c r="C70" s="60" t="n">
        <f aca="false">C69+B70</f>
        <v>24</v>
      </c>
      <c r="D70" s="61" t="n">
        <f aca="false">MIN(C70,'Marge &amp; Tragfähigkeit'!$B$13)</f>
        <v>24</v>
      </c>
      <c r="E70" s="61" t="n">
        <f aca="false">MAX(C70-'Marge &amp; Tragfähigkeit'!$B$13,0)</f>
        <v>0</v>
      </c>
      <c r="F70" s="42" t="n">
        <f aca="false">D70*'Marge &amp; Tragfähigkeit'!$B$11+E70*'Marge &amp; Tragfähigkeit'!$B$12</f>
        <v>696</v>
      </c>
      <c r="G70" s="48" t="n">
        <f aca="false">IF(MOD(A70-1,12)=0,F70,G69+F70)</f>
        <v>2436</v>
      </c>
      <c r="H70" s="61" t="n">
        <f aca="false">IF(G70&gt;'Marge &amp; Tragfähigkeit'!$B$14,1,0)</f>
        <v>0</v>
      </c>
      <c r="I70" s="61" t="n">
        <f aca="false">IF(G70&gt;'Marge &amp; Tragfähigkeit'!$B$15,1,0)</f>
        <v>0</v>
      </c>
    </row>
    <row r="71" customFormat="false" ht="15" hidden="false" customHeight="false" outlineLevel="0" collapsed="false">
      <c r="A71" s="26" t="n">
        <v>7</v>
      </c>
      <c r="B71" s="60" t="n">
        <f aca="false">$B$9</f>
        <v>4</v>
      </c>
      <c r="C71" s="60" t="n">
        <f aca="false">C70+B71</f>
        <v>28</v>
      </c>
      <c r="D71" s="61" t="n">
        <f aca="false">MIN(C71,'Marge &amp; Tragfähigkeit'!$B$13)</f>
        <v>25</v>
      </c>
      <c r="E71" s="61" t="n">
        <f aca="false">MAX(C71-'Marge &amp; Tragfähigkeit'!$B$13,0)</f>
        <v>3</v>
      </c>
      <c r="F71" s="42" t="n">
        <f aca="false">D71*'Marge &amp; Tragfähigkeit'!$B$11+E71*'Marge &amp; Tragfähigkeit'!$B$12</f>
        <v>872</v>
      </c>
      <c r="G71" s="48" t="n">
        <f aca="false">IF(MOD(A71-1,12)=0,F71,G70+F71)</f>
        <v>3308</v>
      </c>
      <c r="H71" s="61" t="n">
        <f aca="false">IF(G71&gt;'Marge &amp; Tragfähigkeit'!$B$14,1,0)</f>
        <v>0</v>
      </c>
      <c r="I71" s="61" t="n">
        <f aca="false">IF(G71&gt;'Marge &amp; Tragfähigkeit'!$B$15,1,0)</f>
        <v>0</v>
      </c>
    </row>
    <row r="72" customFormat="false" ht="15" hidden="false" customHeight="false" outlineLevel="0" collapsed="false">
      <c r="A72" s="26" t="n">
        <v>8</v>
      </c>
      <c r="B72" s="60" t="n">
        <f aca="false">$B$9</f>
        <v>4</v>
      </c>
      <c r="C72" s="60" t="n">
        <f aca="false">C71+B72</f>
        <v>32</v>
      </c>
      <c r="D72" s="61" t="n">
        <f aca="false">MIN(C72,'Marge &amp; Tragfähigkeit'!$B$13)</f>
        <v>25</v>
      </c>
      <c r="E72" s="61" t="n">
        <f aca="false">MAX(C72-'Marge &amp; Tragfähigkeit'!$B$13,0)</f>
        <v>7</v>
      </c>
      <c r="F72" s="42" t="n">
        <f aca="false">D72*'Marge &amp; Tragfähigkeit'!$B$11+E72*'Marge &amp; Tragfähigkeit'!$B$12</f>
        <v>1068</v>
      </c>
      <c r="G72" s="48" t="n">
        <f aca="false">IF(MOD(A72-1,12)=0,F72,G71+F72)</f>
        <v>4376</v>
      </c>
      <c r="H72" s="61" t="n">
        <f aca="false">IF(G72&gt;'Marge &amp; Tragfähigkeit'!$B$14,1,0)</f>
        <v>0</v>
      </c>
      <c r="I72" s="61" t="n">
        <f aca="false">IF(G72&gt;'Marge &amp; Tragfähigkeit'!$B$15,1,0)</f>
        <v>0</v>
      </c>
    </row>
    <row r="73" customFormat="false" ht="15" hidden="false" customHeight="false" outlineLevel="0" collapsed="false">
      <c r="A73" s="26" t="n">
        <v>9</v>
      </c>
      <c r="B73" s="60" t="n">
        <f aca="false">$B$9</f>
        <v>4</v>
      </c>
      <c r="C73" s="60" t="n">
        <f aca="false">C72+B73</f>
        <v>36</v>
      </c>
      <c r="D73" s="61" t="n">
        <f aca="false">MIN(C73,'Marge &amp; Tragfähigkeit'!$B$13)</f>
        <v>25</v>
      </c>
      <c r="E73" s="61" t="n">
        <f aca="false">MAX(C73-'Marge &amp; Tragfähigkeit'!$B$13,0)</f>
        <v>11</v>
      </c>
      <c r="F73" s="42" t="n">
        <f aca="false">D73*'Marge &amp; Tragfähigkeit'!$B$11+E73*'Marge &amp; Tragfähigkeit'!$B$12</f>
        <v>1264</v>
      </c>
      <c r="G73" s="48" t="n">
        <f aca="false">IF(MOD(A73-1,12)=0,F73,G72+F73)</f>
        <v>5640</v>
      </c>
      <c r="H73" s="61" t="n">
        <f aca="false">IF(G73&gt;'Marge &amp; Tragfähigkeit'!$B$14,1,0)</f>
        <v>0</v>
      </c>
      <c r="I73" s="61" t="n">
        <f aca="false">IF(G73&gt;'Marge &amp; Tragfähigkeit'!$B$15,1,0)</f>
        <v>0</v>
      </c>
    </row>
    <row r="74" customFormat="false" ht="15" hidden="false" customHeight="false" outlineLevel="0" collapsed="false">
      <c r="A74" s="26" t="n">
        <v>10</v>
      </c>
      <c r="B74" s="60" t="n">
        <f aca="false">$B$9</f>
        <v>4</v>
      </c>
      <c r="C74" s="60" t="n">
        <f aca="false">C73+B74</f>
        <v>40</v>
      </c>
      <c r="D74" s="61" t="n">
        <f aca="false">MIN(C74,'Marge &amp; Tragfähigkeit'!$B$13)</f>
        <v>25</v>
      </c>
      <c r="E74" s="61" t="n">
        <f aca="false">MAX(C74-'Marge &amp; Tragfähigkeit'!$B$13,0)</f>
        <v>15</v>
      </c>
      <c r="F74" s="42" t="n">
        <f aca="false">D74*'Marge &amp; Tragfähigkeit'!$B$11+E74*'Marge &amp; Tragfähigkeit'!$B$12</f>
        <v>1460</v>
      </c>
      <c r="G74" s="48" t="n">
        <f aca="false">IF(MOD(A74-1,12)=0,F74,G73+F74)</f>
        <v>7100</v>
      </c>
      <c r="H74" s="61" t="n">
        <f aca="false">IF(G74&gt;'Marge &amp; Tragfähigkeit'!$B$14,1,0)</f>
        <v>0</v>
      </c>
      <c r="I74" s="61" t="n">
        <f aca="false">IF(G74&gt;'Marge &amp; Tragfähigkeit'!$B$15,1,0)</f>
        <v>0</v>
      </c>
    </row>
    <row r="75" customFormat="false" ht="15" hidden="false" customHeight="false" outlineLevel="0" collapsed="false">
      <c r="A75" s="26" t="n">
        <v>11</v>
      </c>
      <c r="B75" s="60" t="n">
        <f aca="false">$B$9</f>
        <v>4</v>
      </c>
      <c r="C75" s="60" t="n">
        <f aca="false">C74+B75</f>
        <v>44</v>
      </c>
      <c r="D75" s="61" t="n">
        <f aca="false">MIN(C75,'Marge &amp; Tragfähigkeit'!$B$13)</f>
        <v>25</v>
      </c>
      <c r="E75" s="61" t="n">
        <f aca="false">MAX(C75-'Marge &amp; Tragfähigkeit'!$B$13,0)</f>
        <v>19</v>
      </c>
      <c r="F75" s="42" t="n">
        <f aca="false">D75*'Marge &amp; Tragfähigkeit'!$B$11+E75*'Marge &amp; Tragfähigkeit'!$B$12</f>
        <v>1656</v>
      </c>
      <c r="G75" s="48" t="n">
        <f aca="false">IF(MOD(A75-1,12)=0,F75,G74+F75)</f>
        <v>8756</v>
      </c>
      <c r="H75" s="61" t="n">
        <f aca="false">IF(G75&gt;'Marge &amp; Tragfähigkeit'!$B$14,1,0)</f>
        <v>0</v>
      </c>
      <c r="I75" s="61" t="n">
        <f aca="false">IF(G75&gt;'Marge &amp; Tragfähigkeit'!$B$15,1,0)</f>
        <v>0</v>
      </c>
    </row>
    <row r="76" customFormat="false" ht="15" hidden="false" customHeight="false" outlineLevel="0" collapsed="false">
      <c r="A76" s="26" t="n">
        <v>12</v>
      </c>
      <c r="B76" s="60" t="n">
        <f aca="false">$B$9</f>
        <v>4</v>
      </c>
      <c r="C76" s="60" t="n">
        <f aca="false">C75+B76</f>
        <v>48</v>
      </c>
      <c r="D76" s="61" t="n">
        <f aca="false">MIN(C76,'Marge &amp; Tragfähigkeit'!$B$13)</f>
        <v>25</v>
      </c>
      <c r="E76" s="61" t="n">
        <f aca="false">MAX(C76-'Marge &amp; Tragfähigkeit'!$B$13,0)</f>
        <v>23</v>
      </c>
      <c r="F76" s="42" t="n">
        <f aca="false">D76*'Marge &amp; Tragfähigkeit'!$B$11+E76*'Marge &amp; Tragfähigkeit'!$B$12</f>
        <v>1852</v>
      </c>
      <c r="G76" s="48" t="n">
        <f aca="false">IF(MOD(A76-1,12)=0,F76,G75+F76)</f>
        <v>10608</v>
      </c>
      <c r="H76" s="61" t="n">
        <f aca="false">IF(G76&gt;'Marge &amp; Tragfähigkeit'!$B$14,1,0)</f>
        <v>0</v>
      </c>
      <c r="I76" s="61" t="n">
        <f aca="false">IF(G76&gt;'Marge &amp; Tragfähigkeit'!$B$15,1,0)</f>
        <v>0</v>
      </c>
    </row>
    <row r="77" customFormat="false" ht="15" hidden="false" customHeight="false" outlineLevel="0" collapsed="false">
      <c r="A77" s="26" t="n">
        <v>13</v>
      </c>
      <c r="B77" s="60" t="n">
        <f aca="false">$B$9</f>
        <v>4</v>
      </c>
      <c r="C77" s="60" t="n">
        <f aca="false">C76+B77</f>
        <v>52</v>
      </c>
      <c r="D77" s="61" t="n">
        <f aca="false">MIN(C77,'Marge &amp; Tragfähigkeit'!$B$13)</f>
        <v>25</v>
      </c>
      <c r="E77" s="61" t="n">
        <f aca="false">MAX(C77-'Marge &amp; Tragfähigkeit'!$B$13,0)</f>
        <v>27</v>
      </c>
      <c r="F77" s="42" t="n">
        <f aca="false">D77*'Marge &amp; Tragfähigkeit'!$B$11+E77*'Marge &amp; Tragfähigkeit'!$B$12</f>
        <v>2048</v>
      </c>
      <c r="G77" s="48" t="n">
        <f aca="false">IF(MOD(A77-1,12)=0,F77,G76+F77)</f>
        <v>2048</v>
      </c>
      <c r="H77" s="61" t="n">
        <f aca="false">IF(G77&gt;'Marge &amp; Tragfähigkeit'!$B$14,1,0)</f>
        <v>0</v>
      </c>
      <c r="I77" s="61" t="n">
        <f aca="false">IF(G77&gt;'Marge &amp; Tragfähigkeit'!$B$15,1,0)</f>
        <v>0</v>
      </c>
    </row>
    <row r="78" customFormat="false" ht="15" hidden="false" customHeight="false" outlineLevel="0" collapsed="false">
      <c r="A78" s="26" t="n">
        <v>14</v>
      </c>
      <c r="B78" s="60" t="n">
        <f aca="false">$B$9</f>
        <v>4</v>
      </c>
      <c r="C78" s="60" t="n">
        <f aca="false">C77+B78</f>
        <v>56</v>
      </c>
      <c r="D78" s="61" t="n">
        <f aca="false">MIN(C78,'Marge &amp; Tragfähigkeit'!$B$13)</f>
        <v>25</v>
      </c>
      <c r="E78" s="61" t="n">
        <f aca="false">MAX(C78-'Marge &amp; Tragfähigkeit'!$B$13,0)</f>
        <v>31</v>
      </c>
      <c r="F78" s="42" t="n">
        <f aca="false">D78*'Marge &amp; Tragfähigkeit'!$B$11+E78*'Marge &amp; Tragfähigkeit'!$B$12</f>
        <v>2244</v>
      </c>
      <c r="G78" s="48" t="n">
        <f aca="false">IF(MOD(A78-1,12)=0,F78,G77+F78)</f>
        <v>4292</v>
      </c>
      <c r="H78" s="61" t="n">
        <f aca="false">IF(G78&gt;'Marge &amp; Tragfähigkeit'!$B$14,1,0)</f>
        <v>0</v>
      </c>
      <c r="I78" s="61" t="n">
        <f aca="false">IF(G78&gt;'Marge &amp; Tragfähigkeit'!$B$15,1,0)</f>
        <v>0</v>
      </c>
    </row>
    <row r="79" customFormat="false" ht="15" hidden="false" customHeight="false" outlineLevel="0" collapsed="false">
      <c r="A79" s="26" t="n">
        <v>15</v>
      </c>
      <c r="B79" s="60" t="n">
        <f aca="false">$B$9</f>
        <v>4</v>
      </c>
      <c r="C79" s="60" t="n">
        <f aca="false">C78+B79</f>
        <v>60</v>
      </c>
      <c r="D79" s="61" t="n">
        <f aca="false">MIN(C79,'Marge &amp; Tragfähigkeit'!$B$13)</f>
        <v>25</v>
      </c>
      <c r="E79" s="61" t="n">
        <f aca="false">MAX(C79-'Marge &amp; Tragfähigkeit'!$B$13,0)</f>
        <v>35</v>
      </c>
      <c r="F79" s="42" t="n">
        <f aca="false">D79*'Marge &amp; Tragfähigkeit'!$B$11+E79*'Marge &amp; Tragfähigkeit'!$B$12</f>
        <v>2440</v>
      </c>
      <c r="G79" s="48" t="n">
        <f aca="false">IF(MOD(A79-1,12)=0,F79,G78+F79)</f>
        <v>6732</v>
      </c>
      <c r="H79" s="61" t="n">
        <f aca="false">IF(G79&gt;'Marge &amp; Tragfähigkeit'!$B$14,1,0)</f>
        <v>0</v>
      </c>
      <c r="I79" s="61" t="n">
        <f aca="false">IF(G79&gt;'Marge &amp; Tragfähigkeit'!$B$15,1,0)</f>
        <v>0</v>
      </c>
    </row>
    <row r="80" customFormat="false" ht="15" hidden="false" customHeight="false" outlineLevel="0" collapsed="false">
      <c r="A80" s="26" t="n">
        <v>16</v>
      </c>
      <c r="B80" s="60" t="n">
        <f aca="false">$B$9</f>
        <v>4</v>
      </c>
      <c r="C80" s="60" t="n">
        <f aca="false">C79+B80</f>
        <v>64</v>
      </c>
      <c r="D80" s="61" t="n">
        <f aca="false">MIN(C80,'Marge &amp; Tragfähigkeit'!$B$13)</f>
        <v>25</v>
      </c>
      <c r="E80" s="61" t="n">
        <f aca="false">MAX(C80-'Marge &amp; Tragfähigkeit'!$B$13,0)</f>
        <v>39</v>
      </c>
      <c r="F80" s="42" t="n">
        <f aca="false">D80*'Marge &amp; Tragfähigkeit'!$B$11+E80*'Marge &amp; Tragfähigkeit'!$B$12</f>
        <v>2636</v>
      </c>
      <c r="G80" s="48" t="n">
        <f aca="false">IF(MOD(A80-1,12)=0,F80,G79+F80)</f>
        <v>9368</v>
      </c>
      <c r="H80" s="61" t="n">
        <f aca="false">IF(G80&gt;'Marge &amp; Tragfähigkeit'!$B$14,1,0)</f>
        <v>0</v>
      </c>
      <c r="I80" s="61" t="n">
        <f aca="false">IF(G80&gt;'Marge &amp; Tragfähigkeit'!$B$15,1,0)</f>
        <v>0</v>
      </c>
    </row>
    <row r="81" customFormat="false" ht="15" hidden="false" customHeight="false" outlineLevel="0" collapsed="false">
      <c r="A81" s="26" t="n">
        <v>17</v>
      </c>
      <c r="B81" s="60" t="n">
        <f aca="false">$B$9</f>
        <v>4</v>
      </c>
      <c r="C81" s="60" t="n">
        <f aca="false">C80+B81</f>
        <v>68</v>
      </c>
      <c r="D81" s="61" t="n">
        <f aca="false">MIN(C81,'Marge &amp; Tragfähigkeit'!$B$13)</f>
        <v>25</v>
      </c>
      <c r="E81" s="61" t="n">
        <f aca="false">MAX(C81-'Marge &amp; Tragfähigkeit'!$B$13,0)</f>
        <v>43</v>
      </c>
      <c r="F81" s="42" t="n">
        <f aca="false">D81*'Marge &amp; Tragfähigkeit'!$B$11+E81*'Marge &amp; Tragfähigkeit'!$B$12</f>
        <v>2832</v>
      </c>
      <c r="G81" s="48" t="n">
        <f aca="false">IF(MOD(A81-1,12)=0,F81,G80+F81)</f>
        <v>12200</v>
      </c>
      <c r="H81" s="61" t="n">
        <f aca="false">IF(G81&gt;'Marge &amp; Tragfähigkeit'!$B$14,1,0)</f>
        <v>0</v>
      </c>
      <c r="I81" s="61" t="n">
        <f aca="false">IF(G81&gt;'Marge &amp; Tragfähigkeit'!$B$15,1,0)</f>
        <v>0</v>
      </c>
    </row>
    <row r="82" customFormat="false" ht="15" hidden="false" customHeight="false" outlineLevel="0" collapsed="false">
      <c r="A82" s="26" t="n">
        <v>18</v>
      </c>
      <c r="B82" s="60" t="n">
        <f aca="false">$B$9</f>
        <v>4</v>
      </c>
      <c r="C82" s="60" t="n">
        <f aca="false">C81+B82</f>
        <v>72</v>
      </c>
      <c r="D82" s="61" t="n">
        <f aca="false">MIN(C82,'Marge &amp; Tragfähigkeit'!$B$13)</f>
        <v>25</v>
      </c>
      <c r="E82" s="61" t="n">
        <f aca="false">MAX(C82-'Marge &amp; Tragfähigkeit'!$B$13,0)</f>
        <v>47</v>
      </c>
      <c r="F82" s="42" t="n">
        <f aca="false">D82*'Marge &amp; Tragfähigkeit'!$B$11+E82*'Marge &amp; Tragfähigkeit'!$B$12</f>
        <v>3028</v>
      </c>
      <c r="G82" s="48" t="n">
        <f aca="false">IF(MOD(A82-1,12)=0,F82,G81+F82)</f>
        <v>15228</v>
      </c>
      <c r="H82" s="61" t="n">
        <f aca="false">IF(G82&gt;'Marge &amp; Tragfähigkeit'!$B$14,1,0)</f>
        <v>0</v>
      </c>
      <c r="I82" s="61" t="n">
        <f aca="false">IF(G82&gt;'Marge &amp; Tragfähigkeit'!$B$15,1,0)</f>
        <v>0</v>
      </c>
    </row>
    <row r="83" customFormat="false" ht="15" hidden="false" customHeight="false" outlineLevel="0" collapsed="false">
      <c r="A83" s="26" t="n">
        <v>19</v>
      </c>
      <c r="B83" s="60" t="n">
        <f aca="false">$B$9</f>
        <v>4</v>
      </c>
      <c r="C83" s="60" t="n">
        <f aca="false">C82+B83</f>
        <v>76</v>
      </c>
      <c r="D83" s="61" t="n">
        <f aca="false">MIN(C83,'Marge &amp; Tragfähigkeit'!$B$13)</f>
        <v>25</v>
      </c>
      <c r="E83" s="61" t="n">
        <f aca="false">MAX(C83-'Marge &amp; Tragfähigkeit'!$B$13,0)</f>
        <v>51</v>
      </c>
      <c r="F83" s="42" t="n">
        <f aca="false">D83*'Marge &amp; Tragfähigkeit'!$B$11+E83*'Marge &amp; Tragfähigkeit'!$B$12</f>
        <v>3224</v>
      </c>
      <c r="G83" s="48" t="n">
        <f aca="false">IF(MOD(A83-1,12)=0,F83,G82+F83)</f>
        <v>18452</v>
      </c>
      <c r="H83" s="61" t="n">
        <f aca="false">IF(G83&gt;'Marge &amp; Tragfähigkeit'!$B$14,1,0)</f>
        <v>0</v>
      </c>
      <c r="I83" s="61" t="n">
        <f aca="false">IF(G83&gt;'Marge &amp; Tragfähigkeit'!$B$15,1,0)</f>
        <v>0</v>
      </c>
    </row>
    <row r="84" customFormat="false" ht="15" hidden="false" customHeight="false" outlineLevel="0" collapsed="false">
      <c r="A84" s="26" t="n">
        <v>20</v>
      </c>
      <c r="B84" s="60" t="n">
        <f aca="false">$B$9</f>
        <v>4</v>
      </c>
      <c r="C84" s="60" t="n">
        <f aca="false">C83+B84</f>
        <v>80</v>
      </c>
      <c r="D84" s="61" t="n">
        <f aca="false">MIN(C84,'Marge &amp; Tragfähigkeit'!$B$13)</f>
        <v>25</v>
      </c>
      <c r="E84" s="61" t="n">
        <f aca="false">MAX(C84-'Marge &amp; Tragfähigkeit'!$B$13,0)</f>
        <v>55</v>
      </c>
      <c r="F84" s="42" t="n">
        <f aca="false">D84*'Marge &amp; Tragfähigkeit'!$B$11+E84*'Marge &amp; Tragfähigkeit'!$B$12</f>
        <v>3420</v>
      </c>
      <c r="G84" s="48" t="n">
        <f aca="false">IF(MOD(A84-1,12)=0,F84,G83+F84)</f>
        <v>21872</v>
      </c>
      <c r="H84" s="61" t="n">
        <f aca="false">IF(G84&gt;'Marge &amp; Tragfähigkeit'!$B$14,1,0)</f>
        <v>0</v>
      </c>
      <c r="I84" s="61" t="n">
        <f aca="false">IF(G84&gt;'Marge &amp; Tragfähigkeit'!$B$15,1,0)</f>
        <v>0</v>
      </c>
    </row>
    <row r="85" customFormat="false" ht="15" hidden="false" customHeight="false" outlineLevel="0" collapsed="false">
      <c r="A85" s="26" t="n">
        <v>21</v>
      </c>
      <c r="B85" s="60" t="n">
        <f aca="false">$B$9</f>
        <v>4</v>
      </c>
      <c r="C85" s="60" t="n">
        <f aca="false">C84+B85</f>
        <v>84</v>
      </c>
      <c r="D85" s="61" t="n">
        <f aca="false">MIN(C85,'Marge &amp; Tragfähigkeit'!$B$13)</f>
        <v>25</v>
      </c>
      <c r="E85" s="61" t="n">
        <f aca="false">MAX(C85-'Marge &amp; Tragfähigkeit'!$B$13,0)</f>
        <v>59</v>
      </c>
      <c r="F85" s="42" t="n">
        <f aca="false">D85*'Marge &amp; Tragfähigkeit'!$B$11+E85*'Marge &amp; Tragfähigkeit'!$B$12</f>
        <v>3616</v>
      </c>
      <c r="G85" s="48" t="n">
        <f aca="false">IF(MOD(A85-1,12)=0,F85,G84+F85)</f>
        <v>25488</v>
      </c>
      <c r="H85" s="61" t="n">
        <f aca="false">IF(G85&gt;'Marge &amp; Tragfähigkeit'!$B$14,1,0)</f>
        <v>1</v>
      </c>
      <c r="I85" s="61" t="n">
        <f aca="false">IF(G85&gt;'Marge &amp; Tragfähigkeit'!$B$15,1,0)</f>
        <v>0</v>
      </c>
    </row>
    <row r="86" customFormat="false" ht="15" hidden="false" customHeight="false" outlineLevel="0" collapsed="false">
      <c r="A86" s="26" t="n">
        <v>22</v>
      </c>
      <c r="B86" s="60" t="n">
        <f aca="false">$B$9</f>
        <v>4</v>
      </c>
      <c r="C86" s="60" t="n">
        <f aca="false">C85+B86</f>
        <v>88</v>
      </c>
      <c r="D86" s="61" t="n">
        <f aca="false">MIN(C86,'Marge &amp; Tragfähigkeit'!$B$13)</f>
        <v>25</v>
      </c>
      <c r="E86" s="61" t="n">
        <f aca="false">MAX(C86-'Marge &amp; Tragfähigkeit'!$B$13,0)</f>
        <v>63</v>
      </c>
      <c r="F86" s="42" t="n">
        <f aca="false">D86*'Marge &amp; Tragfähigkeit'!$B$11+E86*'Marge &amp; Tragfähigkeit'!$B$12</f>
        <v>3812</v>
      </c>
      <c r="G86" s="48" t="n">
        <f aca="false">IF(MOD(A86-1,12)=0,F86,G85+F86)</f>
        <v>29300</v>
      </c>
      <c r="H86" s="61" t="n">
        <f aca="false">IF(G86&gt;'Marge &amp; Tragfähigkeit'!$B$14,1,0)</f>
        <v>1</v>
      </c>
      <c r="I86" s="61" t="n">
        <f aca="false">IF(G86&gt;'Marge &amp; Tragfähigkeit'!$B$15,1,0)</f>
        <v>0</v>
      </c>
    </row>
    <row r="87" customFormat="false" ht="15" hidden="false" customHeight="false" outlineLevel="0" collapsed="false">
      <c r="A87" s="26" t="n">
        <v>23</v>
      </c>
      <c r="B87" s="60" t="n">
        <f aca="false">$B$9</f>
        <v>4</v>
      </c>
      <c r="C87" s="60" t="n">
        <f aca="false">C86+B87</f>
        <v>92</v>
      </c>
      <c r="D87" s="61" t="n">
        <f aca="false">MIN(C87,'Marge &amp; Tragfähigkeit'!$B$13)</f>
        <v>25</v>
      </c>
      <c r="E87" s="61" t="n">
        <f aca="false">MAX(C87-'Marge &amp; Tragfähigkeit'!$B$13,0)</f>
        <v>67</v>
      </c>
      <c r="F87" s="42" t="n">
        <f aca="false">D87*'Marge &amp; Tragfähigkeit'!$B$11+E87*'Marge &amp; Tragfähigkeit'!$B$12</f>
        <v>4008</v>
      </c>
      <c r="G87" s="48" t="n">
        <f aca="false">IF(MOD(A87-1,12)=0,F87,G86+F87)</f>
        <v>33308</v>
      </c>
      <c r="H87" s="61" t="n">
        <f aca="false">IF(G87&gt;'Marge &amp; Tragfähigkeit'!$B$14,1,0)</f>
        <v>1</v>
      </c>
      <c r="I87" s="61" t="n">
        <f aca="false">IF(G87&gt;'Marge &amp; Tragfähigkeit'!$B$15,1,0)</f>
        <v>0</v>
      </c>
    </row>
    <row r="88" customFormat="false" ht="15" hidden="false" customHeight="false" outlineLevel="0" collapsed="false">
      <c r="A88" s="26" t="n">
        <v>24</v>
      </c>
      <c r="B88" s="60" t="n">
        <f aca="false">$B$9</f>
        <v>4</v>
      </c>
      <c r="C88" s="60" t="n">
        <f aca="false">C87+B88</f>
        <v>96</v>
      </c>
      <c r="D88" s="61" t="n">
        <f aca="false">MIN(C88,'Marge &amp; Tragfähigkeit'!$B$13)</f>
        <v>25</v>
      </c>
      <c r="E88" s="61" t="n">
        <f aca="false">MAX(C88-'Marge &amp; Tragfähigkeit'!$B$13,0)</f>
        <v>71</v>
      </c>
      <c r="F88" s="42" t="n">
        <f aca="false">D88*'Marge &amp; Tragfähigkeit'!$B$11+E88*'Marge &amp; Tragfähigkeit'!$B$12</f>
        <v>4204</v>
      </c>
      <c r="G88" s="48" t="n">
        <f aca="false">IF(MOD(A88-1,12)=0,F88,G87+F88)</f>
        <v>37512</v>
      </c>
      <c r="H88" s="61" t="n">
        <f aca="false">IF(G88&gt;'Marge &amp; Tragfähigkeit'!$B$14,1,0)</f>
        <v>1</v>
      </c>
      <c r="I88" s="61" t="n">
        <f aca="false">IF(G88&gt;'Marge &amp; Tragfähigkeit'!$B$15,1,0)</f>
        <v>0</v>
      </c>
    </row>
    <row r="89" customFormat="false" ht="15" hidden="false" customHeight="false" outlineLevel="0" collapsed="false">
      <c r="A89" s="26" t="n">
        <v>25</v>
      </c>
      <c r="B89" s="60" t="n">
        <f aca="false">$B$9</f>
        <v>4</v>
      </c>
      <c r="C89" s="60" t="n">
        <f aca="false">C88+B89</f>
        <v>100</v>
      </c>
      <c r="D89" s="61" t="n">
        <f aca="false">MIN(C89,'Marge &amp; Tragfähigkeit'!$B$13)</f>
        <v>25</v>
      </c>
      <c r="E89" s="61" t="n">
        <f aca="false">MAX(C89-'Marge &amp; Tragfähigkeit'!$B$13,0)</f>
        <v>75</v>
      </c>
      <c r="F89" s="42" t="n">
        <f aca="false">D89*'Marge &amp; Tragfähigkeit'!$B$11+E89*'Marge &amp; Tragfähigkeit'!$B$12</f>
        <v>4400</v>
      </c>
      <c r="G89" s="48" t="n">
        <f aca="false">IF(MOD(A89-1,12)=0,F89,G88+F89)</f>
        <v>4400</v>
      </c>
      <c r="H89" s="61" t="n">
        <f aca="false">IF(G89&gt;'Marge &amp; Tragfähigkeit'!$B$14,1,0)</f>
        <v>0</v>
      </c>
      <c r="I89" s="61" t="n">
        <f aca="false">IF(G89&gt;'Marge &amp; Tragfähigkeit'!$B$15,1,0)</f>
        <v>0</v>
      </c>
    </row>
    <row r="90" customFormat="false" ht="15" hidden="false" customHeight="false" outlineLevel="0" collapsed="false">
      <c r="A90" s="26" t="n">
        <v>26</v>
      </c>
      <c r="B90" s="60" t="n">
        <f aca="false">$B$9</f>
        <v>4</v>
      </c>
      <c r="C90" s="60" t="n">
        <f aca="false">C89+B90</f>
        <v>104</v>
      </c>
      <c r="D90" s="61" t="n">
        <f aca="false">MIN(C90,'Marge &amp; Tragfähigkeit'!$B$13)</f>
        <v>25</v>
      </c>
      <c r="E90" s="61" t="n">
        <f aca="false">MAX(C90-'Marge &amp; Tragfähigkeit'!$B$13,0)</f>
        <v>79</v>
      </c>
      <c r="F90" s="42" t="n">
        <f aca="false">D90*'Marge &amp; Tragfähigkeit'!$B$11+E90*'Marge &amp; Tragfähigkeit'!$B$12</f>
        <v>4596</v>
      </c>
      <c r="G90" s="48" t="n">
        <f aca="false">IF(MOD(A90-1,12)=0,F90,G89+F90)</f>
        <v>8996</v>
      </c>
      <c r="H90" s="61" t="n">
        <f aca="false">IF(G90&gt;'Marge &amp; Tragfähigkeit'!$B$14,1,0)</f>
        <v>0</v>
      </c>
      <c r="I90" s="61" t="n">
        <f aca="false">IF(G90&gt;'Marge &amp; Tragfähigkeit'!$B$15,1,0)</f>
        <v>0</v>
      </c>
    </row>
    <row r="91" customFormat="false" ht="15" hidden="false" customHeight="false" outlineLevel="0" collapsed="false">
      <c r="A91" s="26" t="n">
        <v>27</v>
      </c>
      <c r="B91" s="60" t="n">
        <f aca="false">$B$9</f>
        <v>4</v>
      </c>
      <c r="C91" s="60" t="n">
        <f aca="false">C90+B91</f>
        <v>108</v>
      </c>
      <c r="D91" s="61" t="n">
        <f aca="false">MIN(C91,'Marge &amp; Tragfähigkeit'!$B$13)</f>
        <v>25</v>
      </c>
      <c r="E91" s="61" t="n">
        <f aca="false">MAX(C91-'Marge &amp; Tragfähigkeit'!$B$13,0)</f>
        <v>83</v>
      </c>
      <c r="F91" s="42" t="n">
        <f aca="false">D91*'Marge &amp; Tragfähigkeit'!$B$11+E91*'Marge &amp; Tragfähigkeit'!$B$12</f>
        <v>4792</v>
      </c>
      <c r="G91" s="48" t="n">
        <f aca="false">IF(MOD(A91-1,12)=0,F91,G90+F91)</f>
        <v>13788</v>
      </c>
      <c r="H91" s="61" t="n">
        <f aca="false">IF(G91&gt;'Marge &amp; Tragfähigkeit'!$B$14,1,0)</f>
        <v>0</v>
      </c>
      <c r="I91" s="61" t="n">
        <f aca="false">IF(G91&gt;'Marge &amp; Tragfähigkeit'!$B$15,1,0)</f>
        <v>0</v>
      </c>
    </row>
    <row r="92" customFormat="false" ht="15" hidden="false" customHeight="false" outlineLevel="0" collapsed="false">
      <c r="A92" s="26" t="n">
        <v>28</v>
      </c>
      <c r="B92" s="60" t="n">
        <f aca="false">$B$9</f>
        <v>4</v>
      </c>
      <c r="C92" s="60" t="n">
        <f aca="false">C91+B92</f>
        <v>112</v>
      </c>
      <c r="D92" s="61" t="n">
        <f aca="false">MIN(C92,'Marge &amp; Tragfähigkeit'!$B$13)</f>
        <v>25</v>
      </c>
      <c r="E92" s="61" t="n">
        <f aca="false">MAX(C92-'Marge &amp; Tragfähigkeit'!$B$13,0)</f>
        <v>87</v>
      </c>
      <c r="F92" s="42" t="n">
        <f aca="false">D92*'Marge &amp; Tragfähigkeit'!$B$11+E92*'Marge &amp; Tragfähigkeit'!$B$12</f>
        <v>4988</v>
      </c>
      <c r="G92" s="48" t="n">
        <f aca="false">IF(MOD(A92-1,12)=0,F92,G91+F92)</f>
        <v>18776</v>
      </c>
      <c r="H92" s="61" t="n">
        <f aca="false">IF(G92&gt;'Marge &amp; Tragfähigkeit'!$B$14,1,0)</f>
        <v>0</v>
      </c>
      <c r="I92" s="61" t="n">
        <f aca="false">IF(G92&gt;'Marge &amp; Tragfähigkeit'!$B$15,1,0)</f>
        <v>0</v>
      </c>
    </row>
    <row r="93" customFormat="false" ht="15" hidden="false" customHeight="false" outlineLevel="0" collapsed="false">
      <c r="A93" s="26" t="n">
        <v>29</v>
      </c>
      <c r="B93" s="60" t="n">
        <f aca="false">$B$9</f>
        <v>4</v>
      </c>
      <c r="C93" s="60" t="n">
        <f aca="false">C92+B93</f>
        <v>116</v>
      </c>
      <c r="D93" s="61" t="n">
        <f aca="false">MIN(C93,'Marge &amp; Tragfähigkeit'!$B$13)</f>
        <v>25</v>
      </c>
      <c r="E93" s="61" t="n">
        <f aca="false">MAX(C93-'Marge &amp; Tragfähigkeit'!$B$13,0)</f>
        <v>91</v>
      </c>
      <c r="F93" s="42" t="n">
        <f aca="false">D93*'Marge &amp; Tragfähigkeit'!$B$11+E93*'Marge &amp; Tragfähigkeit'!$B$12</f>
        <v>5184</v>
      </c>
      <c r="G93" s="48" t="n">
        <f aca="false">IF(MOD(A93-1,12)=0,F93,G92+F93)</f>
        <v>23960</v>
      </c>
      <c r="H93" s="61" t="n">
        <f aca="false">IF(G93&gt;'Marge &amp; Tragfähigkeit'!$B$14,1,0)</f>
        <v>0</v>
      </c>
      <c r="I93" s="61" t="n">
        <f aca="false">IF(G93&gt;'Marge &amp; Tragfähigkeit'!$B$15,1,0)</f>
        <v>0</v>
      </c>
    </row>
    <row r="94" customFormat="false" ht="15" hidden="false" customHeight="false" outlineLevel="0" collapsed="false">
      <c r="A94" s="26" t="n">
        <v>30</v>
      </c>
      <c r="B94" s="60" t="n">
        <f aca="false">$B$9</f>
        <v>4</v>
      </c>
      <c r="C94" s="60" t="n">
        <f aca="false">C93+B94</f>
        <v>120</v>
      </c>
      <c r="D94" s="61" t="n">
        <f aca="false">MIN(C94,'Marge &amp; Tragfähigkeit'!$B$13)</f>
        <v>25</v>
      </c>
      <c r="E94" s="61" t="n">
        <f aca="false">MAX(C94-'Marge &amp; Tragfähigkeit'!$B$13,0)</f>
        <v>95</v>
      </c>
      <c r="F94" s="42" t="n">
        <f aca="false">D94*'Marge &amp; Tragfähigkeit'!$B$11+E94*'Marge &amp; Tragfähigkeit'!$B$12</f>
        <v>5380</v>
      </c>
      <c r="G94" s="48" t="n">
        <f aca="false">IF(MOD(A94-1,12)=0,F94,G93+F94)</f>
        <v>29340</v>
      </c>
      <c r="H94" s="61" t="n">
        <f aca="false">IF(G94&gt;'Marge &amp; Tragfähigkeit'!$B$14,1,0)</f>
        <v>1</v>
      </c>
      <c r="I94" s="61" t="n">
        <f aca="false">IF(G94&gt;'Marge &amp; Tragfähigkeit'!$B$15,1,0)</f>
        <v>0</v>
      </c>
    </row>
    <row r="95" customFormat="false" ht="15" hidden="false" customHeight="false" outlineLevel="0" collapsed="false">
      <c r="A95" s="26" t="n">
        <v>31</v>
      </c>
      <c r="B95" s="60" t="n">
        <f aca="false">$B$9</f>
        <v>4</v>
      </c>
      <c r="C95" s="60" t="n">
        <f aca="false">C94+B95</f>
        <v>124</v>
      </c>
      <c r="D95" s="61" t="n">
        <f aca="false">MIN(C95,'Marge &amp; Tragfähigkeit'!$B$13)</f>
        <v>25</v>
      </c>
      <c r="E95" s="61" t="n">
        <f aca="false">MAX(C95-'Marge &amp; Tragfähigkeit'!$B$13,0)</f>
        <v>99</v>
      </c>
      <c r="F95" s="42" t="n">
        <f aca="false">D95*'Marge &amp; Tragfähigkeit'!$B$11+E95*'Marge &amp; Tragfähigkeit'!$B$12</f>
        <v>5576</v>
      </c>
      <c r="G95" s="48" t="n">
        <f aca="false">IF(MOD(A95-1,12)=0,F95,G94+F95)</f>
        <v>34916</v>
      </c>
      <c r="H95" s="61" t="n">
        <f aca="false">IF(G95&gt;'Marge &amp; Tragfähigkeit'!$B$14,1,0)</f>
        <v>1</v>
      </c>
      <c r="I95" s="61" t="n">
        <f aca="false">IF(G95&gt;'Marge &amp; Tragfähigkeit'!$B$15,1,0)</f>
        <v>0</v>
      </c>
    </row>
    <row r="96" customFormat="false" ht="15" hidden="false" customHeight="false" outlineLevel="0" collapsed="false">
      <c r="A96" s="26" t="n">
        <v>32</v>
      </c>
      <c r="B96" s="60" t="n">
        <f aca="false">$B$9</f>
        <v>4</v>
      </c>
      <c r="C96" s="60" t="n">
        <f aca="false">C95+B96</f>
        <v>128</v>
      </c>
      <c r="D96" s="61" t="n">
        <f aca="false">MIN(C96,'Marge &amp; Tragfähigkeit'!$B$13)</f>
        <v>25</v>
      </c>
      <c r="E96" s="61" t="n">
        <f aca="false">MAX(C96-'Marge &amp; Tragfähigkeit'!$B$13,0)</f>
        <v>103</v>
      </c>
      <c r="F96" s="42" t="n">
        <f aca="false">D96*'Marge &amp; Tragfähigkeit'!$B$11+E96*'Marge &amp; Tragfähigkeit'!$B$12</f>
        <v>5772</v>
      </c>
      <c r="G96" s="48" t="n">
        <f aca="false">IF(MOD(A96-1,12)=0,F96,G95+F96)</f>
        <v>40688</v>
      </c>
      <c r="H96" s="61" t="n">
        <f aca="false">IF(G96&gt;'Marge &amp; Tragfähigkeit'!$B$14,1,0)</f>
        <v>1</v>
      </c>
      <c r="I96" s="61" t="n">
        <f aca="false">IF(G96&gt;'Marge &amp; Tragfähigkeit'!$B$15,1,0)</f>
        <v>0</v>
      </c>
    </row>
    <row r="97" customFormat="false" ht="15" hidden="false" customHeight="false" outlineLevel="0" collapsed="false">
      <c r="A97" s="26" t="n">
        <v>33</v>
      </c>
      <c r="B97" s="60" t="n">
        <f aca="false">$B$9</f>
        <v>4</v>
      </c>
      <c r="C97" s="60" t="n">
        <f aca="false">C96+B97</f>
        <v>132</v>
      </c>
      <c r="D97" s="61" t="n">
        <f aca="false">MIN(C97,'Marge &amp; Tragfähigkeit'!$B$13)</f>
        <v>25</v>
      </c>
      <c r="E97" s="61" t="n">
        <f aca="false">MAX(C97-'Marge &amp; Tragfähigkeit'!$B$13,0)</f>
        <v>107</v>
      </c>
      <c r="F97" s="42" t="n">
        <f aca="false">D97*'Marge &amp; Tragfähigkeit'!$B$11+E97*'Marge &amp; Tragfähigkeit'!$B$12</f>
        <v>5968</v>
      </c>
      <c r="G97" s="48" t="n">
        <f aca="false">IF(MOD(A97-1,12)=0,F97,G96+F97)</f>
        <v>46656</v>
      </c>
      <c r="H97" s="61" t="n">
        <f aca="false">IF(G97&gt;'Marge &amp; Tragfähigkeit'!$B$14,1,0)</f>
        <v>1</v>
      </c>
      <c r="I97" s="61" t="n">
        <f aca="false">IF(G97&gt;'Marge &amp; Tragfähigkeit'!$B$15,1,0)</f>
        <v>0</v>
      </c>
    </row>
    <row r="98" customFormat="false" ht="15" hidden="false" customHeight="false" outlineLevel="0" collapsed="false">
      <c r="A98" s="26" t="n">
        <v>34</v>
      </c>
      <c r="B98" s="60" t="n">
        <f aca="false">$B$9</f>
        <v>4</v>
      </c>
      <c r="C98" s="60" t="n">
        <f aca="false">C97+B98</f>
        <v>136</v>
      </c>
      <c r="D98" s="61" t="n">
        <f aca="false">MIN(C98,'Marge &amp; Tragfähigkeit'!$B$13)</f>
        <v>25</v>
      </c>
      <c r="E98" s="61" t="n">
        <f aca="false">MAX(C98-'Marge &amp; Tragfähigkeit'!$B$13,0)</f>
        <v>111</v>
      </c>
      <c r="F98" s="42" t="n">
        <f aca="false">D98*'Marge &amp; Tragfähigkeit'!$B$11+E98*'Marge &amp; Tragfähigkeit'!$B$12</f>
        <v>6164</v>
      </c>
      <c r="G98" s="48" t="n">
        <f aca="false">IF(MOD(A98-1,12)=0,F98,G97+F98)</f>
        <v>52820</v>
      </c>
      <c r="H98" s="61" t="n">
        <f aca="false">IF(G98&gt;'Marge &amp; Tragfähigkeit'!$B$14,1,0)</f>
        <v>1</v>
      </c>
      <c r="I98" s="61" t="n">
        <f aca="false">IF(G98&gt;'Marge &amp; Tragfähigkeit'!$B$15,1,0)</f>
        <v>0</v>
      </c>
    </row>
    <row r="99" customFormat="false" ht="15" hidden="false" customHeight="false" outlineLevel="0" collapsed="false">
      <c r="A99" s="26" t="n">
        <v>35</v>
      </c>
      <c r="B99" s="60" t="n">
        <f aca="false">$B$9</f>
        <v>4</v>
      </c>
      <c r="C99" s="60" t="n">
        <f aca="false">C98+B99</f>
        <v>140</v>
      </c>
      <c r="D99" s="61" t="n">
        <f aca="false">MIN(C99,'Marge &amp; Tragfähigkeit'!$B$13)</f>
        <v>25</v>
      </c>
      <c r="E99" s="61" t="n">
        <f aca="false">MAX(C99-'Marge &amp; Tragfähigkeit'!$B$13,0)</f>
        <v>115</v>
      </c>
      <c r="F99" s="42" t="n">
        <f aca="false">D99*'Marge &amp; Tragfähigkeit'!$B$11+E99*'Marge &amp; Tragfähigkeit'!$B$12</f>
        <v>6360</v>
      </c>
      <c r="G99" s="48" t="n">
        <f aca="false">IF(MOD(A99-1,12)=0,F99,G98+F99)</f>
        <v>59180</v>
      </c>
      <c r="H99" s="61" t="n">
        <f aca="false">IF(G99&gt;'Marge &amp; Tragfähigkeit'!$B$14,1,0)</f>
        <v>1</v>
      </c>
      <c r="I99" s="61" t="n">
        <f aca="false">IF(G99&gt;'Marge &amp; Tragfähigkeit'!$B$15,1,0)</f>
        <v>0</v>
      </c>
    </row>
    <row r="100" customFormat="false" ht="15" hidden="false" customHeight="false" outlineLevel="0" collapsed="false">
      <c r="A100" s="26" t="n">
        <v>36</v>
      </c>
      <c r="B100" s="60" t="n">
        <f aca="false">$B$9</f>
        <v>4</v>
      </c>
      <c r="C100" s="60" t="n">
        <f aca="false">C99+B100</f>
        <v>144</v>
      </c>
      <c r="D100" s="61" t="n">
        <f aca="false">MIN(C100,'Marge &amp; Tragfähigkeit'!$B$13)</f>
        <v>25</v>
      </c>
      <c r="E100" s="61" t="n">
        <f aca="false">MAX(C100-'Marge &amp; Tragfähigkeit'!$B$13,0)</f>
        <v>119</v>
      </c>
      <c r="F100" s="42" t="n">
        <f aca="false">D100*'Marge &amp; Tragfähigkeit'!$B$11+E100*'Marge &amp; Tragfähigkeit'!$B$12</f>
        <v>6556</v>
      </c>
      <c r="G100" s="48" t="n">
        <f aca="false">IF(MOD(A100-1,12)=0,F100,G99+F100)</f>
        <v>65736</v>
      </c>
      <c r="H100" s="61" t="n">
        <f aca="false">IF(G100&gt;'Marge &amp; Tragfähigkeit'!$B$14,1,0)</f>
        <v>1</v>
      </c>
      <c r="I100" s="61" t="n">
        <f aca="false">IF(G100&gt;'Marge &amp; Tragfähigkeit'!$B$15,1,0)</f>
        <v>0</v>
      </c>
    </row>
    <row r="103" customFormat="false" ht="15" hidden="false" customHeight="false" outlineLevel="0" collapsed="false">
      <c r="A103" s="36" t="s">
        <v>319</v>
      </c>
    </row>
    <row r="104" customFormat="false" ht="39.55" hidden="false" customHeight="false" outlineLevel="0" collapsed="false">
      <c r="A104" s="3" t="s">
        <v>309</v>
      </c>
      <c r="B104" s="3" t="s">
        <v>310</v>
      </c>
      <c r="C104" s="3" t="s">
        <v>311</v>
      </c>
      <c r="D104" s="3" t="s">
        <v>312</v>
      </c>
      <c r="E104" s="3" t="s">
        <v>313</v>
      </c>
      <c r="F104" s="3" t="s">
        <v>314</v>
      </c>
      <c r="G104" s="3" t="s">
        <v>315</v>
      </c>
      <c r="H104" s="3" t="s">
        <v>316</v>
      </c>
      <c r="I104" s="3" t="s">
        <v>317</v>
      </c>
    </row>
    <row r="105" customFormat="false" ht="15" hidden="false" customHeight="false" outlineLevel="0" collapsed="false">
      <c r="A105" s="26" t="n">
        <v>1</v>
      </c>
      <c r="B105" s="60" t="n">
        <f aca="false">$B$10</f>
        <v>8</v>
      </c>
      <c r="C105" s="60" t="n">
        <f aca="false">B105</f>
        <v>8</v>
      </c>
      <c r="D105" s="61" t="n">
        <f aca="false">MIN(C105,'Marge &amp; Tragfähigkeit'!$B$13)</f>
        <v>8</v>
      </c>
      <c r="E105" s="61" t="n">
        <f aca="false">MAX(C105-'Marge &amp; Tragfähigkeit'!$B$13,0)</f>
        <v>0</v>
      </c>
      <c r="F105" s="42" t="n">
        <f aca="false">D105*'Marge &amp; Tragfähigkeit'!$B$11+E105*'Marge &amp; Tragfähigkeit'!$B$12</f>
        <v>232</v>
      </c>
      <c r="G105" s="48" t="n">
        <f aca="false">F105</f>
        <v>232</v>
      </c>
      <c r="H105" s="61" t="n">
        <f aca="false">IF(G105&gt;'Marge &amp; Tragfähigkeit'!$B$14,1,0)</f>
        <v>0</v>
      </c>
      <c r="I105" s="61" t="n">
        <f aca="false">IF(G105&gt;'Marge &amp; Tragfähigkeit'!$B$15,1,0)</f>
        <v>0</v>
      </c>
    </row>
    <row r="106" customFormat="false" ht="15" hidden="false" customHeight="false" outlineLevel="0" collapsed="false">
      <c r="A106" s="26" t="n">
        <v>2</v>
      </c>
      <c r="B106" s="60" t="n">
        <f aca="false">$B$10</f>
        <v>8</v>
      </c>
      <c r="C106" s="60" t="n">
        <f aca="false">C105+B106</f>
        <v>16</v>
      </c>
      <c r="D106" s="61" t="n">
        <f aca="false">MIN(C106,'Marge &amp; Tragfähigkeit'!$B$13)</f>
        <v>16</v>
      </c>
      <c r="E106" s="61" t="n">
        <f aca="false">MAX(C106-'Marge &amp; Tragfähigkeit'!$B$13,0)</f>
        <v>0</v>
      </c>
      <c r="F106" s="42" t="n">
        <f aca="false">D106*'Marge &amp; Tragfähigkeit'!$B$11+E106*'Marge &amp; Tragfähigkeit'!$B$12</f>
        <v>464</v>
      </c>
      <c r="G106" s="48" t="n">
        <f aca="false">IF(MOD(A106-1,12)=0,F106,G105+F106)</f>
        <v>696</v>
      </c>
      <c r="H106" s="61" t="n">
        <f aca="false">IF(G106&gt;'Marge &amp; Tragfähigkeit'!$B$14,1,0)</f>
        <v>0</v>
      </c>
      <c r="I106" s="61" t="n">
        <f aca="false">IF(G106&gt;'Marge &amp; Tragfähigkeit'!$B$15,1,0)</f>
        <v>0</v>
      </c>
    </row>
    <row r="107" customFormat="false" ht="15" hidden="false" customHeight="false" outlineLevel="0" collapsed="false">
      <c r="A107" s="26" t="n">
        <v>3</v>
      </c>
      <c r="B107" s="60" t="n">
        <f aca="false">$B$10</f>
        <v>8</v>
      </c>
      <c r="C107" s="60" t="n">
        <f aca="false">C106+B107</f>
        <v>24</v>
      </c>
      <c r="D107" s="61" t="n">
        <f aca="false">MIN(C107,'Marge &amp; Tragfähigkeit'!$B$13)</f>
        <v>24</v>
      </c>
      <c r="E107" s="61" t="n">
        <f aca="false">MAX(C107-'Marge &amp; Tragfähigkeit'!$B$13,0)</f>
        <v>0</v>
      </c>
      <c r="F107" s="42" t="n">
        <f aca="false">D107*'Marge &amp; Tragfähigkeit'!$B$11+E107*'Marge &amp; Tragfähigkeit'!$B$12</f>
        <v>696</v>
      </c>
      <c r="G107" s="48" t="n">
        <f aca="false">IF(MOD(A107-1,12)=0,F107,G106+F107)</f>
        <v>1392</v>
      </c>
      <c r="H107" s="61" t="n">
        <f aca="false">IF(G107&gt;'Marge &amp; Tragfähigkeit'!$B$14,1,0)</f>
        <v>0</v>
      </c>
      <c r="I107" s="61" t="n">
        <f aca="false">IF(G107&gt;'Marge &amp; Tragfähigkeit'!$B$15,1,0)</f>
        <v>0</v>
      </c>
    </row>
    <row r="108" customFormat="false" ht="15" hidden="false" customHeight="false" outlineLevel="0" collapsed="false">
      <c r="A108" s="26" t="n">
        <v>4</v>
      </c>
      <c r="B108" s="60" t="n">
        <f aca="false">$B$10</f>
        <v>8</v>
      </c>
      <c r="C108" s="60" t="n">
        <f aca="false">C107+B108</f>
        <v>32</v>
      </c>
      <c r="D108" s="61" t="n">
        <f aca="false">MIN(C108,'Marge &amp; Tragfähigkeit'!$B$13)</f>
        <v>25</v>
      </c>
      <c r="E108" s="61" t="n">
        <f aca="false">MAX(C108-'Marge &amp; Tragfähigkeit'!$B$13,0)</f>
        <v>7</v>
      </c>
      <c r="F108" s="42" t="n">
        <f aca="false">D108*'Marge &amp; Tragfähigkeit'!$B$11+E108*'Marge &amp; Tragfähigkeit'!$B$12</f>
        <v>1068</v>
      </c>
      <c r="G108" s="48" t="n">
        <f aca="false">IF(MOD(A108-1,12)=0,F108,G107+F108)</f>
        <v>2460</v>
      </c>
      <c r="H108" s="61" t="n">
        <f aca="false">IF(G108&gt;'Marge &amp; Tragfähigkeit'!$B$14,1,0)</f>
        <v>0</v>
      </c>
      <c r="I108" s="61" t="n">
        <f aca="false">IF(G108&gt;'Marge &amp; Tragfähigkeit'!$B$15,1,0)</f>
        <v>0</v>
      </c>
    </row>
    <row r="109" customFormat="false" ht="15" hidden="false" customHeight="false" outlineLevel="0" collapsed="false">
      <c r="A109" s="26" t="n">
        <v>5</v>
      </c>
      <c r="B109" s="60" t="n">
        <f aca="false">$B$10</f>
        <v>8</v>
      </c>
      <c r="C109" s="60" t="n">
        <f aca="false">C108+B109</f>
        <v>40</v>
      </c>
      <c r="D109" s="61" t="n">
        <f aca="false">MIN(C109,'Marge &amp; Tragfähigkeit'!$B$13)</f>
        <v>25</v>
      </c>
      <c r="E109" s="61" t="n">
        <f aca="false">MAX(C109-'Marge &amp; Tragfähigkeit'!$B$13,0)</f>
        <v>15</v>
      </c>
      <c r="F109" s="42" t="n">
        <f aca="false">D109*'Marge &amp; Tragfähigkeit'!$B$11+E109*'Marge &amp; Tragfähigkeit'!$B$12</f>
        <v>1460</v>
      </c>
      <c r="G109" s="48" t="n">
        <f aca="false">IF(MOD(A109-1,12)=0,F109,G108+F109)</f>
        <v>3920</v>
      </c>
      <c r="H109" s="61" t="n">
        <f aca="false">IF(G109&gt;'Marge &amp; Tragfähigkeit'!$B$14,1,0)</f>
        <v>0</v>
      </c>
      <c r="I109" s="61" t="n">
        <f aca="false">IF(G109&gt;'Marge &amp; Tragfähigkeit'!$B$15,1,0)</f>
        <v>0</v>
      </c>
    </row>
    <row r="110" customFormat="false" ht="15" hidden="false" customHeight="false" outlineLevel="0" collapsed="false">
      <c r="A110" s="26" t="n">
        <v>6</v>
      </c>
      <c r="B110" s="60" t="n">
        <f aca="false">$B$10</f>
        <v>8</v>
      </c>
      <c r="C110" s="60" t="n">
        <f aca="false">C109+B110</f>
        <v>48</v>
      </c>
      <c r="D110" s="61" t="n">
        <f aca="false">MIN(C110,'Marge &amp; Tragfähigkeit'!$B$13)</f>
        <v>25</v>
      </c>
      <c r="E110" s="61" t="n">
        <f aca="false">MAX(C110-'Marge &amp; Tragfähigkeit'!$B$13,0)</f>
        <v>23</v>
      </c>
      <c r="F110" s="42" t="n">
        <f aca="false">D110*'Marge &amp; Tragfähigkeit'!$B$11+E110*'Marge &amp; Tragfähigkeit'!$B$12</f>
        <v>1852</v>
      </c>
      <c r="G110" s="48" t="n">
        <f aca="false">IF(MOD(A110-1,12)=0,F110,G109+F110)</f>
        <v>5772</v>
      </c>
      <c r="H110" s="61" t="n">
        <f aca="false">IF(G110&gt;'Marge &amp; Tragfähigkeit'!$B$14,1,0)</f>
        <v>0</v>
      </c>
      <c r="I110" s="61" t="n">
        <f aca="false">IF(G110&gt;'Marge &amp; Tragfähigkeit'!$B$15,1,0)</f>
        <v>0</v>
      </c>
    </row>
    <row r="111" customFormat="false" ht="15" hidden="false" customHeight="false" outlineLevel="0" collapsed="false">
      <c r="A111" s="26" t="n">
        <v>7</v>
      </c>
      <c r="B111" s="60" t="n">
        <f aca="false">$B$10</f>
        <v>8</v>
      </c>
      <c r="C111" s="60" t="n">
        <f aca="false">C110+B111</f>
        <v>56</v>
      </c>
      <c r="D111" s="61" t="n">
        <f aca="false">MIN(C111,'Marge &amp; Tragfähigkeit'!$B$13)</f>
        <v>25</v>
      </c>
      <c r="E111" s="61" t="n">
        <f aca="false">MAX(C111-'Marge &amp; Tragfähigkeit'!$B$13,0)</f>
        <v>31</v>
      </c>
      <c r="F111" s="42" t="n">
        <f aca="false">D111*'Marge &amp; Tragfähigkeit'!$B$11+E111*'Marge &amp; Tragfähigkeit'!$B$12</f>
        <v>2244</v>
      </c>
      <c r="G111" s="48" t="n">
        <f aca="false">IF(MOD(A111-1,12)=0,F111,G110+F111)</f>
        <v>8016</v>
      </c>
      <c r="H111" s="61" t="n">
        <f aca="false">IF(G111&gt;'Marge &amp; Tragfähigkeit'!$B$14,1,0)</f>
        <v>0</v>
      </c>
      <c r="I111" s="61" t="n">
        <f aca="false">IF(G111&gt;'Marge &amp; Tragfähigkeit'!$B$15,1,0)</f>
        <v>0</v>
      </c>
    </row>
    <row r="112" customFormat="false" ht="15" hidden="false" customHeight="false" outlineLevel="0" collapsed="false">
      <c r="A112" s="26" t="n">
        <v>8</v>
      </c>
      <c r="B112" s="60" t="n">
        <f aca="false">$B$10</f>
        <v>8</v>
      </c>
      <c r="C112" s="60" t="n">
        <f aca="false">C111+B112</f>
        <v>64</v>
      </c>
      <c r="D112" s="61" t="n">
        <f aca="false">MIN(C112,'Marge &amp; Tragfähigkeit'!$B$13)</f>
        <v>25</v>
      </c>
      <c r="E112" s="61" t="n">
        <f aca="false">MAX(C112-'Marge &amp; Tragfähigkeit'!$B$13,0)</f>
        <v>39</v>
      </c>
      <c r="F112" s="42" t="n">
        <f aca="false">D112*'Marge &amp; Tragfähigkeit'!$B$11+E112*'Marge &amp; Tragfähigkeit'!$B$12</f>
        <v>2636</v>
      </c>
      <c r="G112" s="48" t="n">
        <f aca="false">IF(MOD(A112-1,12)=0,F112,G111+F112)</f>
        <v>10652</v>
      </c>
      <c r="H112" s="61" t="n">
        <f aca="false">IF(G112&gt;'Marge &amp; Tragfähigkeit'!$B$14,1,0)</f>
        <v>0</v>
      </c>
      <c r="I112" s="61" t="n">
        <f aca="false">IF(G112&gt;'Marge &amp; Tragfähigkeit'!$B$15,1,0)</f>
        <v>0</v>
      </c>
    </row>
    <row r="113" customFormat="false" ht="15" hidden="false" customHeight="false" outlineLevel="0" collapsed="false">
      <c r="A113" s="26" t="n">
        <v>9</v>
      </c>
      <c r="B113" s="60" t="n">
        <f aca="false">$B$10</f>
        <v>8</v>
      </c>
      <c r="C113" s="60" t="n">
        <f aca="false">C112+B113</f>
        <v>72</v>
      </c>
      <c r="D113" s="61" t="n">
        <f aca="false">MIN(C113,'Marge &amp; Tragfähigkeit'!$B$13)</f>
        <v>25</v>
      </c>
      <c r="E113" s="61" t="n">
        <f aca="false">MAX(C113-'Marge &amp; Tragfähigkeit'!$B$13,0)</f>
        <v>47</v>
      </c>
      <c r="F113" s="42" t="n">
        <f aca="false">D113*'Marge &amp; Tragfähigkeit'!$B$11+E113*'Marge &amp; Tragfähigkeit'!$B$12</f>
        <v>3028</v>
      </c>
      <c r="G113" s="48" t="n">
        <f aca="false">IF(MOD(A113-1,12)=0,F113,G112+F113)</f>
        <v>13680</v>
      </c>
      <c r="H113" s="61" t="n">
        <f aca="false">IF(G113&gt;'Marge &amp; Tragfähigkeit'!$B$14,1,0)</f>
        <v>0</v>
      </c>
      <c r="I113" s="61" t="n">
        <f aca="false">IF(G113&gt;'Marge &amp; Tragfähigkeit'!$B$15,1,0)</f>
        <v>0</v>
      </c>
    </row>
    <row r="114" customFormat="false" ht="15" hidden="false" customHeight="false" outlineLevel="0" collapsed="false">
      <c r="A114" s="26" t="n">
        <v>10</v>
      </c>
      <c r="B114" s="60" t="n">
        <f aca="false">$B$10</f>
        <v>8</v>
      </c>
      <c r="C114" s="60" t="n">
        <f aca="false">C113+B114</f>
        <v>80</v>
      </c>
      <c r="D114" s="61" t="n">
        <f aca="false">MIN(C114,'Marge &amp; Tragfähigkeit'!$B$13)</f>
        <v>25</v>
      </c>
      <c r="E114" s="61" t="n">
        <f aca="false">MAX(C114-'Marge &amp; Tragfähigkeit'!$B$13,0)</f>
        <v>55</v>
      </c>
      <c r="F114" s="42" t="n">
        <f aca="false">D114*'Marge &amp; Tragfähigkeit'!$B$11+E114*'Marge &amp; Tragfähigkeit'!$B$12</f>
        <v>3420</v>
      </c>
      <c r="G114" s="48" t="n">
        <f aca="false">IF(MOD(A114-1,12)=0,F114,G113+F114)</f>
        <v>17100</v>
      </c>
      <c r="H114" s="61" t="n">
        <f aca="false">IF(G114&gt;'Marge &amp; Tragfähigkeit'!$B$14,1,0)</f>
        <v>0</v>
      </c>
      <c r="I114" s="61" t="n">
        <f aca="false">IF(G114&gt;'Marge &amp; Tragfähigkeit'!$B$15,1,0)</f>
        <v>0</v>
      </c>
    </row>
    <row r="115" customFormat="false" ht="15" hidden="false" customHeight="false" outlineLevel="0" collapsed="false">
      <c r="A115" s="26" t="n">
        <v>11</v>
      </c>
      <c r="B115" s="60" t="n">
        <f aca="false">$B$10</f>
        <v>8</v>
      </c>
      <c r="C115" s="60" t="n">
        <f aca="false">C114+B115</f>
        <v>88</v>
      </c>
      <c r="D115" s="61" t="n">
        <f aca="false">MIN(C115,'Marge &amp; Tragfähigkeit'!$B$13)</f>
        <v>25</v>
      </c>
      <c r="E115" s="61" t="n">
        <f aca="false">MAX(C115-'Marge &amp; Tragfähigkeit'!$B$13,0)</f>
        <v>63</v>
      </c>
      <c r="F115" s="42" t="n">
        <f aca="false">D115*'Marge &amp; Tragfähigkeit'!$B$11+E115*'Marge &amp; Tragfähigkeit'!$B$12</f>
        <v>3812</v>
      </c>
      <c r="G115" s="48" t="n">
        <f aca="false">IF(MOD(A115-1,12)=0,F115,G114+F115)</f>
        <v>20912</v>
      </c>
      <c r="H115" s="61" t="n">
        <f aca="false">IF(G115&gt;'Marge &amp; Tragfähigkeit'!$B$14,1,0)</f>
        <v>0</v>
      </c>
      <c r="I115" s="61" t="n">
        <f aca="false">IF(G115&gt;'Marge &amp; Tragfähigkeit'!$B$15,1,0)</f>
        <v>0</v>
      </c>
    </row>
    <row r="116" customFormat="false" ht="15" hidden="false" customHeight="false" outlineLevel="0" collapsed="false">
      <c r="A116" s="26" t="n">
        <v>12</v>
      </c>
      <c r="B116" s="60" t="n">
        <f aca="false">$B$10</f>
        <v>8</v>
      </c>
      <c r="C116" s="60" t="n">
        <f aca="false">C115+B116</f>
        <v>96</v>
      </c>
      <c r="D116" s="61" t="n">
        <f aca="false">MIN(C116,'Marge &amp; Tragfähigkeit'!$B$13)</f>
        <v>25</v>
      </c>
      <c r="E116" s="61" t="n">
        <f aca="false">MAX(C116-'Marge &amp; Tragfähigkeit'!$B$13,0)</f>
        <v>71</v>
      </c>
      <c r="F116" s="42" t="n">
        <f aca="false">D116*'Marge &amp; Tragfähigkeit'!$B$11+E116*'Marge &amp; Tragfähigkeit'!$B$12</f>
        <v>4204</v>
      </c>
      <c r="G116" s="48" t="n">
        <f aca="false">IF(MOD(A116-1,12)=0,F116,G115+F116)</f>
        <v>25116</v>
      </c>
      <c r="H116" s="61" t="n">
        <f aca="false">IF(G116&gt;'Marge &amp; Tragfähigkeit'!$B$14,1,0)</f>
        <v>1</v>
      </c>
      <c r="I116" s="61" t="n">
        <f aca="false">IF(G116&gt;'Marge &amp; Tragfähigkeit'!$B$15,1,0)</f>
        <v>0</v>
      </c>
    </row>
    <row r="117" customFormat="false" ht="15" hidden="false" customHeight="false" outlineLevel="0" collapsed="false">
      <c r="A117" s="26" t="n">
        <v>13</v>
      </c>
      <c r="B117" s="60" t="n">
        <f aca="false">$B$10</f>
        <v>8</v>
      </c>
      <c r="C117" s="60" t="n">
        <f aca="false">C116+B117</f>
        <v>104</v>
      </c>
      <c r="D117" s="61" t="n">
        <f aca="false">MIN(C117,'Marge &amp; Tragfähigkeit'!$B$13)</f>
        <v>25</v>
      </c>
      <c r="E117" s="61" t="n">
        <f aca="false">MAX(C117-'Marge &amp; Tragfähigkeit'!$B$13,0)</f>
        <v>79</v>
      </c>
      <c r="F117" s="42" t="n">
        <f aca="false">D117*'Marge &amp; Tragfähigkeit'!$B$11+E117*'Marge &amp; Tragfähigkeit'!$B$12</f>
        <v>4596</v>
      </c>
      <c r="G117" s="48" t="n">
        <f aca="false">IF(MOD(A117-1,12)=0,F117,G116+F117)</f>
        <v>4596</v>
      </c>
      <c r="H117" s="61" t="n">
        <f aca="false">IF(G117&gt;'Marge &amp; Tragfähigkeit'!$B$14,1,0)</f>
        <v>0</v>
      </c>
      <c r="I117" s="61" t="n">
        <f aca="false">IF(G117&gt;'Marge &amp; Tragfähigkeit'!$B$15,1,0)</f>
        <v>0</v>
      </c>
    </row>
    <row r="118" customFormat="false" ht="15" hidden="false" customHeight="false" outlineLevel="0" collapsed="false">
      <c r="A118" s="26" t="n">
        <v>14</v>
      </c>
      <c r="B118" s="60" t="n">
        <f aca="false">$B$10</f>
        <v>8</v>
      </c>
      <c r="C118" s="60" t="n">
        <f aca="false">C117+B118</f>
        <v>112</v>
      </c>
      <c r="D118" s="61" t="n">
        <f aca="false">MIN(C118,'Marge &amp; Tragfähigkeit'!$B$13)</f>
        <v>25</v>
      </c>
      <c r="E118" s="61" t="n">
        <f aca="false">MAX(C118-'Marge &amp; Tragfähigkeit'!$B$13,0)</f>
        <v>87</v>
      </c>
      <c r="F118" s="42" t="n">
        <f aca="false">D118*'Marge &amp; Tragfähigkeit'!$B$11+E118*'Marge &amp; Tragfähigkeit'!$B$12</f>
        <v>4988</v>
      </c>
      <c r="G118" s="48" t="n">
        <f aca="false">IF(MOD(A118-1,12)=0,F118,G117+F118)</f>
        <v>9584</v>
      </c>
      <c r="H118" s="61" t="n">
        <f aca="false">IF(G118&gt;'Marge &amp; Tragfähigkeit'!$B$14,1,0)</f>
        <v>0</v>
      </c>
      <c r="I118" s="61" t="n">
        <f aca="false">IF(G118&gt;'Marge &amp; Tragfähigkeit'!$B$15,1,0)</f>
        <v>0</v>
      </c>
    </row>
    <row r="119" customFormat="false" ht="15" hidden="false" customHeight="false" outlineLevel="0" collapsed="false">
      <c r="A119" s="26" t="n">
        <v>15</v>
      </c>
      <c r="B119" s="60" t="n">
        <f aca="false">$B$10</f>
        <v>8</v>
      </c>
      <c r="C119" s="60" t="n">
        <f aca="false">C118+B119</f>
        <v>120</v>
      </c>
      <c r="D119" s="61" t="n">
        <f aca="false">MIN(C119,'Marge &amp; Tragfähigkeit'!$B$13)</f>
        <v>25</v>
      </c>
      <c r="E119" s="61" t="n">
        <f aca="false">MAX(C119-'Marge &amp; Tragfähigkeit'!$B$13,0)</f>
        <v>95</v>
      </c>
      <c r="F119" s="42" t="n">
        <f aca="false">D119*'Marge &amp; Tragfähigkeit'!$B$11+E119*'Marge &amp; Tragfähigkeit'!$B$12</f>
        <v>5380</v>
      </c>
      <c r="G119" s="48" t="n">
        <f aca="false">IF(MOD(A119-1,12)=0,F119,G118+F119)</f>
        <v>14964</v>
      </c>
      <c r="H119" s="61" t="n">
        <f aca="false">IF(G119&gt;'Marge &amp; Tragfähigkeit'!$B$14,1,0)</f>
        <v>0</v>
      </c>
      <c r="I119" s="61" t="n">
        <f aca="false">IF(G119&gt;'Marge &amp; Tragfähigkeit'!$B$15,1,0)</f>
        <v>0</v>
      </c>
    </row>
    <row r="120" customFormat="false" ht="15" hidden="false" customHeight="false" outlineLevel="0" collapsed="false">
      <c r="A120" s="26" t="n">
        <v>16</v>
      </c>
      <c r="B120" s="60" t="n">
        <f aca="false">$B$10</f>
        <v>8</v>
      </c>
      <c r="C120" s="60" t="n">
        <f aca="false">C119+B120</f>
        <v>128</v>
      </c>
      <c r="D120" s="61" t="n">
        <f aca="false">MIN(C120,'Marge &amp; Tragfähigkeit'!$B$13)</f>
        <v>25</v>
      </c>
      <c r="E120" s="61" t="n">
        <f aca="false">MAX(C120-'Marge &amp; Tragfähigkeit'!$B$13,0)</f>
        <v>103</v>
      </c>
      <c r="F120" s="42" t="n">
        <f aca="false">D120*'Marge &amp; Tragfähigkeit'!$B$11+E120*'Marge &amp; Tragfähigkeit'!$B$12</f>
        <v>5772</v>
      </c>
      <c r="G120" s="48" t="n">
        <f aca="false">IF(MOD(A120-1,12)=0,F120,G119+F120)</f>
        <v>20736</v>
      </c>
      <c r="H120" s="61" t="n">
        <f aca="false">IF(G120&gt;'Marge &amp; Tragfähigkeit'!$B$14,1,0)</f>
        <v>0</v>
      </c>
      <c r="I120" s="61" t="n">
        <f aca="false">IF(G120&gt;'Marge &amp; Tragfähigkeit'!$B$15,1,0)</f>
        <v>0</v>
      </c>
    </row>
    <row r="121" customFormat="false" ht="15" hidden="false" customHeight="false" outlineLevel="0" collapsed="false">
      <c r="A121" s="26" t="n">
        <v>17</v>
      </c>
      <c r="B121" s="60" t="n">
        <f aca="false">$B$10</f>
        <v>8</v>
      </c>
      <c r="C121" s="60" t="n">
        <f aca="false">C120+B121</f>
        <v>136</v>
      </c>
      <c r="D121" s="61" t="n">
        <f aca="false">MIN(C121,'Marge &amp; Tragfähigkeit'!$B$13)</f>
        <v>25</v>
      </c>
      <c r="E121" s="61" t="n">
        <f aca="false">MAX(C121-'Marge &amp; Tragfähigkeit'!$B$13,0)</f>
        <v>111</v>
      </c>
      <c r="F121" s="42" t="n">
        <f aca="false">D121*'Marge &amp; Tragfähigkeit'!$B$11+E121*'Marge &amp; Tragfähigkeit'!$B$12</f>
        <v>6164</v>
      </c>
      <c r="G121" s="48" t="n">
        <f aca="false">IF(MOD(A121-1,12)=0,F121,G120+F121)</f>
        <v>26900</v>
      </c>
      <c r="H121" s="61" t="n">
        <f aca="false">IF(G121&gt;'Marge &amp; Tragfähigkeit'!$B$14,1,0)</f>
        <v>1</v>
      </c>
      <c r="I121" s="61" t="n">
        <f aca="false">IF(G121&gt;'Marge &amp; Tragfähigkeit'!$B$15,1,0)</f>
        <v>0</v>
      </c>
    </row>
    <row r="122" customFormat="false" ht="15" hidden="false" customHeight="false" outlineLevel="0" collapsed="false">
      <c r="A122" s="26" t="n">
        <v>18</v>
      </c>
      <c r="B122" s="60" t="n">
        <f aca="false">$B$10</f>
        <v>8</v>
      </c>
      <c r="C122" s="60" t="n">
        <f aca="false">C121+B122</f>
        <v>144</v>
      </c>
      <c r="D122" s="61" t="n">
        <f aca="false">MIN(C122,'Marge &amp; Tragfähigkeit'!$B$13)</f>
        <v>25</v>
      </c>
      <c r="E122" s="61" t="n">
        <f aca="false">MAX(C122-'Marge &amp; Tragfähigkeit'!$B$13,0)</f>
        <v>119</v>
      </c>
      <c r="F122" s="42" t="n">
        <f aca="false">D122*'Marge &amp; Tragfähigkeit'!$B$11+E122*'Marge &amp; Tragfähigkeit'!$B$12</f>
        <v>6556</v>
      </c>
      <c r="G122" s="48" t="n">
        <f aca="false">IF(MOD(A122-1,12)=0,F122,G121+F122)</f>
        <v>33456</v>
      </c>
      <c r="H122" s="61" t="n">
        <f aca="false">IF(G122&gt;'Marge &amp; Tragfähigkeit'!$B$14,1,0)</f>
        <v>1</v>
      </c>
      <c r="I122" s="61" t="n">
        <f aca="false">IF(G122&gt;'Marge &amp; Tragfähigkeit'!$B$15,1,0)</f>
        <v>0</v>
      </c>
    </row>
    <row r="123" customFormat="false" ht="15" hidden="false" customHeight="false" outlineLevel="0" collapsed="false">
      <c r="A123" s="26" t="n">
        <v>19</v>
      </c>
      <c r="B123" s="60" t="n">
        <f aca="false">$B$10</f>
        <v>8</v>
      </c>
      <c r="C123" s="60" t="n">
        <f aca="false">C122+B123</f>
        <v>152</v>
      </c>
      <c r="D123" s="61" t="n">
        <f aca="false">MIN(C123,'Marge &amp; Tragfähigkeit'!$B$13)</f>
        <v>25</v>
      </c>
      <c r="E123" s="61" t="n">
        <f aca="false">MAX(C123-'Marge &amp; Tragfähigkeit'!$B$13,0)</f>
        <v>127</v>
      </c>
      <c r="F123" s="42" t="n">
        <f aca="false">D123*'Marge &amp; Tragfähigkeit'!$B$11+E123*'Marge &amp; Tragfähigkeit'!$B$12</f>
        <v>6948</v>
      </c>
      <c r="G123" s="48" t="n">
        <f aca="false">IF(MOD(A123-1,12)=0,F123,G122+F123)</f>
        <v>40404</v>
      </c>
      <c r="H123" s="61" t="n">
        <f aca="false">IF(G123&gt;'Marge &amp; Tragfähigkeit'!$B$14,1,0)</f>
        <v>1</v>
      </c>
      <c r="I123" s="61" t="n">
        <f aca="false">IF(G123&gt;'Marge &amp; Tragfähigkeit'!$B$15,1,0)</f>
        <v>0</v>
      </c>
    </row>
    <row r="124" customFormat="false" ht="15" hidden="false" customHeight="false" outlineLevel="0" collapsed="false">
      <c r="A124" s="26" t="n">
        <v>20</v>
      </c>
      <c r="B124" s="60" t="n">
        <f aca="false">$B$10</f>
        <v>8</v>
      </c>
      <c r="C124" s="60" t="n">
        <f aca="false">C123+B124</f>
        <v>160</v>
      </c>
      <c r="D124" s="61" t="n">
        <f aca="false">MIN(C124,'Marge &amp; Tragfähigkeit'!$B$13)</f>
        <v>25</v>
      </c>
      <c r="E124" s="61" t="n">
        <f aca="false">MAX(C124-'Marge &amp; Tragfähigkeit'!$B$13,0)</f>
        <v>135</v>
      </c>
      <c r="F124" s="42" t="n">
        <f aca="false">D124*'Marge &amp; Tragfähigkeit'!$B$11+E124*'Marge &amp; Tragfähigkeit'!$B$12</f>
        <v>7340</v>
      </c>
      <c r="G124" s="48" t="n">
        <f aca="false">IF(MOD(A124-1,12)=0,F124,G123+F124)</f>
        <v>47744</v>
      </c>
      <c r="H124" s="61" t="n">
        <f aca="false">IF(G124&gt;'Marge &amp; Tragfähigkeit'!$B$14,1,0)</f>
        <v>1</v>
      </c>
      <c r="I124" s="61" t="n">
        <f aca="false">IF(G124&gt;'Marge &amp; Tragfähigkeit'!$B$15,1,0)</f>
        <v>0</v>
      </c>
    </row>
    <row r="125" customFormat="false" ht="15" hidden="false" customHeight="false" outlineLevel="0" collapsed="false">
      <c r="A125" s="26" t="n">
        <v>21</v>
      </c>
      <c r="B125" s="60" t="n">
        <f aca="false">$B$10</f>
        <v>8</v>
      </c>
      <c r="C125" s="60" t="n">
        <f aca="false">C124+B125</f>
        <v>168</v>
      </c>
      <c r="D125" s="61" t="n">
        <f aca="false">MIN(C125,'Marge &amp; Tragfähigkeit'!$B$13)</f>
        <v>25</v>
      </c>
      <c r="E125" s="61" t="n">
        <f aca="false">MAX(C125-'Marge &amp; Tragfähigkeit'!$B$13,0)</f>
        <v>143</v>
      </c>
      <c r="F125" s="42" t="n">
        <f aca="false">D125*'Marge &amp; Tragfähigkeit'!$B$11+E125*'Marge &amp; Tragfähigkeit'!$B$12</f>
        <v>7732</v>
      </c>
      <c r="G125" s="48" t="n">
        <f aca="false">IF(MOD(A125-1,12)=0,F125,G124+F125)</f>
        <v>55476</v>
      </c>
      <c r="H125" s="61" t="n">
        <f aca="false">IF(G125&gt;'Marge &amp; Tragfähigkeit'!$B$14,1,0)</f>
        <v>1</v>
      </c>
      <c r="I125" s="61" t="n">
        <f aca="false">IF(G125&gt;'Marge &amp; Tragfähigkeit'!$B$15,1,0)</f>
        <v>0</v>
      </c>
    </row>
    <row r="126" customFormat="false" ht="15" hidden="false" customHeight="false" outlineLevel="0" collapsed="false">
      <c r="A126" s="26" t="n">
        <v>22</v>
      </c>
      <c r="B126" s="60" t="n">
        <f aca="false">$B$10</f>
        <v>8</v>
      </c>
      <c r="C126" s="60" t="n">
        <f aca="false">C125+B126</f>
        <v>176</v>
      </c>
      <c r="D126" s="61" t="n">
        <f aca="false">MIN(C126,'Marge &amp; Tragfähigkeit'!$B$13)</f>
        <v>25</v>
      </c>
      <c r="E126" s="61" t="n">
        <f aca="false">MAX(C126-'Marge &amp; Tragfähigkeit'!$B$13,0)</f>
        <v>151</v>
      </c>
      <c r="F126" s="42" t="n">
        <f aca="false">D126*'Marge &amp; Tragfähigkeit'!$B$11+E126*'Marge &amp; Tragfähigkeit'!$B$12</f>
        <v>8124</v>
      </c>
      <c r="G126" s="48" t="n">
        <f aca="false">IF(MOD(A126-1,12)=0,F126,G125+F126)</f>
        <v>63600</v>
      </c>
      <c r="H126" s="61" t="n">
        <f aca="false">IF(G126&gt;'Marge &amp; Tragfähigkeit'!$B$14,1,0)</f>
        <v>1</v>
      </c>
      <c r="I126" s="61" t="n">
        <f aca="false">IF(G126&gt;'Marge &amp; Tragfähigkeit'!$B$15,1,0)</f>
        <v>0</v>
      </c>
    </row>
    <row r="127" customFormat="false" ht="15" hidden="false" customHeight="false" outlineLevel="0" collapsed="false">
      <c r="A127" s="26" t="n">
        <v>23</v>
      </c>
      <c r="B127" s="60" t="n">
        <f aca="false">$B$10</f>
        <v>8</v>
      </c>
      <c r="C127" s="60" t="n">
        <f aca="false">C126+B127</f>
        <v>184</v>
      </c>
      <c r="D127" s="61" t="n">
        <f aca="false">MIN(C127,'Marge &amp; Tragfähigkeit'!$B$13)</f>
        <v>25</v>
      </c>
      <c r="E127" s="61" t="n">
        <f aca="false">MAX(C127-'Marge &amp; Tragfähigkeit'!$B$13,0)</f>
        <v>159</v>
      </c>
      <c r="F127" s="42" t="n">
        <f aca="false">D127*'Marge &amp; Tragfähigkeit'!$B$11+E127*'Marge &amp; Tragfähigkeit'!$B$12</f>
        <v>8516</v>
      </c>
      <c r="G127" s="48" t="n">
        <f aca="false">IF(MOD(A127-1,12)=0,F127,G126+F127)</f>
        <v>72116</v>
      </c>
      <c r="H127" s="61" t="n">
        <f aca="false">IF(G127&gt;'Marge &amp; Tragfähigkeit'!$B$14,1,0)</f>
        <v>1</v>
      </c>
      <c r="I127" s="61" t="n">
        <f aca="false">IF(G127&gt;'Marge &amp; Tragfähigkeit'!$B$15,1,0)</f>
        <v>0</v>
      </c>
    </row>
    <row r="128" customFormat="false" ht="15" hidden="false" customHeight="false" outlineLevel="0" collapsed="false">
      <c r="A128" s="26" t="n">
        <v>24</v>
      </c>
      <c r="B128" s="60" t="n">
        <f aca="false">$B$10</f>
        <v>8</v>
      </c>
      <c r="C128" s="60" t="n">
        <f aca="false">C127+B128</f>
        <v>192</v>
      </c>
      <c r="D128" s="61" t="n">
        <f aca="false">MIN(C128,'Marge &amp; Tragfähigkeit'!$B$13)</f>
        <v>25</v>
      </c>
      <c r="E128" s="61" t="n">
        <f aca="false">MAX(C128-'Marge &amp; Tragfähigkeit'!$B$13,0)</f>
        <v>167</v>
      </c>
      <c r="F128" s="42" t="n">
        <f aca="false">D128*'Marge &amp; Tragfähigkeit'!$B$11+E128*'Marge &amp; Tragfähigkeit'!$B$12</f>
        <v>8908</v>
      </c>
      <c r="G128" s="48" t="n">
        <f aca="false">IF(MOD(A128-1,12)=0,F128,G127+F128)</f>
        <v>81024</v>
      </c>
      <c r="H128" s="61" t="n">
        <f aca="false">IF(G128&gt;'Marge &amp; Tragfähigkeit'!$B$14,1,0)</f>
        <v>1</v>
      </c>
      <c r="I128" s="61" t="n">
        <f aca="false">IF(G128&gt;'Marge &amp; Tragfähigkeit'!$B$15,1,0)</f>
        <v>0</v>
      </c>
    </row>
    <row r="129" customFormat="false" ht="15" hidden="false" customHeight="false" outlineLevel="0" collapsed="false">
      <c r="A129" s="26" t="n">
        <v>25</v>
      </c>
      <c r="B129" s="60" t="n">
        <f aca="false">$B$10</f>
        <v>8</v>
      </c>
      <c r="C129" s="60" t="n">
        <f aca="false">C128+B129</f>
        <v>200</v>
      </c>
      <c r="D129" s="61" t="n">
        <f aca="false">MIN(C129,'Marge &amp; Tragfähigkeit'!$B$13)</f>
        <v>25</v>
      </c>
      <c r="E129" s="61" t="n">
        <f aca="false">MAX(C129-'Marge &amp; Tragfähigkeit'!$B$13,0)</f>
        <v>175</v>
      </c>
      <c r="F129" s="42" t="n">
        <f aca="false">D129*'Marge &amp; Tragfähigkeit'!$B$11+E129*'Marge &amp; Tragfähigkeit'!$B$12</f>
        <v>9300</v>
      </c>
      <c r="G129" s="48" t="n">
        <f aca="false">IF(MOD(A129-1,12)=0,F129,G128+F129)</f>
        <v>9300</v>
      </c>
      <c r="H129" s="61" t="n">
        <f aca="false">IF(G129&gt;'Marge &amp; Tragfähigkeit'!$B$14,1,0)</f>
        <v>0</v>
      </c>
      <c r="I129" s="61" t="n">
        <f aca="false">IF(G129&gt;'Marge &amp; Tragfähigkeit'!$B$15,1,0)</f>
        <v>0</v>
      </c>
    </row>
    <row r="130" customFormat="false" ht="15" hidden="false" customHeight="false" outlineLevel="0" collapsed="false">
      <c r="A130" s="26" t="n">
        <v>26</v>
      </c>
      <c r="B130" s="60" t="n">
        <f aca="false">$B$10</f>
        <v>8</v>
      </c>
      <c r="C130" s="60" t="n">
        <f aca="false">C129+B130</f>
        <v>208</v>
      </c>
      <c r="D130" s="61" t="n">
        <f aca="false">MIN(C130,'Marge &amp; Tragfähigkeit'!$B$13)</f>
        <v>25</v>
      </c>
      <c r="E130" s="61" t="n">
        <f aca="false">MAX(C130-'Marge &amp; Tragfähigkeit'!$B$13,0)</f>
        <v>183</v>
      </c>
      <c r="F130" s="42" t="n">
        <f aca="false">D130*'Marge &amp; Tragfähigkeit'!$B$11+E130*'Marge &amp; Tragfähigkeit'!$B$12</f>
        <v>9692</v>
      </c>
      <c r="G130" s="48" t="n">
        <f aca="false">IF(MOD(A130-1,12)=0,F130,G129+F130)</f>
        <v>18992</v>
      </c>
      <c r="H130" s="61" t="n">
        <f aca="false">IF(G130&gt;'Marge &amp; Tragfähigkeit'!$B$14,1,0)</f>
        <v>0</v>
      </c>
      <c r="I130" s="61" t="n">
        <f aca="false">IF(G130&gt;'Marge &amp; Tragfähigkeit'!$B$15,1,0)</f>
        <v>0</v>
      </c>
    </row>
    <row r="131" customFormat="false" ht="15" hidden="false" customHeight="false" outlineLevel="0" collapsed="false">
      <c r="A131" s="26" t="n">
        <v>27</v>
      </c>
      <c r="B131" s="60" t="n">
        <f aca="false">$B$10</f>
        <v>8</v>
      </c>
      <c r="C131" s="60" t="n">
        <f aca="false">C130+B131</f>
        <v>216</v>
      </c>
      <c r="D131" s="61" t="n">
        <f aca="false">MIN(C131,'Marge &amp; Tragfähigkeit'!$B$13)</f>
        <v>25</v>
      </c>
      <c r="E131" s="61" t="n">
        <f aca="false">MAX(C131-'Marge &amp; Tragfähigkeit'!$B$13,0)</f>
        <v>191</v>
      </c>
      <c r="F131" s="42" t="n">
        <f aca="false">D131*'Marge &amp; Tragfähigkeit'!$B$11+E131*'Marge &amp; Tragfähigkeit'!$B$12</f>
        <v>10084</v>
      </c>
      <c r="G131" s="48" t="n">
        <f aca="false">IF(MOD(A131-1,12)=0,F131,G130+F131)</f>
        <v>29076</v>
      </c>
      <c r="H131" s="61" t="n">
        <f aca="false">IF(G131&gt;'Marge &amp; Tragfähigkeit'!$B$14,1,0)</f>
        <v>1</v>
      </c>
      <c r="I131" s="61" t="n">
        <f aca="false">IF(G131&gt;'Marge &amp; Tragfähigkeit'!$B$15,1,0)</f>
        <v>0</v>
      </c>
    </row>
    <row r="132" customFormat="false" ht="15" hidden="false" customHeight="false" outlineLevel="0" collapsed="false">
      <c r="A132" s="26" t="n">
        <v>28</v>
      </c>
      <c r="B132" s="60" t="n">
        <f aca="false">$B$10</f>
        <v>8</v>
      </c>
      <c r="C132" s="60" t="n">
        <f aca="false">C131+B132</f>
        <v>224</v>
      </c>
      <c r="D132" s="61" t="n">
        <f aca="false">MIN(C132,'Marge &amp; Tragfähigkeit'!$B$13)</f>
        <v>25</v>
      </c>
      <c r="E132" s="61" t="n">
        <f aca="false">MAX(C132-'Marge &amp; Tragfähigkeit'!$B$13,0)</f>
        <v>199</v>
      </c>
      <c r="F132" s="42" t="n">
        <f aca="false">D132*'Marge &amp; Tragfähigkeit'!$B$11+E132*'Marge &amp; Tragfähigkeit'!$B$12</f>
        <v>10476</v>
      </c>
      <c r="G132" s="48" t="n">
        <f aca="false">IF(MOD(A132-1,12)=0,F132,G131+F132)</f>
        <v>39552</v>
      </c>
      <c r="H132" s="61" t="n">
        <f aca="false">IF(G132&gt;'Marge &amp; Tragfähigkeit'!$B$14,1,0)</f>
        <v>1</v>
      </c>
      <c r="I132" s="61" t="n">
        <f aca="false">IF(G132&gt;'Marge &amp; Tragfähigkeit'!$B$15,1,0)</f>
        <v>0</v>
      </c>
    </row>
    <row r="133" customFormat="false" ht="15" hidden="false" customHeight="false" outlineLevel="0" collapsed="false">
      <c r="A133" s="26" t="n">
        <v>29</v>
      </c>
      <c r="B133" s="60" t="n">
        <f aca="false">$B$10</f>
        <v>8</v>
      </c>
      <c r="C133" s="60" t="n">
        <f aca="false">C132+B133</f>
        <v>232</v>
      </c>
      <c r="D133" s="61" t="n">
        <f aca="false">MIN(C133,'Marge &amp; Tragfähigkeit'!$B$13)</f>
        <v>25</v>
      </c>
      <c r="E133" s="61" t="n">
        <f aca="false">MAX(C133-'Marge &amp; Tragfähigkeit'!$B$13,0)</f>
        <v>207</v>
      </c>
      <c r="F133" s="42" t="n">
        <f aca="false">D133*'Marge &amp; Tragfähigkeit'!$B$11+E133*'Marge &amp; Tragfähigkeit'!$B$12</f>
        <v>10868</v>
      </c>
      <c r="G133" s="48" t="n">
        <f aca="false">IF(MOD(A133-1,12)=0,F133,G132+F133)</f>
        <v>50420</v>
      </c>
      <c r="H133" s="61" t="n">
        <f aca="false">IF(G133&gt;'Marge &amp; Tragfähigkeit'!$B$14,1,0)</f>
        <v>1</v>
      </c>
      <c r="I133" s="61" t="n">
        <f aca="false">IF(G133&gt;'Marge &amp; Tragfähigkeit'!$B$15,1,0)</f>
        <v>0</v>
      </c>
    </row>
    <row r="134" customFormat="false" ht="15" hidden="false" customHeight="false" outlineLevel="0" collapsed="false">
      <c r="A134" s="26" t="n">
        <v>30</v>
      </c>
      <c r="B134" s="60" t="n">
        <f aca="false">$B$10</f>
        <v>8</v>
      </c>
      <c r="C134" s="60" t="n">
        <f aca="false">C133+B134</f>
        <v>240</v>
      </c>
      <c r="D134" s="61" t="n">
        <f aca="false">MIN(C134,'Marge &amp; Tragfähigkeit'!$B$13)</f>
        <v>25</v>
      </c>
      <c r="E134" s="61" t="n">
        <f aca="false">MAX(C134-'Marge &amp; Tragfähigkeit'!$B$13,0)</f>
        <v>215</v>
      </c>
      <c r="F134" s="42" t="n">
        <f aca="false">D134*'Marge &amp; Tragfähigkeit'!$B$11+E134*'Marge &amp; Tragfähigkeit'!$B$12</f>
        <v>11260</v>
      </c>
      <c r="G134" s="48" t="n">
        <f aca="false">IF(MOD(A134-1,12)=0,F134,G133+F134)</f>
        <v>61680</v>
      </c>
      <c r="H134" s="61" t="n">
        <f aca="false">IF(G134&gt;'Marge &amp; Tragfähigkeit'!$B$14,1,0)</f>
        <v>1</v>
      </c>
      <c r="I134" s="61" t="n">
        <f aca="false">IF(G134&gt;'Marge &amp; Tragfähigkeit'!$B$15,1,0)</f>
        <v>0</v>
      </c>
    </row>
    <row r="135" customFormat="false" ht="15" hidden="false" customHeight="false" outlineLevel="0" collapsed="false">
      <c r="A135" s="26" t="n">
        <v>31</v>
      </c>
      <c r="B135" s="60" t="n">
        <f aca="false">$B$10</f>
        <v>8</v>
      </c>
      <c r="C135" s="60" t="n">
        <f aca="false">C134+B135</f>
        <v>248</v>
      </c>
      <c r="D135" s="61" t="n">
        <f aca="false">MIN(C135,'Marge &amp; Tragfähigkeit'!$B$13)</f>
        <v>25</v>
      </c>
      <c r="E135" s="61" t="n">
        <f aca="false">MAX(C135-'Marge &amp; Tragfähigkeit'!$B$13,0)</f>
        <v>223</v>
      </c>
      <c r="F135" s="42" t="n">
        <f aca="false">D135*'Marge &amp; Tragfähigkeit'!$B$11+E135*'Marge &amp; Tragfähigkeit'!$B$12</f>
        <v>11652</v>
      </c>
      <c r="G135" s="48" t="n">
        <f aca="false">IF(MOD(A135-1,12)=0,F135,G134+F135)</f>
        <v>73332</v>
      </c>
      <c r="H135" s="61" t="n">
        <f aca="false">IF(G135&gt;'Marge &amp; Tragfähigkeit'!$B$14,1,0)</f>
        <v>1</v>
      </c>
      <c r="I135" s="61" t="n">
        <f aca="false">IF(G135&gt;'Marge &amp; Tragfähigkeit'!$B$15,1,0)</f>
        <v>0</v>
      </c>
    </row>
    <row r="136" customFormat="false" ht="15" hidden="false" customHeight="false" outlineLevel="0" collapsed="false">
      <c r="A136" s="26" t="n">
        <v>32</v>
      </c>
      <c r="B136" s="60" t="n">
        <f aca="false">$B$10</f>
        <v>8</v>
      </c>
      <c r="C136" s="60" t="n">
        <f aca="false">C135+B136</f>
        <v>256</v>
      </c>
      <c r="D136" s="61" t="n">
        <f aca="false">MIN(C136,'Marge &amp; Tragfähigkeit'!$B$13)</f>
        <v>25</v>
      </c>
      <c r="E136" s="61" t="n">
        <f aca="false">MAX(C136-'Marge &amp; Tragfähigkeit'!$B$13,0)</f>
        <v>231</v>
      </c>
      <c r="F136" s="42" t="n">
        <f aca="false">D136*'Marge &amp; Tragfähigkeit'!$B$11+E136*'Marge &amp; Tragfähigkeit'!$B$12</f>
        <v>12044</v>
      </c>
      <c r="G136" s="48" t="n">
        <f aca="false">IF(MOD(A136-1,12)=0,F136,G135+F136)</f>
        <v>85376</v>
      </c>
      <c r="H136" s="61" t="n">
        <f aca="false">IF(G136&gt;'Marge &amp; Tragfähigkeit'!$B$14,1,0)</f>
        <v>1</v>
      </c>
      <c r="I136" s="61" t="n">
        <f aca="false">IF(G136&gt;'Marge &amp; Tragfähigkeit'!$B$15,1,0)</f>
        <v>0</v>
      </c>
    </row>
    <row r="137" customFormat="false" ht="15" hidden="false" customHeight="false" outlineLevel="0" collapsed="false">
      <c r="A137" s="26" t="n">
        <v>33</v>
      </c>
      <c r="B137" s="60" t="n">
        <f aca="false">$B$10</f>
        <v>8</v>
      </c>
      <c r="C137" s="60" t="n">
        <f aca="false">C136+B137</f>
        <v>264</v>
      </c>
      <c r="D137" s="61" t="n">
        <f aca="false">MIN(C137,'Marge &amp; Tragfähigkeit'!$B$13)</f>
        <v>25</v>
      </c>
      <c r="E137" s="61" t="n">
        <f aca="false">MAX(C137-'Marge &amp; Tragfähigkeit'!$B$13,0)</f>
        <v>239</v>
      </c>
      <c r="F137" s="42" t="n">
        <f aca="false">D137*'Marge &amp; Tragfähigkeit'!$B$11+E137*'Marge &amp; Tragfähigkeit'!$B$12</f>
        <v>12436</v>
      </c>
      <c r="G137" s="48" t="n">
        <f aca="false">IF(MOD(A137-1,12)=0,F137,G136+F137)</f>
        <v>97812</v>
      </c>
      <c r="H137" s="61" t="n">
        <f aca="false">IF(G137&gt;'Marge &amp; Tragfähigkeit'!$B$14,1,0)</f>
        <v>1</v>
      </c>
      <c r="I137" s="61" t="n">
        <f aca="false">IF(G137&gt;'Marge &amp; Tragfähigkeit'!$B$15,1,0)</f>
        <v>0</v>
      </c>
    </row>
    <row r="138" customFormat="false" ht="15" hidden="false" customHeight="false" outlineLevel="0" collapsed="false">
      <c r="A138" s="26" t="n">
        <v>34</v>
      </c>
      <c r="B138" s="60" t="n">
        <f aca="false">$B$10</f>
        <v>8</v>
      </c>
      <c r="C138" s="60" t="n">
        <f aca="false">C137+B138</f>
        <v>272</v>
      </c>
      <c r="D138" s="61" t="n">
        <f aca="false">MIN(C138,'Marge &amp; Tragfähigkeit'!$B$13)</f>
        <v>25</v>
      </c>
      <c r="E138" s="61" t="n">
        <f aca="false">MAX(C138-'Marge &amp; Tragfähigkeit'!$B$13,0)</f>
        <v>247</v>
      </c>
      <c r="F138" s="42" t="n">
        <f aca="false">D138*'Marge &amp; Tragfähigkeit'!$B$11+E138*'Marge &amp; Tragfähigkeit'!$B$12</f>
        <v>12828</v>
      </c>
      <c r="G138" s="48" t="n">
        <f aca="false">IF(MOD(A138-1,12)=0,F138,G137+F138)</f>
        <v>110640</v>
      </c>
      <c r="H138" s="61" t="n">
        <f aca="false">IF(G138&gt;'Marge &amp; Tragfähigkeit'!$B$14,1,0)</f>
        <v>1</v>
      </c>
      <c r="I138" s="61" t="n">
        <f aca="false">IF(G138&gt;'Marge &amp; Tragfähigkeit'!$B$15,1,0)</f>
        <v>1</v>
      </c>
    </row>
    <row r="139" customFormat="false" ht="15" hidden="false" customHeight="false" outlineLevel="0" collapsed="false">
      <c r="A139" s="26" t="n">
        <v>35</v>
      </c>
      <c r="B139" s="60" t="n">
        <f aca="false">$B$10</f>
        <v>8</v>
      </c>
      <c r="C139" s="60" t="n">
        <f aca="false">C138+B139</f>
        <v>280</v>
      </c>
      <c r="D139" s="61" t="n">
        <f aca="false">MIN(C139,'Marge &amp; Tragfähigkeit'!$B$13)</f>
        <v>25</v>
      </c>
      <c r="E139" s="61" t="n">
        <f aca="false">MAX(C139-'Marge &amp; Tragfähigkeit'!$B$13,0)</f>
        <v>255</v>
      </c>
      <c r="F139" s="42" t="n">
        <f aca="false">D139*'Marge &amp; Tragfähigkeit'!$B$11+E139*'Marge &amp; Tragfähigkeit'!$B$12</f>
        <v>13220</v>
      </c>
      <c r="G139" s="48" t="n">
        <f aca="false">IF(MOD(A139-1,12)=0,F139,G138+F139)</f>
        <v>123860</v>
      </c>
      <c r="H139" s="61" t="n">
        <f aca="false">IF(G139&gt;'Marge &amp; Tragfähigkeit'!$B$14,1,0)</f>
        <v>1</v>
      </c>
      <c r="I139" s="61" t="n">
        <f aca="false">IF(G139&gt;'Marge &amp; Tragfähigkeit'!$B$15,1,0)</f>
        <v>1</v>
      </c>
    </row>
    <row r="140" customFormat="false" ht="15" hidden="false" customHeight="false" outlineLevel="0" collapsed="false">
      <c r="A140" s="26" t="n">
        <v>36</v>
      </c>
      <c r="B140" s="60" t="n">
        <f aca="false">$B$10</f>
        <v>8</v>
      </c>
      <c r="C140" s="60" t="n">
        <f aca="false">C139+B140</f>
        <v>288</v>
      </c>
      <c r="D140" s="61" t="n">
        <f aca="false">MIN(C140,'Marge &amp; Tragfähigkeit'!$B$13)</f>
        <v>25</v>
      </c>
      <c r="E140" s="61" t="n">
        <f aca="false">MAX(C140-'Marge &amp; Tragfähigkeit'!$B$13,0)</f>
        <v>263</v>
      </c>
      <c r="F140" s="42" t="n">
        <f aca="false">D140*'Marge &amp; Tragfähigkeit'!$B$11+E140*'Marge &amp; Tragfähigkeit'!$B$12</f>
        <v>13612</v>
      </c>
      <c r="G140" s="48" t="n">
        <f aca="false">IF(MOD(A140-1,12)=0,F140,G139+F140)</f>
        <v>137472</v>
      </c>
      <c r="H140" s="61" t="n">
        <f aca="false">IF(G140&gt;'Marge &amp; Tragfähigkeit'!$B$14,1,0)</f>
        <v>1</v>
      </c>
      <c r="I140" s="61" t="n">
        <f aca="false">IF(G140&gt;'Marge &amp; Tragfähigkeit'!$B$15,1,0)</f>
        <v>1</v>
      </c>
    </row>
    <row r="143" customFormat="false" ht="77.6" hidden="false" customHeight="true" outlineLevel="0" collapsed="false">
      <c r="A143" s="62" t="s">
        <v>320</v>
      </c>
      <c r="B143" s="62"/>
      <c r="C143" s="62"/>
      <c r="D143" s="62"/>
      <c r="E143" s="62"/>
      <c r="F143" s="62"/>
      <c r="G143" s="62"/>
      <c r="H143" s="62"/>
      <c r="I143" s="62"/>
    </row>
    <row r="145" customFormat="false" ht="39.55" hidden="false" customHeight="true" outlineLevel="0" collapsed="false">
      <c r="A145" s="35" t="s">
        <v>321</v>
      </c>
      <c r="B145" s="35"/>
      <c r="C145" s="35"/>
      <c r="D145" s="35"/>
      <c r="E145" s="35"/>
      <c r="F145" s="35"/>
      <c r="G145" s="35"/>
      <c r="H145" s="35"/>
      <c r="I145" s="35"/>
    </row>
  </sheetData>
  <mergeCells count="9">
    <mergeCell ref="A2:I4"/>
    <mergeCell ref="C7:I7"/>
    <mergeCell ref="C8:I8"/>
    <mergeCell ref="C9:I9"/>
    <mergeCell ref="C10:I10"/>
    <mergeCell ref="A12:I12"/>
    <mergeCell ref="A21:I21"/>
    <mergeCell ref="A143:I143"/>
    <mergeCell ref="A145:I14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4" min="2" style="0" width="21"/>
    <col collapsed="false" customWidth="true" hidden="false" outlineLevel="0" max="7" min="5" style="0" width="16"/>
  </cols>
  <sheetData>
    <row r="1" customFormat="false" ht="17.35" hidden="false" customHeight="false" outlineLevel="0" collapsed="false">
      <c r="A1" s="34" t="s">
        <v>322</v>
      </c>
    </row>
    <row r="2" customFormat="false" ht="15" hidden="false" customHeight="true" outlineLevel="0" collapsed="false">
      <c r="A2" s="35" t="s">
        <v>323</v>
      </c>
      <c r="B2" s="35"/>
      <c r="C2" s="35"/>
      <c r="D2" s="35"/>
      <c r="E2" s="35"/>
      <c r="F2" s="35"/>
      <c r="G2" s="35"/>
    </row>
    <row r="3" customFormat="false" ht="15" hidden="false" customHeight="false" outlineLevel="0" collapsed="false">
      <c r="A3" s="35"/>
      <c r="B3" s="35"/>
      <c r="C3" s="35"/>
      <c r="D3" s="35"/>
      <c r="E3" s="35"/>
      <c r="F3" s="35"/>
      <c r="G3" s="35"/>
    </row>
    <row r="4" customFormat="false" ht="15" hidden="false" customHeight="false" outlineLevel="0" collapsed="false">
      <c r="A4" s="35"/>
      <c r="B4" s="35"/>
      <c r="C4" s="35"/>
      <c r="D4" s="35"/>
      <c r="E4" s="35"/>
      <c r="F4" s="35"/>
      <c r="G4" s="35"/>
    </row>
    <row r="6" customFormat="false" ht="15" hidden="false" customHeight="false" outlineLevel="0" collapsed="false">
      <c r="A6" s="3" t="s">
        <v>294</v>
      </c>
      <c r="B6" s="3" t="s">
        <v>297</v>
      </c>
      <c r="C6" s="3" t="s">
        <v>299</v>
      </c>
      <c r="D6" s="3" t="s">
        <v>301</v>
      </c>
    </row>
    <row r="7" customFormat="false" ht="15" hidden="false" customHeight="false" outlineLevel="0" collapsed="false">
      <c r="A7" s="26" t="s">
        <v>324</v>
      </c>
      <c r="B7" s="63" t="n">
        <f aca="false">'Plan-Kunden'!$C$32</f>
        <v>16.5</v>
      </c>
      <c r="C7" s="63" t="n">
        <f aca="false">'Plan-Kunden'!$C$61</f>
        <v>52.25</v>
      </c>
      <c r="D7" s="63" t="n">
        <f aca="false">'Plan-Kunden'!$C$90</f>
        <v>103.5</v>
      </c>
    </row>
    <row r="8" customFormat="false" ht="15" hidden="false" customHeight="false" outlineLevel="0" collapsed="false">
      <c r="A8" s="26" t="s">
        <v>325</v>
      </c>
      <c r="B8" s="63" t="n">
        <f aca="false">'Plan-Kunden'!$D$32</f>
        <v>0.298153707111703</v>
      </c>
      <c r="C8" s="63" t="n">
        <f aca="false">'Plan-Kunden'!$D$61</f>
        <v>2.62027088075515</v>
      </c>
      <c r="D8" s="63" t="n">
        <f aca="false">'Plan-Kunden'!$D$90</f>
        <v>12.6749868994896</v>
      </c>
    </row>
    <row r="9" customFormat="false" ht="15" hidden="false" customHeight="false" outlineLevel="0" collapsed="false">
      <c r="A9" s="26" t="s">
        <v>326</v>
      </c>
      <c r="B9" s="64" t="n">
        <f aca="false">'Plan-Annahmen'!$B$24</f>
        <v>0.05</v>
      </c>
      <c r="C9" s="64" t="n">
        <f aca="false">'Plan-Annahmen'!$B$25</f>
        <v>0.04</v>
      </c>
      <c r="D9" s="64" t="n">
        <f aca="false">'Plan-Annahmen'!$B$26</f>
        <v>0.03</v>
      </c>
    </row>
    <row r="10" customFormat="false" ht="15" hidden="false" customHeight="false" outlineLevel="0" collapsed="false">
      <c r="A10" s="13" t="s">
        <v>327</v>
      </c>
      <c r="B10" s="65" t="n">
        <f aca="false">'Plan-Kunden'!$K$32</f>
        <v>14.2569081417916</v>
      </c>
      <c r="C10" s="65" t="n">
        <f aca="false">'Plan-Kunden'!$K$61</f>
        <v>46.5545353618745</v>
      </c>
      <c r="D10" s="65" t="n">
        <f aca="false">'Plan-Kunden'!$K$90</f>
        <v>99.141588809685</v>
      </c>
    </row>
    <row r="12" customFormat="false" ht="15" hidden="false" customHeight="false" outlineLevel="0" collapsed="false">
      <c r="A12" s="36" t="s">
        <v>328</v>
      </c>
    </row>
    <row r="13" customFormat="false" ht="15" hidden="false" customHeight="false" outlineLevel="0" collapsed="false">
      <c r="A13" s="13" t="s">
        <v>329</v>
      </c>
      <c r="B13" s="66" t="str">
        <f aca="false">IFERROR(INDEX('Plan-24M'!$A$8:$A$31,MATCH(1,'Plan-24M'!$V$8:$V$31,0)),"&gt; 24 Monate")</f>
        <v>&gt; 24 Monate</v>
      </c>
      <c r="C13" s="66" t="n">
        <f aca="false">IFERROR(INDEX('Plan-24M'!$A$37:$A$60,MATCH(1,'Plan-24M'!$V$37:$V$60,0)),"&gt; 24 Monate")</f>
        <v>15</v>
      </c>
      <c r="D13" s="66" t="n">
        <f aca="false">IFERROR(INDEX('Plan-24M'!$A$66:$A$89,MATCH(1,'Plan-24M'!$V$66:$V$89,0)),"&gt; 24 Monate")</f>
        <v>11</v>
      </c>
    </row>
    <row r="14" customFormat="false" ht="15" hidden="false" customHeight="false" outlineLevel="0" collapsed="false">
      <c r="A14" s="26" t="s">
        <v>330</v>
      </c>
      <c r="B14" s="67" t="str">
        <f aca="false">IFERROR(INDEX('Plan-24M'!$B$8:$B$31,MATCH(1,'Plan-24M'!$V$8:$V$31,0)),"&gt; 24 Monate")</f>
        <v>&gt; 24 Monate</v>
      </c>
      <c r="C14" s="67" t="n">
        <f aca="false">IFERROR(INDEX('Plan-24M'!$B$37:$B$60,MATCH(1,'Plan-24M'!$V$37:$V$60,0)),"&gt; 24 Monate")</f>
        <v>46692</v>
      </c>
      <c r="D14" s="67" t="n">
        <f aca="false">IFERROR(INDEX('Plan-24M'!$B$66:$B$89,MATCH(1,'Plan-24M'!$V$66:$V$89,0)),"&gt; 24 Monate")</f>
        <v>46569</v>
      </c>
    </row>
    <row r="15" customFormat="false" ht="15" hidden="false" customHeight="false" outlineLevel="0" collapsed="false">
      <c r="A15" s="26" t="s">
        <v>331</v>
      </c>
      <c r="B15" s="63" t="str">
        <f aca="false">IFERROR(INDEX('Plan-24M'!$D$8:$D$31,MATCH(1,'Plan-24M'!$V$8:$V$31,0)),"&gt; 24 Monate")</f>
        <v>&gt; 24 Monate</v>
      </c>
      <c r="C15" s="63" t="n">
        <f aca="false">IFERROR(INDEX('Plan-24M'!$D$37:$D$60,MATCH(1,'Plan-24M'!$V$37:$V$60,0)),"&gt; 24 Monate")</f>
        <v>21.2132081650916</v>
      </c>
      <c r="D15" s="63" t="n">
        <f aca="false">IFERROR(INDEX('Plan-24M'!$D$66:$D$89,MATCH(1,'Plan-24M'!$V$66:$V$89,0)),"&gt; 24 Monate")</f>
        <v>25.7034177600615</v>
      </c>
    </row>
    <row r="16" customFormat="false" ht="15" hidden="false" customHeight="false" outlineLevel="0" collapsed="false">
      <c r="A16" s="26" t="s">
        <v>332</v>
      </c>
      <c r="B16" s="68" t="n">
        <f aca="false">'Plan-24M'!$H$31</f>
        <v>413.450336111956</v>
      </c>
      <c r="C16" s="68" t="n">
        <f aca="false">'Plan-24M'!$H$60</f>
        <v>1873.00100037136</v>
      </c>
      <c r="D16" s="68" t="n">
        <f aca="false">'Plan-24M'!$H$89</f>
        <v>4432.78444534713</v>
      </c>
    </row>
    <row r="17" customFormat="false" ht="15" hidden="false" customHeight="false" outlineLevel="0" collapsed="false">
      <c r="A17" s="26" t="s">
        <v>333</v>
      </c>
      <c r="B17" s="68" t="n">
        <f aca="false">SUM('Plan-24M'!$H$8:$H$19)</f>
        <v>764.926291466</v>
      </c>
      <c r="C17" s="68" t="n">
        <f aca="false">SUM('Plan-24M'!$H$37:$H$48)</f>
        <v>2134.95417105606</v>
      </c>
      <c r="D17" s="68" t="n">
        <f aca="false">SUM('Plan-24M'!$H$66:$H$77)</f>
        <v>4028.18765889086</v>
      </c>
    </row>
    <row r="18" customFormat="false" ht="15" hidden="false" customHeight="false" outlineLevel="0" collapsed="false">
      <c r="A18" s="26" t="s">
        <v>334</v>
      </c>
      <c r="B18" s="68" t="n">
        <f aca="false">SUM('Plan-24M'!$H$20:$H$31)</f>
        <v>3333.33011436013</v>
      </c>
      <c r="C18" s="68" t="n">
        <f aca="false">SUM('Plan-24M'!$H$49:$H$60)</f>
        <v>13177.0916938435</v>
      </c>
      <c r="D18" s="68" t="n">
        <f aca="false">SUM('Plan-24M'!$H$78:$H$89)</f>
        <v>32966.0979323996</v>
      </c>
    </row>
    <row r="20" customFormat="false" ht="15" hidden="false" customHeight="false" outlineLevel="0" collapsed="false">
      <c r="A20" s="36" t="s">
        <v>335</v>
      </c>
    </row>
    <row r="21" customFormat="false" ht="15" hidden="false" customHeight="false" outlineLevel="0" collapsed="false">
      <c r="A21" s="13" t="s">
        <v>336</v>
      </c>
      <c r="B21" s="69" t="n">
        <f aca="false">MIN(0,MIN('Plan-24M'!$U$8:$U$31))</f>
        <v>-14259.8594329862</v>
      </c>
      <c r="C21" s="69" t="n">
        <f aca="false">MIN(0,MIN('Plan-24M'!$U$37:$U$60))</f>
        <v>-9282.49074488781</v>
      </c>
      <c r="D21" s="69" t="n">
        <f aca="false">MIN(0,MIN('Plan-24M'!$U$66:$U$89))</f>
        <v>-7860.55413764376</v>
      </c>
    </row>
    <row r="22" customFormat="false" ht="15" hidden="false" customHeight="false" outlineLevel="0" collapsed="false">
      <c r="A22" s="26" t="s">
        <v>337</v>
      </c>
      <c r="B22" s="68" t="n">
        <f aca="false">'Plan-24M'!$T$31</f>
        <v>2000</v>
      </c>
      <c r="C22" s="68" t="n">
        <f aca="false">'Plan-24M'!$T$60</f>
        <v>2000</v>
      </c>
      <c r="D22" s="68" t="n">
        <f aca="false">'Plan-24M'!$T$89</f>
        <v>2000</v>
      </c>
    </row>
    <row r="23" customFormat="false" ht="15" hidden="false" customHeight="false" outlineLevel="0" collapsed="false">
      <c r="A23" s="26" t="s">
        <v>338</v>
      </c>
      <c r="B23" s="70" t="n">
        <f aca="false">MATCH(MIN('Plan-24M'!$U$8:$U$31),'Plan-24M'!$U$8:$U$31,0)</f>
        <v>24</v>
      </c>
      <c r="C23" s="70" t="n">
        <f aca="false">MATCH(MIN('Plan-24M'!$U$37:$U$60),'Plan-24M'!$U$37:$U$60,0)</f>
        <v>14</v>
      </c>
      <c r="D23" s="70" t="n">
        <f aca="false">MATCH(MIN('Plan-24M'!$U$66:$U$89),'Plan-24M'!$U$66:$U$89,0)</f>
        <v>10</v>
      </c>
    </row>
    <row r="24" customFormat="false" ht="15" hidden="false" customHeight="false" outlineLevel="0" collapsed="false">
      <c r="A24" s="26" t="s">
        <v>339</v>
      </c>
      <c r="B24" s="70" t="str">
        <f aca="false">IFERROR(INDEX('Plan-24M'!$A$8:$A$31,MATCH(1,'Plan-24M'!$AB$8:$AB$31,0)),"&gt; 24 Monate")</f>
        <v>&gt; 24 Monate</v>
      </c>
      <c r="C24" s="70" t="str">
        <f aca="false">IFERROR(INDEX('Plan-24M'!$A$37:$A$60,MATCH(1,'Plan-24M'!$AB$37:$AB$60,0)),"&gt; 24 Monate")</f>
        <v>&gt; 24 Monate</v>
      </c>
      <c r="D24" s="70" t="n">
        <f aca="false">IFERROR(INDEX('Plan-24M'!$A$66:$A$89,MATCH(1,'Plan-24M'!$AB$66:$AB$89,0)),"&gt; 24 Monate")</f>
        <v>20</v>
      </c>
    </row>
    <row r="25" customFormat="false" ht="15" hidden="false" customHeight="false" outlineLevel="0" collapsed="false">
      <c r="A25" s="26" t="s">
        <v>340</v>
      </c>
      <c r="B25" s="68" t="n">
        <f aca="false">'Plan-24M'!$S$31</f>
        <v>-12259.8594329862</v>
      </c>
      <c r="C25" s="68" t="n">
        <f aca="false">'Plan-24M'!$S$60</f>
        <v>-3412.95037225838</v>
      </c>
      <c r="D25" s="68" t="n">
        <f aca="false">'Plan-24M'!$S$89</f>
        <v>11200.3364378308</v>
      </c>
    </row>
    <row r="27" customFormat="false" ht="15" hidden="false" customHeight="false" outlineLevel="0" collapsed="false">
      <c r="A27" s="36" t="s">
        <v>341</v>
      </c>
    </row>
    <row r="28" customFormat="false" ht="26.85" hidden="false" customHeight="true" outlineLevel="0" collapsed="false">
      <c r="A28" s="35" t="s">
        <v>342</v>
      </c>
      <c r="B28" s="35"/>
      <c r="C28" s="35"/>
      <c r="D28" s="35"/>
      <c r="E28" s="35"/>
      <c r="F28" s="35"/>
      <c r="G28" s="35"/>
    </row>
    <row r="30" customFormat="false" ht="26.85" hidden="false" customHeight="false" outlineLevel="0" collapsed="false">
      <c r="A30" s="3" t="s">
        <v>343</v>
      </c>
      <c r="B30" s="3" t="s">
        <v>344</v>
      </c>
      <c r="C30" s="3" t="s">
        <v>345</v>
      </c>
      <c r="D30" s="3" t="s">
        <v>346</v>
      </c>
    </row>
    <row r="31" customFormat="false" ht="15" hidden="false" customHeight="false" outlineLevel="0" collapsed="false">
      <c r="A31" s="13" t="s">
        <v>347</v>
      </c>
      <c r="B31" s="71" t="n">
        <f aca="false">'Plan-Phase B'!$C$21</f>
        <v>37</v>
      </c>
      <c r="C31" s="16" t="n">
        <f aca="false">'Plan-Phase B'!$C$22</f>
        <v>1313</v>
      </c>
      <c r="D31" s="72" t="n">
        <f aca="false">'Plan-Phase B'!$C$13</f>
        <v>409.366396622916</v>
      </c>
    </row>
    <row r="32" customFormat="false" ht="15" hidden="false" customHeight="false" outlineLevel="0" collapsed="false">
      <c r="A32" s="13" t="s">
        <v>348</v>
      </c>
      <c r="B32" s="71" t="n">
        <f aca="false">'Plan-Phase B'!$D$21</f>
        <v>45</v>
      </c>
      <c r="C32" s="16" t="n">
        <f aca="false">'Plan-Phase B'!$D$22</f>
        <v>1705</v>
      </c>
      <c r="D32" s="72" t="n">
        <f aca="false">'Plan-Phase B'!$D$13</f>
        <v>700.828888622917</v>
      </c>
    </row>
    <row r="33" customFormat="false" ht="15" hidden="false" customHeight="false" outlineLevel="0" collapsed="false">
      <c r="A33" s="13" t="s">
        <v>349</v>
      </c>
      <c r="B33" s="71" t="n">
        <f aca="false">'Plan-Phase B'!$E$21</f>
        <v>107</v>
      </c>
      <c r="C33" s="16" t="n">
        <f aca="false">'Plan-Phase B'!$E$22</f>
        <v>4743</v>
      </c>
      <c r="D33" s="72" t="n">
        <f aca="false">'Plan-Phase B'!$E$13</f>
        <v>2500</v>
      </c>
    </row>
    <row r="35" customFormat="false" ht="15" hidden="false" customHeight="false" outlineLevel="0" collapsed="false">
      <c r="A35" s="3" t="s">
        <v>350</v>
      </c>
      <c r="B35" s="3" t="s">
        <v>297</v>
      </c>
      <c r="C35" s="3" t="s">
        <v>299</v>
      </c>
      <c r="D35" s="3" t="s">
        <v>301</v>
      </c>
    </row>
    <row r="36" customFormat="false" ht="15" hidden="false" customHeight="false" outlineLevel="0" collapsed="false">
      <c r="A36" s="13" t="s">
        <v>351</v>
      </c>
      <c r="B36" s="66" t="str">
        <f aca="false">IFERROR(INDEX('Plan-24M'!$A$8:$A$31,MATCH(1,'Plan-24M'!$Y$8:$Y$31,0)),"&gt; 24 Monate")</f>
        <v>&gt; 24 Monate</v>
      </c>
      <c r="C36" s="66" t="n">
        <f aca="false">IFERROR(INDEX('Plan-24M'!$A$37:$A$60,MATCH(1,'Plan-24M'!$Y$37:$Y$60,0)),"&gt; 24 Monate")</f>
        <v>21</v>
      </c>
      <c r="D36" s="66" t="n">
        <f aca="false">IFERROR(INDEX('Plan-24M'!$A$66:$A$89,MATCH(1,'Plan-24M'!$Y$66:$Y$89,0)),"&gt; 24 Monate")</f>
        <v>14</v>
      </c>
    </row>
    <row r="37" customFormat="false" ht="15" hidden="false" customHeight="false" outlineLevel="0" collapsed="false">
      <c r="A37" s="26" t="s">
        <v>352</v>
      </c>
      <c r="B37" s="70" t="str">
        <f aca="false">IFERROR(INDEX('Plan-24M'!$A$8:$A$31,MATCH(1,'Plan-24M'!$Y$8:$Y$31,0))-'Plan-Annahmen'!$B$80,"&gt; 24 Monate")</f>
        <v>&gt; 24 Monate</v>
      </c>
      <c r="C37" s="70" t="n">
        <f aca="false">IFERROR(INDEX('Plan-24M'!$A$37:$A$60,MATCH(1,'Plan-24M'!$Y$37:$Y$60,0))-'Plan-Annahmen'!$B$80,"&gt; 24 Monate")</f>
        <v>18</v>
      </c>
      <c r="D37" s="70" t="n">
        <f aca="false">IFERROR(INDEX('Plan-24M'!$A$66:$A$89,MATCH(1,'Plan-24M'!$Y$66:$Y$89,0))-'Plan-Annahmen'!$B$80,"&gt; 24 Monate")</f>
        <v>11</v>
      </c>
    </row>
    <row r="38" customFormat="false" ht="15" hidden="false" customHeight="false" outlineLevel="0" collapsed="false">
      <c r="A38" s="13" t="s">
        <v>353</v>
      </c>
      <c r="B38" s="66" t="str">
        <f aca="false">IFERROR(INDEX('Plan-24M'!$A$8:$A$31,MATCH(1,'Plan-24M'!$Z$8:$Z$31,0)),"&gt; 24 Monate")</f>
        <v>&gt; 24 Monate</v>
      </c>
      <c r="C38" s="66" t="n">
        <f aca="false">IFERROR(INDEX('Plan-24M'!$A$37:$A$60,MATCH(1,'Plan-24M'!$Z$37:$Z$60,0)),"&gt; 24 Monate")</f>
        <v>24</v>
      </c>
      <c r="D38" s="66" t="n">
        <f aca="false">IFERROR(INDEX('Plan-24M'!$A$66:$A$89,MATCH(1,'Plan-24M'!$Z$66:$Z$89,0)),"&gt; 24 Monate")</f>
        <v>16</v>
      </c>
    </row>
    <row r="39" customFormat="false" ht="15" hidden="false" customHeight="false" outlineLevel="0" collapsed="false">
      <c r="A39" s="13" t="s">
        <v>354</v>
      </c>
      <c r="B39" s="66" t="str">
        <f aca="false">IFERROR(INDEX('Plan-24M'!$A$8:$A$31,MATCH(1,'Plan-24M'!$AA$8:$AA$31,0)),"&gt; 24 Monate")</f>
        <v>&gt; 24 Monate</v>
      </c>
      <c r="C39" s="66" t="str">
        <f aca="false">IFERROR(INDEX('Plan-24M'!$A$37:$A$60,MATCH(1,'Plan-24M'!$AA$37:$AA$60,0)),"&gt; 24 Monate")</f>
        <v>&gt; 24 Monate</v>
      </c>
      <c r="D39" s="66" t="str">
        <f aca="false">IFERROR(INDEX('Plan-24M'!$A$66:$A$89,MATCH(1,'Plan-24M'!$AA$66:$AA$89,0)),"&gt; 24 Monate")</f>
        <v>&gt; 24 Monate</v>
      </c>
    </row>
    <row r="41" customFormat="false" ht="15" hidden="false" customHeight="false" outlineLevel="0" collapsed="false">
      <c r="A41" s="36" t="s">
        <v>355</v>
      </c>
    </row>
    <row r="42" customFormat="false" ht="26.85" hidden="false" customHeight="true" outlineLevel="0" collapsed="false">
      <c r="A42" s="35" t="s">
        <v>356</v>
      </c>
      <c r="B42" s="35"/>
      <c r="C42" s="35"/>
      <c r="D42" s="35"/>
      <c r="E42" s="35"/>
      <c r="F42" s="35"/>
      <c r="G42" s="35"/>
    </row>
    <row r="44" customFormat="false" ht="15" hidden="false" customHeight="false" outlineLevel="0" collapsed="false">
      <c r="A44" s="3" t="s">
        <v>357</v>
      </c>
      <c r="B44" s="3" t="s">
        <v>297</v>
      </c>
      <c r="C44" s="3" t="s">
        <v>299</v>
      </c>
      <c r="D44" s="3" t="s">
        <v>301</v>
      </c>
    </row>
    <row r="45" customFormat="false" ht="15" hidden="false" customHeight="false" outlineLevel="0" collapsed="false">
      <c r="A45" s="26" t="s">
        <v>358</v>
      </c>
      <c r="B45" s="68" t="n">
        <f aca="false">SUM('Plan-24M'!$H$8:$H$11)</f>
        <v>0</v>
      </c>
      <c r="C45" s="68" t="n">
        <f aca="false">SUM('Plan-24M'!$H$37:$H$40)</f>
        <v>29</v>
      </c>
      <c r="D45" s="68" t="n">
        <f aca="false">SUM('Plan-24M'!$H$66:$H$69)</f>
        <v>29</v>
      </c>
    </row>
    <row r="46" customFormat="false" ht="15" hidden="false" customHeight="false" outlineLevel="0" collapsed="false">
      <c r="A46" s="26" t="s">
        <v>359</v>
      </c>
      <c r="B46" s="68" t="n">
        <f aca="false">SUM('Plan-24M'!$H$12:$H$23)</f>
        <v>1503.48505064124</v>
      </c>
      <c r="C46" s="68" t="n">
        <f aca="false">SUM('Plan-24M'!$H$41:$H$52)</f>
        <v>4457.15881203549</v>
      </c>
      <c r="D46" s="68" t="n">
        <f aca="false">SUM('Plan-24M'!$H$70:$H$81)</f>
        <v>10263.9524951918</v>
      </c>
    </row>
    <row r="47" customFormat="false" ht="15" hidden="false" customHeight="false" outlineLevel="0" collapsed="false">
      <c r="A47" s="26" t="s">
        <v>360</v>
      </c>
      <c r="B47" s="68" t="n">
        <f aca="false">SUM('Plan-24M'!$H$24:$H$31)</f>
        <v>2594.77135518488</v>
      </c>
      <c r="C47" s="68" t="n">
        <f aca="false">SUM('Plan-24M'!$H$53:$H$60)</f>
        <v>10825.887052864</v>
      </c>
      <c r="D47" s="68" t="n">
        <f aca="false">SUM('Plan-24M'!$H$82:$H$89)</f>
        <v>26701.3330960987</v>
      </c>
    </row>
    <row r="48" customFormat="false" ht="15" hidden="false" customHeight="false" outlineLevel="0" collapsed="false">
      <c r="A48" s="13" t="s">
        <v>361</v>
      </c>
      <c r="B48" s="66" t="str">
        <f aca="false">IF(MAX(SUM('Plan-24M'!$H$8:$H$11),SUM('Plan-24M'!$H$12:$H$23),SUM('Plan-24M'!$H$24:$H$31))&gt;'Marge &amp; Tragfähigkeit'!$B$14,"ja","nein")</f>
        <v>nein</v>
      </c>
      <c r="C48" s="66" t="str">
        <f aca="false">IF(MAX(SUM('Plan-24M'!$H$37:$H$40),SUM('Plan-24M'!$H$41:$H$52),SUM('Plan-24M'!$H$53:$H$60))&gt;'Marge &amp; Tragfähigkeit'!$B$14,"ja","nein")</f>
        <v>nein</v>
      </c>
      <c r="D48" s="66" t="str">
        <f aca="false">IF(MAX(SUM('Plan-24M'!$H$66:$H$69),SUM('Plan-24M'!$H$70:$H$81),SUM('Plan-24M'!$H$82:$H$89))&gt;'Marge &amp; Tragfähigkeit'!$B$14,"ja","nein")</f>
        <v>ja</v>
      </c>
    </row>
    <row r="50" customFormat="false" ht="39.55" hidden="false" customHeight="true" outlineLevel="0" collapsed="false">
      <c r="A50" s="35" t="s">
        <v>362</v>
      </c>
      <c r="B50" s="35"/>
      <c r="C50" s="35"/>
      <c r="D50" s="35"/>
      <c r="E50" s="35"/>
      <c r="F50" s="35"/>
      <c r="G50" s="35"/>
    </row>
    <row r="52" customFormat="false" ht="15" hidden="false" customHeight="false" outlineLevel="0" collapsed="false">
      <c r="A52" s="36" t="s">
        <v>363</v>
      </c>
    </row>
    <row r="53" customFormat="false" ht="15" hidden="false" customHeight="false" outlineLevel="0" collapsed="false">
      <c r="A53" s="26" t="s">
        <v>364</v>
      </c>
      <c r="B53" s="63" t="n">
        <f aca="false">'Plan-Kunden'!$P$31</f>
        <v>49.8123918035272</v>
      </c>
      <c r="C53" s="63" t="n">
        <f aca="false">'Plan-Kunden'!$P$60</f>
        <v>62.2831522696857</v>
      </c>
      <c r="D53" s="63" t="n">
        <f aca="false">'Plan-Kunden'!$P$89</f>
        <v>82.7605098369994</v>
      </c>
    </row>
    <row r="54" customFormat="false" ht="15" hidden="false" customHeight="false" outlineLevel="0" collapsed="false">
      <c r="A54" s="13" t="s">
        <v>365</v>
      </c>
      <c r="B54" s="73" t="n">
        <f aca="false">'Plan-Kunden'!$Q$32</f>
        <v>0</v>
      </c>
      <c r="C54" s="73" t="n">
        <f aca="false">'Plan-Kunden'!$Q$61</f>
        <v>0</v>
      </c>
      <c r="D54" s="73" t="n">
        <f aca="false">'Plan-Kunden'!$Q$90</f>
        <v>8</v>
      </c>
    </row>
    <row r="55" customFormat="false" ht="15" hidden="false" customHeight="false" outlineLevel="0" collapsed="false">
      <c r="A55" s="13" t="s">
        <v>366</v>
      </c>
      <c r="B55" s="73" t="n">
        <f aca="false">'Plan-Kunden'!$R$32</f>
        <v>0</v>
      </c>
      <c r="C55" s="73" t="n">
        <f aca="false">'Plan-Kunden'!$R$61</f>
        <v>0</v>
      </c>
      <c r="D55" s="73" t="n">
        <f aca="false">'Plan-Kunden'!$R$90</f>
        <v>0</v>
      </c>
    </row>
    <row r="56" customFormat="false" ht="15" hidden="false" customHeight="false" outlineLevel="0" collapsed="false">
      <c r="A56" s="26" t="s">
        <v>367</v>
      </c>
      <c r="B56" s="70" t="str">
        <f aca="false">IFERROR(INDEX('Plan-Kunden'!$A$8:$A$31,MATCH(1,'Plan-Kunden'!$Q$8:$Q$31,0)),"&gt; 24 Monate")</f>
        <v>&gt; 24 Monate</v>
      </c>
      <c r="C56" s="70" t="str">
        <f aca="false">IFERROR(INDEX('Plan-Kunden'!$A$37:$A$60,MATCH(1,'Plan-Kunden'!$Q$37:$Q$60,0)),"&gt; 24 Monate")</f>
        <v>&gt; 24 Monate</v>
      </c>
      <c r="D56" s="70" t="n">
        <f aca="false">IFERROR(INDEX('Plan-Kunden'!$A$66:$A$89,MATCH(1,'Plan-Kunden'!$Q$66:$Q$89,0)),"&gt; 24 Monate")</f>
        <v>17</v>
      </c>
    </row>
    <row r="57" customFormat="false" ht="15" hidden="false" customHeight="false" outlineLevel="0" collapsed="false">
      <c r="A57" s="26" t="s">
        <v>368</v>
      </c>
      <c r="B57" s="70" t="str">
        <f aca="false">IFERROR(INDEX('Plan-Kunden'!$A$8:$A$31,MATCH(1,'Plan-Kunden'!$R$8:$R$31,0)),"&gt; 24 Monate")</f>
        <v>&gt; 24 Monate</v>
      </c>
      <c r="C57" s="70" t="str">
        <f aca="false">IFERROR(INDEX('Plan-Kunden'!$A$37:$A$60,MATCH(1,'Plan-Kunden'!$R$37:$R$60,0)),"&gt; 24 Monate")</f>
        <v>&gt; 24 Monate</v>
      </c>
      <c r="D57" s="70" t="str">
        <f aca="false">IFERROR(INDEX('Plan-Kunden'!$A$66:$A$89,MATCH(1,'Plan-Kunden'!$R$66:$R$89,0)),"&gt; 24 Monate")</f>
        <v>&gt; 24 Monate</v>
      </c>
    </row>
    <row r="59" customFormat="false" ht="26.85" hidden="false" customHeight="true" outlineLevel="0" collapsed="false">
      <c r="A59" s="35" t="s">
        <v>369</v>
      </c>
      <c r="B59" s="35"/>
      <c r="C59" s="35"/>
      <c r="D59" s="35"/>
      <c r="E59" s="35"/>
      <c r="F59" s="35"/>
      <c r="G59" s="35"/>
    </row>
    <row r="61" customFormat="false" ht="39.55" hidden="false" customHeight="true" outlineLevel="0" collapsed="false">
      <c r="A61" s="35" t="s">
        <v>370</v>
      </c>
      <c r="B61" s="35"/>
      <c r="C61" s="35"/>
      <c r="D61" s="35"/>
      <c r="E61" s="35"/>
      <c r="F61" s="35"/>
      <c r="G61" s="35"/>
    </row>
    <row r="63" customFormat="false" ht="39.55" hidden="false" customHeight="true" outlineLevel="0" collapsed="false">
      <c r="A63" s="35" t="s">
        <v>371</v>
      </c>
      <c r="B63" s="35"/>
      <c r="C63" s="35"/>
      <c r="D63" s="35"/>
      <c r="E63" s="35"/>
      <c r="F63" s="35"/>
      <c r="G63" s="35"/>
    </row>
  </sheetData>
  <mergeCells count="7">
    <mergeCell ref="A2:G4"/>
    <mergeCell ref="A28:G28"/>
    <mergeCell ref="A42:G42"/>
    <mergeCell ref="A50:G50"/>
    <mergeCell ref="A59:G59"/>
    <mergeCell ref="A61:G61"/>
    <mergeCell ref="A63:G6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2" min="2" style="0" width="14"/>
    <col collapsed="false" customWidth="true" hidden="false" outlineLevel="0" max="3" min="3" style="0" width="16"/>
    <col collapsed="false" customWidth="true" hidden="false" outlineLevel="0" max="6" min="4" style="0" width="20"/>
    <col collapsed="false" customWidth="true" hidden="false" outlineLevel="0" max="7" min="7" style="0" width="30"/>
  </cols>
  <sheetData>
    <row r="1" customFormat="false" ht="17.35" hidden="false" customHeight="false" outlineLevel="0" collapsed="false">
      <c r="A1" s="34" t="s">
        <v>372</v>
      </c>
    </row>
    <row r="2" customFormat="false" ht="15" hidden="false" customHeight="true" outlineLevel="0" collapsed="false">
      <c r="A2" s="35" t="s">
        <v>373</v>
      </c>
      <c r="B2" s="35"/>
      <c r="C2" s="35"/>
      <c r="D2" s="35"/>
      <c r="E2" s="35"/>
      <c r="F2" s="35"/>
      <c r="G2" s="35"/>
    </row>
    <row r="3" customFormat="false" ht="15" hidden="false" customHeight="false" outlineLevel="0" collapsed="false">
      <c r="A3" s="35"/>
      <c r="B3" s="35"/>
      <c r="C3" s="35"/>
      <c r="D3" s="35"/>
      <c r="E3" s="35"/>
      <c r="F3" s="35"/>
      <c r="G3" s="35"/>
    </row>
    <row r="4" customFormat="false" ht="15" hidden="false" customHeight="false" outlineLevel="0" collapsed="false">
      <c r="A4" s="35"/>
      <c r="B4" s="35"/>
      <c r="C4" s="35"/>
      <c r="D4" s="35"/>
      <c r="E4" s="35"/>
      <c r="F4" s="35"/>
      <c r="G4" s="35"/>
    </row>
    <row r="6" customFormat="false" ht="15" hidden="false" customHeight="false" outlineLevel="0" collapsed="false">
      <c r="A6" s="36" t="s">
        <v>374</v>
      </c>
    </row>
    <row r="7" customFormat="false" ht="15" hidden="false" customHeight="true" outlineLevel="0" collapsed="false">
      <c r="A7" s="3" t="s">
        <v>220</v>
      </c>
      <c r="B7" s="3" t="s">
        <v>221</v>
      </c>
      <c r="C7" s="3" t="s">
        <v>222</v>
      </c>
      <c r="D7" s="3" t="s">
        <v>223</v>
      </c>
      <c r="E7" s="3"/>
      <c r="F7" s="3"/>
      <c r="G7" s="3"/>
    </row>
    <row r="8" customFormat="false" ht="15" hidden="false" customHeight="true" outlineLevel="0" collapsed="false">
      <c r="A8" s="26" t="s">
        <v>375</v>
      </c>
      <c r="B8" s="74" t="n">
        <v>46266</v>
      </c>
      <c r="C8" s="26" t="s">
        <v>376</v>
      </c>
      <c r="D8" s="38" t="s">
        <v>377</v>
      </c>
      <c r="E8" s="38"/>
      <c r="F8" s="38"/>
      <c r="G8" s="38"/>
    </row>
    <row r="9" customFormat="false" ht="39.55" hidden="false" customHeight="true" outlineLevel="0" collapsed="false">
      <c r="A9" s="26" t="s">
        <v>378</v>
      </c>
      <c r="B9" s="37" t="n">
        <v>4</v>
      </c>
      <c r="C9" s="26" t="s">
        <v>379</v>
      </c>
      <c r="D9" s="38" t="s">
        <v>380</v>
      </c>
      <c r="E9" s="38"/>
      <c r="F9" s="38"/>
      <c r="G9" s="38"/>
    </row>
    <row r="10" customFormat="false" ht="15" hidden="false" customHeight="true" outlineLevel="0" collapsed="false">
      <c r="A10" s="26" t="s">
        <v>381</v>
      </c>
      <c r="B10" s="37" t="n">
        <v>5</v>
      </c>
      <c r="C10" s="26" t="s">
        <v>379</v>
      </c>
      <c r="D10" s="38" t="s">
        <v>382</v>
      </c>
      <c r="E10" s="38"/>
      <c r="F10" s="38"/>
      <c r="G10" s="38"/>
    </row>
    <row r="12" customFormat="false" ht="15" hidden="false" customHeight="false" outlineLevel="0" collapsed="false">
      <c r="A12" s="36" t="s">
        <v>383</v>
      </c>
    </row>
    <row r="13" customFormat="false" ht="15" hidden="false" customHeight="true" outlineLevel="0" collapsed="false">
      <c r="A13" s="3" t="s">
        <v>220</v>
      </c>
      <c r="B13" s="3" t="s">
        <v>221</v>
      </c>
      <c r="C13" s="3" t="s">
        <v>222</v>
      </c>
      <c r="D13" s="3" t="s">
        <v>223</v>
      </c>
      <c r="E13" s="3"/>
      <c r="F13" s="3"/>
      <c r="G13" s="3"/>
    </row>
    <row r="14" customFormat="false" ht="77.6" hidden="false" customHeight="true" outlineLevel="0" collapsed="false">
      <c r="A14" s="26" t="s">
        <v>384</v>
      </c>
      <c r="B14" s="60" t="s">
        <v>385</v>
      </c>
      <c r="C14" s="26" t="s">
        <v>124</v>
      </c>
      <c r="D14" s="38" t="s">
        <v>386</v>
      </c>
      <c r="E14" s="38"/>
      <c r="F14" s="38"/>
      <c r="G14" s="38"/>
    </row>
    <row r="15" customFormat="false" ht="26.85" hidden="false" customHeight="true" outlineLevel="0" collapsed="false">
      <c r="A15" s="26" t="s">
        <v>387</v>
      </c>
      <c r="B15" s="39" t="n">
        <v>0.1</v>
      </c>
      <c r="C15" s="26" t="s">
        <v>388</v>
      </c>
      <c r="D15" s="38" t="s">
        <v>389</v>
      </c>
      <c r="E15" s="38"/>
      <c r="F15" s="38"/>
      <c r="G15" s="38"/>
    </row>
    <row r="16" customFormat="false" ht="26.85" hidden="false" customHeight="true" outlineLevel="0" collapsed="false">
      <c r="A16" s="26" t="s">
        <v>390</v>
      </c>
      <c r="B16" s="39" t="n">
        <v>0.2</v>
      </c>
      <c r="C16" s="26" t="s">
        <v>388</v>
      </c>
      <c r="D16" s="38" t="s">
        <v>389</v>
      </c>
      <c r="E16" s="38"/>
      <c r="F16" s="38"/>
      <c r="G16" s="38"/>
    </row>
    <row r="17" customFormat="false" ht="26.85" hidden="false" customHeight="true" outlineLevel="0" collapsed="false">
      <c r="A17" s="26" t="s">
        <v>391</v>
      </c>
      <c r="B17" s="39" t="n">
        <v>0.35</v>
      </c>
      <c r="C17" s="26" t="s">
        <v>388</v>
      </c>
      <c r="D17" s="38" t="s">
        <v>389</v>
      </c>
      <c r="E17" s="38"/>
      <c r="F17" s="38"/>
      <c r="G17" s="38"/>
    </row>
    <row r="18" customFormat="false" ht="15" hidden="false" customHeight="true" outlineLevel="0" collapsed="false">
      <c r="A18" s="26" t="s">
        <v>392</v>
      </c>
      <c r="B18" s="39" t="n">
        <v>0.4</v>
      </c>
      <c r="C18" s="26" t="s">
        <v>393</v>
      </c>
      <c r="D18" s="38" t="s">
        <v>394</v>
      </c>
      <c r="E18" s="38"/>
      <c r="F18" s="38"/>
      <c r="G18" s="38"/>
    </row>
    <row r="19" customFormat="false" ht="15" hidden="false" customHeight="true" outlineLevel="0" collapsed="false">
      <c r="A19" s="26" t="s">
        <v>395</v>
      </c>
      <c r="B19" s="39" t="n">
        <v>0.5</v>
      </c>
      <c r="C19" s="26" t="s">
        <v>393</v>
      </c>
      <c r="D19" s="38" t="s">
        <v>394</v>
      </c>
      <c r="E19" s="38"/>
      <c r="F19" s="38"/>
      <c r="G19" s="38"/>
    </row>
    <row r="20" customFormat="false" ht="15" hidden="false" customHeight="true" outlineLevel="0" collapsed="false">
      <c r="A20" s="26" t="s">
        <v>396</v>
      </c>
      <c r="B20" s="39" t="n">
        <v>0.6</v>
      </c>
      <c r="C20" s="26" t="s">
        <v>393</v>
      </c>
      <c r="D20" s="38" t="s">
        <v>394</v>
      </c>
      <c r="E20" s="38"/>
      <c r="F20" s="38"/>
      <c r="G20" s="38"/>
    </row>
    <row r="21" customFormat="false" ht="26.85" hidden="false" customHeight="true" outlineLevel="0" collapsed="false">
      <c r="A21" s="26" t="s">
        <v>397</v>
      </c>
      <c r="B21" s="37" t="n">
        <v>4</v>
      </c>
      <c r="C21" s="26" t="s">
        <v>398</v>
      </c>
      <c r="D21" s="38" t="s">
        <v>399</v>
      </c>
      <c r="E21" s="38"/>
      <c r="F21" s="38"/>
      <c r="G21" s="38"/>
    </row>
    <row r="22" customFormat="false" ht="26.85" hidden="false" customHeight="true" outlineLevel="0" collapsed="false">
      <c r="A22" s="26" t="s">
        <v>400</v>
      </c>
      <c r="B22" s="37" t="n">
        <v>3</v>
      </c>
      <c r="C22" s="26" t="s">
        <v>398</v>
      </c>
      <c r="D22" s="38" t="s">
        <v>399</v>
      </c>
      <c r="E22" s="38"/>
      <c r="F22" s="38"/>
      <c r="G22" s="38"/>
    </row>
    <row r="23" customFormat="false" ht="26.85" hidden="false" customHeight="true" outlineLevel="0" collapsed="false">
      <c r="A23" s="26" t="s">
        <v>401</v>
      </c>
      <c r="B23" s="37" t="n">
        <v>2</v>
      </c>
      <c r="C23" s="26" t="s">
        <v>398</v>
      </c>
      <c r="D23" s="38" t="s">
        <v>399</v>
      </c>
      <c r="E23" s="38"/>
      <c r="F23" s="38"/>
      <c r="G23" s="38"/>
    </row>
    <row r="24" customFormat="false" ht="52.2" hidden="false" customHeight="true" outlineLevel="0" collapsed="false">
      <c r="A24" s="26" t="s">
        <v>402</v>
      </c>
      <c r="B24" s="39" t="n">
        <v>0.05</v>
      </c>
      <c r="C24" s="26" t="s">
        <v>403</v>
      </c>
      <c r="D24" s="38" t="s">
        <v>404</v>
      </c>
      <c r="E24" s="38"/>
      <c r="F24" s="38"/>
      <c r="G24" s="38"/>
    </row>
    <row r="25" customFormat="false" ht="52.2" hidden="false" customHeight="true" outlineLevel="0" collapsed="false">
      <c r="A25" s="26" t="s">
        <v>405</v>
      </c>
      <c r="B25" s="39" t="n">
        <v>0.04</v>
      </c>
      <c r="C25" s="26" t="s">
        <v>403</v>
      </c>
      <c r="D25" s="38" t="s">
        <v>404</v>
      </c>
      <c r="E25" s="38"/>
      <c r="F25" s="38"/>
      <c r="G25" s="38"/>
    </row>
    <row r="26" customFormat="false" ht="52.2" hidden="false" customHeight="true" outlineLevel="0" collapsed="false">
      <c r="A26" s="26" t="s">
        <v>406</v>
      </c>
      <c r="B26" s="39" t="n">
        <v>0.03</v>
      </c>
      <c r="C26" s="26" t="s">
        <v>403</v>
      </c>
      <c r="D26" s="38" t="s">
        <v>404</v>
      </c>
      <c r="E26" s="38"/>
      <c r="F26" s="38"/>
      <c r="G26" s="38"/>
    </row>
    <row r="27" customFormat="false" ht="26.85" hidden="false" customHeight="true" outlineLevel="0" collapsed="false">
      <c r="A27" s="26" t="s">
        <v>407</v>
      </c>
      <c r="B27" s="39" t="n">
        <v>0.02</v>
      </c>
      <c r="C27" s="26" t="s">
        <v>403</v>
      </c>
      <c r="D27" s="38" t="s">
        <v>408</v>
      </c>
      <c r="E27" s="38"/>
      <c r="F27" s="38"/>
      <c r="G27" s="38"/>
    </row>
    <row r="28" customFormat="false" ht="26.85" hidden="false" customHeight="true" outlineLevel="0" collapsed="false">
      <c r="A28" s="26" t="s">
        <v>409</v>
      </c>
      <c r="B28" s="39" t="n">
        <v>0.015</v>
      </c>
      <c r="C28" s="26" t="s">
        <v>403</v>
      </c>
      <c r="D28" s="38" t="s">
        <v>408</v>
      </c>
      <c r="E28" s="38"/>
      <c r="F28" s="38"/>
      <c r="G28" s="38"/>
    </row>
    <row r="29" customFormat="false" ht="26.85" hidden="false" customHeight="true" outlineLevel="0" collapsed="false">
      <c r="A29" s="26" t="s">
        <v>410</v>
      </c>
      <c r="B29" s="39" t="n">
        <v>0.01</v>
      </c>
      <c r="C29" s="26" t="s">
        <v>403</v>
      </c>
      <c r="D29" s="38" t="s">
        <v>408</v>
      </c>
      <c r="E29" s="38"/>
      <c r="F29" s="38"/>
      <c r="G29" s="38"/>
    </row>
    <row r="30" customFormat="false" ht="39.55" hidden="false" customHeight="true" outlineLevel="0" collapsed="false">
      <c r="A30" s="26" t="s">
        <v>411</v>
      </c>
      <c r="B30" s="37" t="n">
        <v>0</v>
      </c>
      <c r="C30" s="26" t="s">
        <v>412</v>
      </c>
      <c r="D30" s="38" t="s">
        <v>413</v>
      </c>
      <c r="E30" s="38"/>
      <c r="F30" s="38"/>
      <c r="G30" s="38"/>
    </row>
    <row r="31" customFormat="false" ht="26.85" hidden="false" customHeight="true" outlineLevel="0" collapsed="false">
      <c r="A31" s="26" t="s">
        <v>414</v>
      </c>
      <c r="B31" s="39" t="n">
        <v>0</v>
      </c>
      <c r="C31" s="26" t="s">
        <v>415</v>
      </c>
      <c r="D31" s="38" t="s">
        <v>416</v>
      </c>
      <c r="E31" s="38"/>
      <c r="F31" s="38"/>
      <c r="G31" s="38"/>
    </row>
    <row r="32" customFormat="false" ht="26.85" hidden="false" customHeight="true" outlineLevel="0" collapsed="false">
      <c r="A32" s="26" t="s">
        <v>417</v>
      </c>
      <c r="B32" s="37" t="n">
        <v>8</v>
      </c>
      <c r="C32" s="26" t="s">
        <v>418</v>
      </c>
      <c r="D32" s="38" t="s">
        <v>419</v>
      </c>
      <c r="E32" s="38"/>
      <c r="F32" s="38"/>
      <c r="G32" s="38"/>
    </row>
    <row r="33" customFormat="false" ht="15" hidden="false" customHeight="true" outlineLevel="0" collapsed="false">
      <c r="A33" s="26" t="s">
        <v>420</v>
      </c>
      <c r="B33" s="39" t="n">
        <v>0.02</v>
      </c>
      <c r="C33" s="26" t="s">
        <v>421</v>
      </c>
      <c r="D33" s="38" t="s">
        <v>422</v>
      </c>
      <c r="E33" s="38"/>
      <c r="F33" s="38"/>
      <c r="G33" s="38"/>
    </row>
    <row r="34" customFormat="false" ht="15" hidden="false" customHeight="true" outlineLevel="0" collapsed="false">
      <c r="A34" s="26" t="s">
        <v>423</v>
      </c>
      <c r="B34" s="39" t="n">
        <v>0.01</v>
      </c>
      <c r="C34" s="26" t="s">
        <v>421</v>
      </c>
      <c r="D34" s="38" t="s">
        <v>424</v>
      </c>
      <c r="E34" s="38"/>
      <c r="F34" s="38"/>
      <c r="G34" s="38"/>
    </row>
    <row r="36" customFormat="false" ht="15" hidden="false" customHeight="false" outlineLevel="0" collapsed="false">
      <c r="A36" s="36" t="s">
        <v>425</v>
      </c>
    </row>
    <row r="37" customFormat="false" ht="15" hidden="false" customHeight="true" outlineLevel="0" collapsed="false">
      <c r="A37" s="3" t="s">
        <v>220</v>
      </c>
      <c r="B37" s="3" t="s">
        <v>221</v>
      </c>
      <c r="C37" s="3" t="s">
        <v>222</v>
      </c>
      <c r="D37" s="3" t="s">
        <v>223</v>
      </c>
      <c r="E37" s="3"/>
      <c r="F37" s="3"/>
      <c r="G37" s="3"/>
    </row>
    <row r="38" customFormat="false" ht="26.85" hidden="false" customHeight="true" outlineLevel="0" collapsed="false">
      <c r="A38" s="26" t="s">
        <v>426</v>
      </c>
      <c r="B38" s="37" t="n">
        <v>86</v>
      </c>
      <c r="C38" s="26" t="s">
        <v>427</v>
      </c>
      <c r="D38" s="38" t="s">
        <v>428</v>
      </c>
      <c r="E38" s="38"/>
      <c r="F38" s="38"/>
      <c r="G38" s="38"/>
    </row>
    <row r="39" customFormat="false" ht="39.55" hidden="false" customHeight="true" outlineLevel="0" collapsed="false">
      <c r="A39" s="26" t="s">
        <v>429</v>
      </c>
      <c r="B39" s="37" t="n">
        <v>65</v>
      </c>
      <c r="C39" s="26" t="s">
        <v>427</v>
      </c>
      <c r="D39" s="38" t="s">
        <v>430</v>
      </c>
      <c r="E39" s="38"/>
      <c r="F39" s="38"/>
      <c r="G39" s="38"/>
    </row>
    <row r="40" customFormat="false" ht="26.85" hidden="false" customHeight="true" outlineLevel="0" collapsed="false">
      <c r="A40" s="26" t="s">
        <v>431</v>
      </c>
      <c r="B40" s="37" t="n">
        <v>25</v>
      </c>
      <c r="C40" s="26" t="s">
        <v>427</v>
      </c>
      <c r="D40" s="38" t="s">
        <v>432</v>
      </c>
      <c r="E40" s="38"/>
      <c r="F40" s="38"/>
      <c r="G40" s="38"/>
    </row>
    <row r="41" customFormat="false" ht="26.85" hidden="false" customHeight="true" outlineLevel="0" collapsed="false">
      <c r="A41" s="26" t="s">
        <v>433</v>
      </c>
      <c r="B41" s="37" t="n">
        <v>0.3</v>
      </c>
      <c r="C41" s="26" t="s">
        <v>434</v>
      </c>
      <c r="D41" s="38" t="s">
        <v>435</v>
      </c>
      <c r="E41" s="38"/>
      <c r="F41" s="38"/>
      <c r="G41" s="38"/>
    </row>
    <row r="42" customFormat="false" ht="15" hidden="false" customHeight="true" outlineLevel="0" collapsed="false">
      <c r="A42" s="26" t="s">
        <v>436</v>
      </c>
      <c r="B42" s="37" t="n">
        <v>1</v>
      </c>
      <c r="C42" s="26" t="s">
        <v>434</v>
      </c>
      <c r="D42" s="38" t="s">
        <v>437</v>
      </c>
      <c r="E42" s="38"/>
      <c r="F42" s="38"/>
      <c r="G42" s="38"/>
    </row>
    <row r="43" customFormat="false" ht="52.2" hidden="false" customHeight="true" outlineLevel="0" collapsed="false">
      <c r="A43" s="26" t="s">
        <v>438</v>
      </c>
      <c r="B43" s="60" t="s">
        <v>385</v>
      </c>
      <c r="C43" s="26" t="s">
        <v>124</v>
      </c>
      <c r="D43" s="38" t="s">
        <v>439</v>
      </c>
      <c r="E43" s="38"/>
      <c r="F43" s="38"/>
      <c r="G43" s="38"/>
    </row>
    <row r="45" customFormat="false" ht="15" hidden="false" customHeight="false" outlineLevel="0" collapsed="false">
      <c r="A45" s="36" t="s">
        <v>440</v>
      </c>
    </row>
    <row r="46" customFormat="false" ht="15" hidden="false" customHeight="true" outlineLevel="0" collapsed="false">
      <c r="A46" s="3" t="s">
        <v>220</v>
      </c>
      <c r="B46" s="3" t="s">
        <v>221</v>
      </c>
      <c r="C46" s="3" t="s">
        <v>222</v>
      </c>
      <c r="D46" s="3" t="s">
        <v>223</v>
      </c>
      <c r="E46" s="3"/>
      <c r="F46" s="3"/>
      <c r="G46" s="3"/>
    </row>
    <row r="47" customFormat="false" ht="15" hidden="false" customHeight="true" outlineLevel="0" collapsed="false">
      <c r="A47" s="26" t="s">
        <v>236</v>
      </c>
      <c r="B47" s="61" t="n">
        <f aca="false">'Marge &amp; Tragfähigkeit'!$B$11</f>
        <v>29</v>
      </c>
      <c r="C47" s="26" t="s">
        <v>237</v>
      </c>
      <c r="D47" s="38" t="s">
        <v>441</v>
      </c>
      <c r="E47" s="38"/>
      <c r="F47" s="38"/>
      <c r="G47" s="38"/>
    </row>
    <row r="48" customFormat="false" ht="15" hidden="false" customHeight="true" outlineLevel="0" collapsed="false">
      <c r="A48" s="26" t="s">
        <v>239</v>
      </c>
      <c r="B48" s="61" t="n">
        <f aca="false">'Marge &amp; Tragfähigkeit'!$B$12</f>
        <v>49</v>
      </c>
      <c r="C48" s="26" t="s">
        <v>237</v>
      </c>
      <c r="D48" s="38" t="s">
        <v>442</v>
      </c>
      <c r="E48" s="38"/>
      <c r="F48" s="38"/>
      <c r="G48" s="38"/>
    </row>
    <row r="49" customFormat="false" ht="26.85" hidden="false" customHeight="true" outlineLevel="0" collapsed="false">
      <c r="A49" s="26" t="s">
        <v>443</v>
      </c>
      <c r="B49" s="61" t="n">
        <f aca="false">'Marge &amp; Tragfähigkeit'!$B$13</f>
        <v>25</v>
      </c>
      <c r="C49" s="26" t="s">
        <v>241</v>
      </c>
      <c r="D49" s="38" t="s">
        <v>444</v>
      </c>
      <c r="E49" s="38"/>
      <c r="F49" s="38"/>
      <c r="G49" s="38"/>
    </row>
    <row r="50" customFormat="false" ht="15" hidden="false" customHeight="true" outlineLevel="0" collapsed="false">
      <c r="A50" s="26" t="s">
        <v>224</v>
      </c>
      <c r="B50" s="61" t="n">
        <f aca="false">'Marge &amp; Tragfähigkeit'!$B$7</f>
        <v>2.5</v>
      </c>
      <c r="C50" s="26" t="s">
        <v>225</v>
      </c>
      <c r="D50" s="38" t="s">
        <v>445</v>
      </c>
      <c r="E50" s="38"/>
      <c r="F50" s="38"/>
      <c r="G50" s="38"/>
    </row>
    <row r="51" customFormat="false" ht="15" hidden="false" customHeight="true" outlineLevel="0" collapsed="false">
      <c r="A51" s="26" t="s">
        <v>446</v>
      </c>
      <c r="B51" s="75" t="n">
        <f aca="false">'Marge &amp; Tragfähigkeit'!$B$9</f>
        <v>0.015</v>
      </c>
      <c r="C51" s="26" t="s">
        <v>231</v>
      </c>
      <c r="D51" s="38" t="s">
        <v>447</v>
      </c>
      <c r="E51" s="38"/>
      <c r="F51" s="38"/>
      <c r="G51" s="38"/>
    </row>
    <row r="52" customFormat="false" ht="15" hidden="false" customHeight="true" outlineLevel="0" collapsed="false">
      <c r="A52" s="26" t="s">
        <v>448</v>
      </c>
      <c r="B52" s="61" t="n">
        <f aca="false">'Marge &amp; Tragfähigkeit'!$B$10</f>
        <v>0.25</v>
      </c>
      <c r="C52" s="26" t="s">
        <v>234</v>
      </c>
      <c r="D52" s="38" t="s">
        <v>449</v>
      </c>
      <c r="E52" s="38"/>
      <c r="F52" s="38"/>
      <c r="G52" s="38"/>
    </row>
    <row r="53" customFormat="false" ht="39.55" hidden="false" customHeight="true" outlineLevel="0" collapsed="false">
      <c r="A53" s="26" t="s">
        <v>227</v>
      </c>
      <c r="B53" s="61" t="n">
        <f aca="false">'Marge &amp; Tragfähigkeit'!$B$8</f>
        <v>0.86</v>
      </c>
      <c r="C53" s="26" t="s">
        <v>228</v>
      </c>
      <c r="D53" s="38" t="s">
        <v>450</v>
      </c>
      <c r="E53" s="38"/>
      <c r="F53" s="38"/>
      <c r="G53" s="38"/>
    </row>
    <row r="55" customFormat="false" ht="15" hidden="false" customHeight="false" outlineLevel="0" collapsed="false">
      <c r="A55" s="36" t="s">
        <v>451</v>
      </c>
    </row>
    <row r="56" customFormat="false" ht="15" hidden="false" customHeight="true" outlineLevel="0" collapsed="false">
      <c r="A56" s="3" t="s">
        <v>220</v>
      </c>
      <c r="B56" s="3" t="s">
        <v>221</v>
      </c>
      <c r="C56" s="3" t="s">
        <v>222</v>
      </c>
      <c r="D56" s="3" t="s">
        <v>223</v>
      </c>
      <c r="E56" s="3"/>
      <c r="F56" s="3"/>
      <c r="G56" s="3"/>
    </row>
    <row r="57" customFormat="false" ht="52.2" hidden="false" customHeight="true" outlineLevel="0" collapsed="false">
      <c r="A57" s="26" t="s">
        <v>452</v>
      </c>
      <c r="B57" s="37" t="n">
        <v>2</v>
      </c>
      <c r="C57" s="26" t="s">
        <v>379</v>
      </c>
      <c r="D57" s="38" t="s">
        <v>453</v>
      </c>
      <c r="E57" s="38"/>
      <c r="F57" s="38"/>
      <c r="G57" s="38"/>
    </row>
    <row r="58" customFormat="false" ht="52.2" hidden="false" customHeight="true" outlineLevel="0" collapsed="false">
      <c r="A58" s="26" t="s">
        <v>454</v>
      </c>
      <c r="B58" s="37" t="n">
        <v>0</v>
      </c>
      <c r="C58" s="26" t="s">
        <v>412</v>
      </c>
      <c r="D58" s="38" t="s">
        <v>455</v>
      </c>
      <c r="E58" s="38"/>
      <c r="F58" s="38"/>
      <c r="G58" s="38"/>
    </row>
    <row r="59" customFormat="false" ht="39.55" hidden="false" customHeight="true" outlineLevel="0" collapsed="false">
      <c r="A59" s="26" t="s">
        <v>456</v>
      </c>
      <c r="B59" s="39" t="n">
        <v>0.6</v>
      </c>
      <c r="C59" s="26" t="s">
        <v>457</v>
      </c>
      <c r="D59" s="38" t="s">
        <v>458</v>
      </c>
      <c r="E59" s="38"/>
      <c r="F59" s="38"/>
      <c r="G59" s="38"/>
    </row>
    <row r="60" customFormat="false" ht="77.6" hidden="false" customHeight="true" outlineLevel="0" collapsed="false">
      <c r="A60" s="26" t="s">
        <v>459</v>
      </c>
      <c r="B60" s="60" t="s">
        <v>460</v>
      </c>
      <c r="C60" s="26" t="s">
        <v>124</v>
      </c>
      <c r="D60" s="38" t="s">
        <v>461</v>
      </c>
      <c r="E60" s="38"/>
      <c r="F60" s="38"/>
      <c r="G60" s="38"/>
    </row>
    <row r="62" customFormat="false" ht="15" hidden="false" customHeight="false" outlineLevel="0" collapsed="false">
      <c r="A62" s="36" t="s">
        <v>462</v>
      </c>
    </row>
    <row r="63" customFormat="false" ht="15" hidden="false" customHeight="true" outlineLevel="0" collapsed="false">
      <c r="A63" s="3" t="s">
        <v>220</v>
      </c>
      <c r="B63" s="3" t="s">
        <v>221</v>
      </c>
      <c r="C63" s="3" t="s">
        <v>222</v>
      </c>
      <c r="D63" s="3" t="s">
        <v>223</v>
      </c>
      <c r="E63" s="3"/>
      <c r="F63" s="3"/>
      <c r="G63" s="3"/>
    </row>
    <row r="64" customFormat="false" ht="52.2" hidden="false" customHeight="true" outlineLevel="0" collapsed="false">
      <c r="A64" s="26" t="s">
        <v>463</v>
      </c>
      <c r="B64" s="37" t="n">
        <v>48000</v>
      </c>
      <c r="C64" s="26" t="s">
        <v>464</v>
      </c>
      <c r="D64" s="38" t="s">
        <v>465</v>
      </c>
      <c r="E64" s="38"/>
      <c r="F64" s="38"/>
      <c r="G64" s="38"/>
    </row>
    <row r="65" customFormat="false" ht="26.85" hidden="false" customHeight="true" outlineLevel="0" collapsed="false">
      <c r="A65" s="26" t="s">
        <v>466</v>
      </c>
      <c r="B65" s="39" t="n">
        <v>0.205</v>
      </c>
      <c r="C65" s="26" t="s">
        <v>467</v>
      </c>
      <c r="D65" s="38" t="s">
        <v>468</v>
      </c>
      <c r="E65" s="38"/>
      <c r="F65" s="38"/>
      <c r="G65" s="38"/>
    </row>
    <row r="66" customFormat="false" ht="15" hidden="false" customHeight="true" outlineLevel="0" collapsed="false">
      <c r="A66" s="26" t="s">
        <v>469</v>
      </c>
      <c r="B66" s="37" t="n">
        <v>1230</v>
      </c>
      <c r="C66" s="26" t="s">
        <v>464</v>
      </c>
      <c r="D66" s="38" t="s">
        <v>470</v>
      </c>
      <c r="E66" s="38"/>
      <c r="F66" s="38"/>
      <c r="G66" s="38"/>
    </row>
    <row r="67" customFormat="false" ht="15" hidden="false" customHeight="true" outlineLevel="0" collapsed="false">
      <c r="A67" s="26" t="s">
        <v>471</v>
      </c>
      <c r="B67" s="39" t="n">
        <v>0.2</v>
      </c>
      <c r="C67" s="26" t="s">
        <v>457</v>
      </c>
      <c r="D67" s="38" t="s">
        <v>472</v>
      </c>
      <c r="E67" s="38"/>
      <c r="F67" s="38"/>
      <c r="G67" s="38"/>
    </row>
    <row r="68" customFormat="false" ht="15" hidden="false" customHeight="true" outlineLevel="0" collapsed="false">
      <c r="A68" s="26" t="s">
        <v>473</v>
      </c>
      <c r="B68" s="76" t="n">
        <f aca="false">B64-B66-B64*B67-36</f>
        <v>37134</v>
      </c>
      <c r="C68" s="26" t="s">
        <v>464</v>
      </c>
      <c r="D68" s="38" t="s">
        <v>474</v>
      </c>
      <c r="E68" s="38"/>
      <c r="F68" s="38"/>
      <c r="G68" s="38"/>
    </row>
    <row r="69" customFormat="false" ht="64.9" hidden="false" customHeight="true" outlineLevel="0" collapsed="false">
      <c r="A69" s="26" t="s">
        <v>475</v>
      </c>
      <c r="B69" s="77" t="n">
        <f aca="false">(IF(INT(MAX(0,B68+1000))&lt;=12348,0,IF(INT(MAX(0,B68+1000))&lt;=17799,(914.51*((INT(MAX(0,B68+1000))-12348)/10000)+1400)*((INT(MAX(0,B68+1000))-12348)/10000),IF(INT(MAX(0,B68+1000))&lt;=69878,(173.1*((INT(MAX(0,B68+1000))-17799)/10000)+2397)*((INT(MAX(0,B68+1000))-17799)/10000)+1034.87,IF(INT(MAX(0,B68+1000))&lt;=277825,0.42*INT(MAX(0,B68+1000))-11135.63,0.45*INT(MAX(0,B68+1000))-19470.38))))-IF(INT(MAX(0,B68))&lt;=12348,0,IF(INT(MAX(0,B68))&lt;=17799,(914.51*((INT(MAX(0,B68))-12348)/10000)+1400)*((INT(MAX(0,B68))-12348)/10000),IF(INT(MAX(0,B68))&lt;=69878,(173.1*((INT(MAX(0,B68))-17799)/10000)+2397)*((INT(MAX(0,B68))-17799)/10000)+1034.87,IF(INT(MAX(0,B68))&lt;=277825,0.42*INT(MAX(0,B68))-11135.63,0.45*INT(MAX(0,B68))-19470.38)))))/1000</f>
        <v>0.30836877</v>
      </c>
      <c r="C69" s="26" t="s">
        <v>231</v>
      </c>
      <c r="D69" s="38" t="s">
        <v>476</v>
      </c>
      <c r="E69" s="38"/>
      <c r="F69" s="38"/>
      <c r="G69" s="38"/>
    </row>
    <row r="71" customFormat="false" ht="15" hidden="false" customHeight="false" outlineLevel="0" collapsed="false">
      <c r="A71" s="36" t="s">
        <v>477</v>
      </c>
    </row>
    <row r="72" customFormat="false" ht="15" hidden="false" customHeight="true" outlineLevel="0" collapsed="false">
      <c r="A72" s="3" t="s">
        <v>220</v>
      </c>
      <c r="B72" s="3" t="s">
        <v>221</v>
      </c>
      <c r="C72" s="3" t="s">
        <v>222</v>
      </c>
      <c r="D72" s="3" t="s">
        <v>223</v>
      </c>
      <c r="E72" s="3"/>
      <c r="F72" s="3"/>
      <c r="G72" s="3"/>
    </row>
    <row r="73" customFormat="false" ht="26.85" hidden="false" customHeight="true" outlineLevel="0" collapsed="false">
      <c r="A73" s="26" t="s">
        <v>478</v>
      </c>
      <c r="B73" s="37" t="n">
        <v>2500</v>
      </c>
      <c r="C73" s="26" t="s">
        <v>237</v>
      </c>
      <c r="D73" s="38" t="s">
        <v>479</v>
      </c>
      <c r="E73" s="38"/>
      <c r="F73" s="38"/>
      <c r="G73" s="38"/>
    </row>
    <row r="74" customFormat="false" ht="26.85" hidden="false" customHeight="true" outlineLevel="0" collapsed="false">
      <c r="A74" s="26" t="s">
        <v>480</v>
      </c>
      <c r="B74" s="39" t="n">
        <v>0.2</v>
      </c>
      <c r="C74" s="26" t="s">
        <v>457</v>
      </c>
      <c r="D74" s="38" t="s">
        <v>481</v>
      </c>
      <c r="E74" s="38"/>
      <c r="F74" s="38"/>
      <c r="G74" s="38"/>
    </row>
    <row r="75" customFormat="false" ht="26.85" hidden="false" customHeight="true" outlineLevel="0" collapsed="false">
      <c r="A75" s="26" t="s">
        <v>482</v>
      </c>
      <c r="B75" s="37" t="n">
        <v>300</v>
      </c>
      <c r="C75" s="26" t="s">
        <v>237</v>
      </c>
      <c r="D75" s="38" t="s">
        <v>483</v>
      </c>
      <c r="E75" s="38"/>
      <c r="F75" s="38"/>
      <c r="G75" s="38"/>
    </row>
    <row r="76" customFormat="false" ht="15" hidden="false" customHeight="true" outlineLevel="0" collapsed="false">
      <c r="A76" s="26" t="s">
        <v>484</v>
      </c>
      <c r="B76" s="37" t="n">
        <v>30</v>
      </c>
      <c r="C76" s="26" t="s">
        <v>485</v>
      </c>
      <c r="D76" s="38" t="s">
        <v>486</v>
      </c>
      <c r="E76" s="38"/>
      <c r="F76" s="38"/>
      <c r="G76" s="38"/>
    </row>
    <row r="77" customFormat="false" ht="15" hidden="false" customHeight="true" outlineLevel="0" collapsed="false">
      <c r="A77" s="26" t="s">
        <v>487</v>
      </c>
      <c r="B77" s="37" t="n">
        <v>25</v>
      </c>
      <c r="C77" s="26" t="s">
        <v>485</v>
      </c>
      <c r="D77" s="38" t="s">
        <v>488</v>
      </c>
      <c r="E77" s="38"/>
      <c r="F77" s="38"/>
      <c r="G77" s="38"/>
    </row>
    <row r="78" customFormat="false" ht="26.85" hidden="false" customHeight="true" outlineLevel="0" collapsed="false">
      <c r="A78" s="26" t="s">
        <v>489</v>
      </c>
      <c r="B78" s="37" t="n">
        <v>43</v>
      </c>
      <c r="C78" s="26" t="s">
        <v>427</v>
      </c>
      <c r="D78" s="38" t="s">
        <v>490</v>
      </c>
      <c r="E78" s="38"/>
      <c r="F78" s="38"/>
      <c r="G78" s="38"/>
    </row>
    <row r="79" customFormat="false" ht="15" hidden="false" customHeight="true" outlineLevel="0" collapsed="false">
      <c r="A79" s="26" t="s">
        <v>491</v>
      </c>
      <c r="B79" s="37" t="n">
        <v>65</v>
      </c>
      <c r="C79" s="26" t="s">
        <v>427</v>
      </c>
      <c r="D79" s="38" t="s">
        <v>492</v>
      </c>
      <c r="E79" s="38"/>
      <c r="F79" s="38"/>
      <c r="G79" s="38"/>
    </row>
    <row r="80" customFormat="false" ht="77.6" hidden="false" customHeight="true" outlineLevel="0" collapsed="false">
      <c r="A80" s="26" t="s">
        <v>493</v>
      </c>
      <c r="B80" s="37" t="n">
        <v>3</v>
      </c>
      <c r="C80" s="26" t="s">
        <v>398</v>
      </c>
      <c r="D80" s="38" t="s">
        <v>494</v>
      </c>
      <c r="E80" s="38"/>
      <c r="F80" s="38"/>
      <c r="G80" s="38"/>
    </row>
    <row r="82" customFormat="false" ht="15" hidden="false" customHeight="false" outlineLevel="0" collapsed="false">
      <c r="A82" s="36" t="s">
        <v>495</v>
      </c>
    </row>
    <row r="83" customFormat="false" ht="15" hidden="false" customHeight="true" outlineLevel="0" collapsed="false">
      <c r="A83" s="3" t="s">
        <v>220</v>
      </c>
      <c r="B83" s="3" t="s">
        <v>221</v>
      </c>
      <c r="C83" s="3" t="s">
        <v>222</v>
      </c>
      <c r="D83" s="3" t="s">
        <v>223</v>
      </c>
      <c r="E83" s="3"/>
      <c r="F83" s="3"/>
      <c r="G83" s="3"/>
    </row>
    <row r="84" customFormat="false" ht="39.55" hidden="false" customHeight="true" outlineLevel="0" collapsed="false">
      <c r="A84" s="26" t="s">
        <v>496</v>
      </c>
      <c r="B84" s="39" t="n">
        <v>0.146</v>
      </c>
      <c r="C84" s="26" t="s">
        <v>231</v>
      </c>
      <c r="D84" s="38" t="s">
        <v>497</v>
      </c>
      <c r="E84" s="38"/>
      <c r="F84" s="38"/>
      <c r="G84" s="38"/>
    </row>
    <row r="85" customFormat="false" ht="15" hidden="false" customHeight="true" outlineLevel="0" collapsed="false">
      <c r="A85" s="26" t="s">
        <v>498</v>
      </c>
      <c r="B85" s="39" t="n">
        <v>0.029</v>
      </c>
      <c r="C85" s="26" t="s">
        <v>231</v>
      </c>
      <c r="D85" s="38" t="s">
        <v>499</v>
      </c>
      <c r="E85" s="38"/>
      <c r="F85" s="38"/>
      <c r="G85" s="38"/>
    </row>
    <row r="86" customFormat="false" ht="15" hidden="false" customHeight="true" outlineLevel="0" collapsed="false">
      <c r="A86" s="26" t="s">
        <v>500</v>
      </c>
      <c r="B86" s="39" t="n">
        <v>0.042</v>
      </c>
      <c r="C86" s="26" t="s">
        <v>231</v>
      </c>
      <c r="D86" s="38" t="s">
        <v>501</v>
      </c>
      <c r="E86" s="38"/>
      <c r="F86" s="38"/>
      <c r="G86" s="38"/>
    </row>
    <row r="87" customFormat="false" ht="15" hidden="false" customHeight="true" outlineLevel="0" collapsed="false">
      <c r="A87" s="26" t="s">
        <v>502</v>
      </c>
      <c r="B87" s="37" t="n">
        <v>1318.33</v>
      </c>
      <c r="C87" s="26" t="s">
        <v>237</v>
      </c>
      <c r="D87" s="38" t="s">
        <v>503</v>
      </c>
      <c r="E87" s="38"/>
      <c r="F87" s="38"/>
      <c r="G87" s="38"/>
    </row>
    <row r="88" customFormat="false" ht="15" hidden="false" customHeight="true" outlineLevel="0" collapsed="false">
      <c r="A88" s="26" t="s">
        <v>504</v>
      </c>
      <c r="B88" s="37" t="n">
        <v>5812.5</v>
      </c>
      <c r="C88" s="26" t="s">
        <v>237</v>
      </c>
      <c r="D88" s="38" t="s">
        <v>505</v>
      </c>
      <c r="E88" s="38"/>
      <c r="F88" s="38"/>
      <c r="G88" s="38"/>
    </row>
    <row r="89" customFormat="false" ht="15" hidden="false" customHeight="true" outlineLevel="0" collapsed="false">
      <c r="A89" s="26" t="s">
        <v>506</v>
      </c>
      <c r="B89" s="37" t="n">
        <v>36</v>
      </c>
      <c r="C89" s="26" t="s">
        <v>464</v>
      </c>
      <c r="D89" s="38" t="s">
        <v>507</v>
      </c>
      <c r="E89" s="38"/>
      <c r="F89" s="38"/>
      <c r="G89" s="38"/>
    </row>
    <row r="91" customFormat="false" ht="26.85" hidden="false" customHeight="true" outlineLevel="0" collapsed="false">
      <c r="A91" s="35" t="s">
        <v>508</v>
      </c>
      <c r="B91" s="35"/>
      <c r="C91" s="35"/>
      <c r="D91" s="35"/>
      <c r="E91" s="35"/>
      <c r="F91" s="35"/>
      <c r="G91" s="35"/>
    </row>
  </sheetData>
  <mergeCells count="71">
    <mergeCell ref="A2:G4"/>
    <mergeCell ref="D7:G7"/>
    <mergeCell ref="D8:G8"/>
    <mergeCell ref="D9:G9"/>
    <mergeCell ref="D10:G10"/>
    <mergeCell ref="D13:G13"/>
    <mergeCell ref="D14:G14"/>
    <mergeCell ref="D15:G15"/>
    <mergeCell ref="D16:G16"/>
    <mergeCell ref="D17:G17"/>
    <mergeCell ref="D18:G18"/>
    <mergeCell ref="D19:G19"/>
    <mergeCell ref="D20:G20"/>
    <mergeCell ref="D21:G21"/>
    <mergeCell ref="D22:G22"/>
    <mergeCell ref="D23:G23"/>
    <mergeCell ref="D24:G24"/>
    <mergeCell ref="D25:G25"/>
    <mergeCell ref="D26:G26"/>
    <mergeCell ref="D27:G27"/>
    <mergeCell ref="D28:G28"/>
    <mergeCell ref="D29:G29"/>
    <mergeCell ref="D30:G30"/>
    <mergeCell ref="D31:G31"/>
    <mergeCell ref="D32:G32"/>
    <mergeCell ref="D33:G33"/>
    <mergeCell ref="D34:G34"/>
    <mergeCell ref="D37:G37"/>
    <mergeCell ref="D38:G38"/>
    <mergeCell ref="D39:G39"/>
    <mergeCell ref="D40:G40"/>
    <mergeCell ref="D41:G41"/>
    <mergeCell ref="D42:G42"/>
    <mergeCell ref="D43:G43"/>
    <mergeCell ref="D46:G46"/>
    <mergeCell ref="D47:G47"/>
    <mergeCell ref="D48:G48"/>
    <mergeCell ref="D49:G49"/>
    <mergeCell ref="D50:G50"/>
    <mergeCell ref="D51:G51"/>
    <mergeCell ref="D52:G52"/>
    <mergeCell ref="D53:G53"/>
    <mergeCell ref="D56:G56"/>
    <mergeCell ref="D57:G57"/>
    <mergeCell ref="D58:G58"/>
    <mergeCell ref="D59:G59"/>
    <mergeCell ref="D60:G60"/>
    <mergeCell ref="D63:G63"/>
    <mergeCell ref="D64:G64"/>
    <mergeCell ref="D65:G65"/>
    <mergeCell ref="D66:G66"/>
    <mergeCell ref="D67:G67"/>
    <mergeCell ref="D68:G68"/>
    <mergeCell ref="D69:G69"/>
    <mergeCell ref="D72:G72"/>
    <mergeCell ref="D73:G73"/>
    <mergeCell ref="D74:G74"/>
    <mergeCell ref="D75:G75"/>
    <mergeCell ref="D76:G76"/>
    <mergeCell ref="D77:G77"/>
    <mergeCell ref="D78:G78"/>
    <mergeCell ref="D79:G79"/>
    <mergeCell ref="D80:G80"/>
    <mergeCell ref="D83:G83"/>
    <mergeCell ref="D84:G84"/>
    <mergeCell ref="D85:G85"/>
    <mergeCell ref="D86:G86"/>
    <mergeCell ref="D87:G87"/>
    <mergeCell ref="D88:G88"/>
    <mergeCell ref="D89:G89"/>
    <mergeCell ref="A91:G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3" min="3" style="0" width="13"/>
    <col collapsed="false" customWidth="true" hidden="false" outlineLevel="0" max="4" min="4" style="0" width="15"/>
    <col collapsed="false" customWidth="true" hidden="false" outlineLevel="0" max="6" min="5" style="0" width="12"/>
    <col collapsed="false" customWidth="true" hidden="false" outlineLevel="0" max="7" min="7" style="0" width="11"/>
    <col collapsed="false" customWidth="true" hidden="false" outlineLevel="0" max="8" min="8" style="0" width="14"/>
    <col collapsed="false" customWidth="true" hidden="false" outlineLevel="0" max="11" min="9" style="0" width="12"/>
    <col collapsed="false" customWidth="true" hidden="false" outlineLevel="0" max="12" min="12" style="0" width="13"/>
    <col collapsed="false" customWidth="true" hidden="false" outlineLevel="0" max="13" min="13" style="0" width="11"/>
    <col collapsed="false" customWidth="true" hidden="false" outlineLevel="0" max="14" min="14" style="0" width="12"/>
    <col collapsed="false" customWidth="true" hidden="false" outlineLevel="0" max="16" min="15" style="0" width="11"/>
    <col collapsed="false" customWidth="true" hidden="false" outlineLevel="0" max="18" min="17" style="0" width="13"/>
  </cols>
  <sheetData>
    <row r="1" customFormat="false" ht="17.35" hidden="false" customHeight="false" outlineLevel="0" collapsed="false">
      <c r="A1" s="34" t="s">
        <v>509</v>
      </c>
    </row>
    <row r="2" customFormat="false" ht="15" hidden="false" customHeight="true" outlineLevel="0" collapsed="false">
      <c r="A2" s="35" t="s">
        <v>510</v>
      </c>
      <c r="B2" s="35"/>
      <c r="C2" s="35"/>
      <c r="D2" s="35"/>
      <c r="E2" s="35"/>
      <c r="F2" s="35"/>
      <c r="G2" s="35"/>
      <c r="H2" s="35"/>
      <c r="I2" s="35"/>
      <c r="J2" s="35"/>
      <c r="K2" s="35"/>
      <c r="L2" s="35"/>
      <c r="M2" s="35"/>
      <c r="N2" s="35"/>
      <c r="O2" s="35"/>
      <c r="P2" s="35"/>
      <c r="Q2" s="35"/>
      <c r="R2" s="35"/>
    </row>
    <row r="3" customFormat="false" ht="15" hidden="false" customHeight="false" outlineLevel="0" collapsed="false">
      <c r="A3" s="35"/>
      <c r="B3" s="35"/>
      <c r="C3" s="35"/>
      <c r="D3" s="35"/>
      <c r="E3" s="35"/>
      <c r="F3" s="35"/>
      <c r="G3" s="35"/>
      <c r="H3" s="35"/>
      <c r="I3" s="35"/>
      <c r="J3" s="35"/>
      <c r="K3" s="35"/>
      <c r="L3" s="35"/>
      <c r="M3" s="35"/>
      <c r="N3" s="35"/>
      <c r="O3" s="35"/>
      <c r="P3" s="35"/>
      <c r="Q3" s="35"/>
      <c r="R3" s="35"/>
    </row>
    <row r="4" customFormat="false" ht="15" hidden="false" customHeight="false" outlineLevel="0" collapsed="false">
      <c r="A4" s="35"/>
      <c r="B4" s="35"/>
      <c r="C4" s="35"/>
      <c r="D4" s="35"/>
      <c r="E4" s="35"/>
      <c r="F4" s="35"/>
      <c r="G4" s="35"/>
      <c r="H4" s="35"/>
      <c r="I4" s="35"/>
      <c r="J4" s="35"/>
      <c r="K4" s="35"/>
      <c r="L4" s="35"/>
      <c r="M4" s="35"/>
      <c r="N4" s="35"/>
      <c r="O4" s="35"/>
      <c r="P4" s="35"/>
      <c r="Q4" s="35"/>
      <c r="R4" s="35"/>
    </row>
    <row r="6" customFormat="false" ht="15" hidden="false" customHeight="false" outlineLevel="0" collapsed="false">
      <c r="A6" s="36" t="s">
        <v>511</v>
      </c>
      <c r="C6" s="53" t="s">
        <v>512</v>
      </c>
    </row>
    <row r="7" customFormat="false" ht="39.55" hidden="false" customHeight="false" outlineLevel="0" collapsed="false">
      <c r="A7" s="3" t="s">
        <v>309</v>
      </c>
      <c r="B7" s="3" t="s">
        <v>513</v>
      </c>
      <c r="C7" s="3" t="s">
        <v>514</v>
      </c>
      <c r="D7" s="3" t="s">
        <v>515</v>
      </c>
      <c r="E7" s="3" t="s">
        <v>516</v>
      </c>
      <c r="F7" s="3" t="s">
        <v>517</v>
      </c>
      <c r="G7" s="3" t="s">
        <v>518</v>
      </c>
      <c r="H7" s="3" t="s">
        <v>519</v>
      </c>
      <c r="I7" s="3" t="s">
        <v>520</v>
      </c>
      <c r="J7" s="3" t="s">
        <v>521</v>
      </c>
      <c r="K7" s="3" t="s">
        <v>522</v>
      </c>
      <c r="L7" s="3" t="s">
        <v>523</v>
      </c>
      <c r="M7" s="3" t="s">
        <v>524</v>
      </c>
      <c r="N7" s="3" t="s">
        <v>525</v>
      </c>
      <c r="O7" s="3" t="s">
        <v>526</v>
      </c>
      <c r="P7" s="3" t="s">
        <v>527</v>
      </c>
      <c r="Q7" s="3" t="s">
        <v>528</v>
      </c>
      <c r="R7" s="3" t="s">
        <v>529</v>
      </c>
    </row>
    <row r="8" customFormat="false" ht="15" hidden="false" customHeight="false" outlineLevel="0" collapsed="false">
      <c r="A8" s="26" t="n">
        <v>1</v>
      </c>
      <c r="B8" s="78" t="n">
        <f aca="false">EDATE('Plan-Annahmen'!$B$8,A8-1)</f>
        <v>46266</v>
      </c>
      <c r="C8" s="40" t="n">
        <v>0</v>
      </c>
      <c r="D8" s="61" t="n">
        <f aca="false">IF(A8-'Plan-Annahmen'!$B$21&lt;1,0,INDEX($K$8:$K$31,A8-'Plan-Annahmen'!$B$21)*'Plan-Annahmen'!$B$15/12*'Plan-Annahmen'!$B$18*(1+'Plan-Annahmen'!$B$30*'Plan-Annahmen'!$B$31))</f>
        <v>0</v>
      </c>
      <c r="E8" s="60" t="n">
        <f aca="false">C8+D8</f>
        <v>0</v>
      </c>
      <c r="F8" s="60" t="n">
        <f aca="false">MIN(E8,MAX(0,'Plan-Annahmen'!$B$49-0))</f>
        <v>0</v>
      </c>
      <c r="G8" s="60" t="n">
        <f aca="false">E8-F8</f>
        <v>0</v>
      </c>
      <c r="H8" s="60" t="n">
        <f aca="false">0+F8</f>
        <v>0</v>
      </c>
      <c r="I8" s="79" t="n">
        <f aca="false">0*(1-'Plan-Annahmen'!$B$27)+F8</f>
        <v>0</v>
      </c>
      <c r="J8" s="79" t="n">
        <f aca="false">0*(1-'Plan-Annahmen'!$B$24)+G8</f>
        <v>0</v>
      </c>
      <c r="K8" s="80" t="n">
        <f aca="false">I8+J8</f>
        <v>0</v>
      </c>
      <c r="L8" s="81" t="n">
        <v>4</v>
      </c>
      <c r="M8" s="82" t="n">
        <f aca="false">K8*'Plan-Annahmen'!$B$41</f>
        <v>0</v>
      </c>
      <c r="N8" s="82" t="n">
        <f aca="false">E8*'Plan-Annahmen'!$B$42</f>
        <v>0</v>
      </c>
      <c r="O8" s="82" t="n">
        <f aca="false">'Plan-Annahmen'!$B$40</f>
        <v>25</v>
      </c>
      <c r="P8" s="80" t="n">
        <f aca="false">L8+M8+N8+O8</f>
        <v>29</v>
      </c>
      <c r="Q8" s="26" t="n">
        <f aca="false">IF(P8&gt;'Plan-Annahmen'!$B$39,1,0)</f>
        <v>0</v>
      </c>
      <c r="R8" s="26" t="n">
        <f aca="false">IF(P8&gt;'Plan-Annahmen'!$B$38,1,0)</f>
        <v>0</v>
      </c>
    </row>
    <row r="9" customFormat="false" ht="15" hidden="false" customHeight="false" outlineLevel="0" collapsed="false">
      <c r="A9" s="26" t="n">
        <v>2</v>
      </c>
      <c r="B9" s="78" t="n">
        <f aca="false">EDATE('Plan-Annahmen'!$B$8,A9-1)</f>
        <v>46296</v>
      </c>
      <c r="C9" s="40" t="n">
        <v>0</v>
      </c>
      <c r="D9" s="61" t="n">
        <f aca="false">IF(A9-'Plan-Annahmen'!$B$21&lt;1,0,INDEX($K$8:$K$31,A9-'Plan-Annahmen'!$B$21)*'Plan-Annahmen'!$B$15/12*'Plan-Annahmen'!$B$18*(1+'Plan-Annahmen'!$B$30*'Plan-Annahmen'!$B$31))</f>
        <v>0</v>
      </c>
      <c r="E9" s="60" t="n">
        <f aca="false">C9+D9</f>
        <v>0</v>
      </c>
      <c r="F9" s="60" t="n">
        <f aca="false">MIN(E9,MAX(0,'Plan-Annahmen'!$B$49-H8))</f>
        <v>0</v>
      </c>
      <c r="G9" s="60" t="n">
        <f aca="false">E9-F9</f>
        <v>0</v>
      </c>
      <c r="H9" s="60" t="n">
        <f aca="false">H8+F9</f>
        <v>0</v>
      </c>
      <c r="I9" s="79" t="n">
        <f aca="false">I8*(1-'Plan-Annahmen'!$B$27)+F9</f>
        <v>0</v>
      </c>
      <c r="J9" s="79" t="n">
        <f aca="false">J8*(1-'Plan-Annahmen'!$B$24)+G9</f>
        <v>0</v>
      </c>
      <c r="K9" s="80" t="n">
        <f aca="false">I9+J9</f>
        <v>0</v>
      </c>
      <c r="L9" s="81" t="n">
        <v>18</v>
      </c>
      <c r="M9" s="82" t="n">
        <f aca="false">K9*'Plan-Annahmen'!$B$41</f>
        <v>0</v>
      </c>
      <c r="N9" s="82" t="n">
        <f aca="false">E9*'Plan-Annahmen'!$B$42</f>
        <v>0</v>
      </c>
      <c r="O9" s="82" t="n">
        <f aca="false">'Plan-Annahmen'!$B$40</f>
        <v>25</v>
      </c>
      <c r="P9" s="80" t="n">
        <f aca="false">L9+M9+N9+O9</f>
        <v>43</v>
      </c>
      <c r="Q9" s="26" t="n">
        <f aca="false">IF(P9&gt;'Plan-Annahmen'!$B$39,1,0)</f>
        <v>0</v>
      </c>
      <c r="R9" s="26" t="n">
        <f aca="false">IF(P9&gt;'Plan-Annahmen'!$B$38,1,0)</f>
        <v>0</v>
      </c>
    </row>
    <row r="10" customFormat="false" ht="15" hidden="false" customHeight="false" outlineLevel="0" collapsed="false">
      <c r="A10" s="26" t="n">
        <v>3</v>
      </c>
      <c r="B10" s="78" t="n">
        <f aca="false">EDATE('Plan-Annahmen'!$B$8,A10-1)</f>
        <v>46327</v>
      </c>
      <c r="C10" s="40" t="n">
        <v>0</v>
      </c>
      <c r="D10" s="61" t="n">
        <f aca="false">IF(A10-'Plan-Annahmen'!$B$21&lt;1,0,INDEX($K$8:$K$31,A10-'Plan-Annahmen'!$B$21)*'Plan-Annahmen'!$B$15/12*'Plan-Annahmen'!$B$18*(1+'Plan-Annahmen'!$B$30*'Plan-Annahmen'!$B$31))</f>
        <v>0</v>
      </c>
      <c r="E10" s="60" t="n">
        <f aca="false">C10+D10</f>
        <v>0</v>
      </c>
      <c r="F10" s="60" t="n">
        <f aca="false">MIN(E10,MAX(0,'Plan-Annahmen'!$B$49-H9))</f>
        <v>0</v>
      </c>
      <c r="G10" s="60" t="n">
        <f aca="false">E10-F10</f>
        <v>0</v>
      </c>
      <c r="H10" s="60" t="n">
        <f aca="false">H9+F10</f>
        <v>0</v>
      </c>
      <c r="I10" s="79" t="n">
        <f aca="false">I9*(1-'Plan-Annahmen'!$B$27)+F10</f>
        <v>0</v>
      </c>
      <c r="J10" s="79" t="n">
        <f aca="false">J9*(1-'Plan-Annahmen'!$B$24)+G10</f>
        <v>0</v>
      </c>
      <c r="K10" s="80" t="n">
        <f aca="false">I10+J10</f>
        <v>0</v>
      </c>
      <c r="L10" s="81" t="n">
        <v>5</v>
      </c>
      <c r="M10" s="82" t="n">
        <f aca="false">K10*'Plan-Annahmen'!$B$41</f>
        <v>0</v>
      </c>
      <c r="N10" s="82" t="n">
        <f aca="false">E10*'Plan-Annahmen'!$B$42</f>
        <v>0</v>
      </c>
      <c r="O10" s="82" t="n">
        <f aca="false">'Plan-Annahmen'!$B$40</f>
        <v>25</v>
      </c>
      <c r="P10" s="80" t="n">
        <f aca="false">L10+M10+N10+O10</f>
        <v>30</v>
      </c>
      <c r="Q10" s="26" t="n">
        <f aca="false">IF(P10&gt;'Plan-Annahmen'!$B$39,1,0)</f>
        <v>0</v>
      </c>
      <c r="R10" s="26" t="n">
        <f aca="false">IF(P10&gt;'Plan-Annahmen'!$B$38,1,0)</f>
        <v>0</v>
      </c>
    </row>
    <row r="11" customFormat="false" ht="15" hidden="false" customHeight="false" outlineLevel="0" collapsed="false">
      <c r="A11" s="26" t="n">
        <v>4</v>
      </c>
      <c r="B11" s="78" t="n">
        <f aca="false">EDATE('Plan-Annahmen'!$B$8,A11-1)</f>
        <v>46357</v>
      </c>
      <c r="C11" s="40" t="n">
        <v>0</v>
      </c>
      <c r="D11" s="61" t="n">
        <f aca="false">IF(A11-'Plan-Annahmen'!$B$21&lt;1,0,INDEX($K$8:$K$31,A11-'Plan-Annahmen'!$B$21)*'Plan-Annahmen'!$B$15/12*'Plan-Annahmen'!$B$18*(1+'Plan-Annahmen'!$B$30*'Plan-Annahmen'!$B$31))</f>
        <v>0</v>
      </c>
      <c r="E11" s="60" t="n">
        <f aca="false">C11+D11</f>
        <v>0</v>
      </c>
      <c r="F11" s="60" t="n">
        <f aca="false">MIN(E11,MAX(0,'Plan-Annahmen'!$B$49-H10))</f>
        <v>0</v>
      </c>
      <c r="G11" s="60" t="n">
        <f aca="false">E11-F11</f>
        <v>0</v>
      </c>
      <c r="H11" s="60" t="n">
        <f aca="false">H10+F11</f>
        <v>0</v>
      </c>
      <c r="I11" s="79" t="n">
        <f aca="false">I10*(1-'Plan-Annahmen'!$B$27)+F11</f>
        <v>0</v>
      </c>
      <c r="J11" s="79" t="n">
        <f aca="false">J10*(1-'Plan-Annahmen'!$B$24)+G11</f>
        <v>0</v>
      </c>
      <c r="K11" s="80" t="n">
        <f aca="false">I11+J11</f>
        <v>0</v>
      </c>
      <c r="L11" s="81" t="n">
        <v>15</v>
      </c>
      <c r="M11" s="82" t="n">
        <f aca="false">K11*'Plan-Annahmen'!$B$41</f>
        <v>0</v>
      </c>
      <c r="N11" s="82" t="n">
        <f aca="false">E11*'Plan-Annahmen'!$B$42</f>
        <v>0</v>
      </c>
      <c r="O11" s="82" t="n">
        <f aca="false">'Plan-Annahmen'!$B$40</f>
        <v>25</v>
      </c>
      <c r="P11" s="80" t="n">
        <f aca="false">L11+M11+N11+O11</f>
        <v>40</v>
      </c>
      <c r="Q11" s="26" t="n">
        <f aca="false">IF(P11&gt;'Plan-Annahmen'!$B$39,1,0)</f>
        <v>0</v>
      </c>
      <c r="R11" s="26" t="n">
        <f aca="false">IF(P11&gt;'Plan-Annahmen'!$B$38,1,0)</f>
        <v>0</v>
      </c>
    </row>
    <row r="12" customFormat="false" ht="15" hidden="false" customHeight="false" outlineLevel="0" collapsed="false">
      <c r="A12" s="26" t="n">
        <v>5</v>
      </c>
      <c r="B12" s="78" t="n">
        <f aca="false">EDATE('Plan-Annahmen'!$B$8,A12-1)</f>
        <v>46388</v>
      </c>
      <c r="C12" s="40" t="n">
        <v>1</v>
      </c>
      <c r="D12" s="61" t="n">
        <f aca="false">IF(A12-'Plan-Annahmen'!$B$21&lt;1,0,INDEX($K$8:$K$31,A12-'Plan-Annahmen'!$B$21)*'Plan-Annahmen'!$B$15/12*'Plan-Annahmen'!$B$18*(1+'Plan-Annahmen'!$B$30*'Plan-Annahmen'!$B$31))</f>
        <v>0</v>
      </c>
      <c r="E12" s="60" t="n">
        <f aca="false">C12+D12</f>
        <v>1</v>
      </c>
      <c r="F12" s="60" t="n">
        <f aca="false">MIN(E12,MAX(0,'Plan-Annahmen'!$B$49-H11))</f>
        <v>1</v>
      </c>
      <c r="G12" s="60" t="n">
        <f aca="false">E12-F12</f>
        <v>0</v>
      </c>
      <c r="H12" s="60" t="n">
        <f aca="false">H11+F12</f>
        <v>1</v>
      </c>
      <c r="I12" s="79" t="n">
        <f aca="false">I11*(1-'Plan-Annahmen'!$B$27)+F12</f>
        <v>1</v>
      </c>
      <c r="J12" s="79" t="n">
        <f aca="false">J11*(1-'Plan-Annahmen'!$B$24)+G12</f>
        <v>0</v>
      </c>
      <c r="K12" s="80" t="n">
        <f aca="false">I12+J12</f>
        <v>1</v>
      </c>
      <c r="L12" s="81" t="n">
        <v>16</v>
      </c>
      <c r="M12" s="82" t="n">
        <f aca="false">K12*'Plan-Annahmen'!$B$41</f>
        <v>0.3</v>
      </c>
      <c r="N12" s="82" t="n">
        <f aca="false">E12*'Plan-Annahmen'!$B$42</f>
        <v>1</v>
      </c>
      <c r="O12" s="82" t="n">
        <f aca="false">'Plan-Annahmen'!$B$40</f>
        <v>25</v>
      </c>
      <c r="P12" s="80" t="n">
        <f aca="false">L12+M12+N12+O12</f>
        <v>42.3</v>
      </c>
      <c r="Q12" s="26" t="n">
        <f aca="false">IF(P12&gt;'Plan-Annahmen'!$B$39,1,0)</f>
        <v>0</v>
      </c>
      <c r="R12" s="26" t="n">
        <f aca="false">IF(P12&gt;'Plan-Annahmen'!$B$38,1,0)</f>
        <v>0</v>
      </c>
    </row>
    <row r="13" customFormat="false" ht="15" hidden="false" customHeight="false" outlineLevel="0" collapsed="false">
      <c r="A13" s="26" t="n">
        <v>6</v>
      </c>
      <c r="B13" s="78" t="n">
        <f aca="false">EDATE('Plan-Annahmen'!$B$8,A13-1)</f>
        <v>46419</v>
      </c>
      <c r="C13" s="40" t="n">
        <v>1</v>
      </c>
      <c r="D13" s="61" t="n">
        <f aca="false">IF(A13-'Plan-Annahmen'!$B$21&lt;1,0,INDEX($K$8:$K$31,A13-'Plan-Annahmen'!$B$21)*'Plan-Annahmen'!$B$15/12*'Plan-Annahmen'!$B$18*(1+'Plan-Annahmen'!$B$30*'Plan-Annahmen'!$B$31))</f>
        <v>0</v>
      </c>
      <c r="E13" s="60" t="n">
        <f aca="false">C13+D13</f>
        <v>1</v>
      </c>
      <c r="F13" s="60" t="n">
        <f aca="false">MIN(E13,MAX(0,'Plan-Annahmen'!$B$49-H12))</f>
        <v>1</v>
      </c>
      <c r="G13" s="60" t="n">
        <f aca="false">E13-F13</f>
        <v>0</v>
      </c>
      <c r="H13" s="60" t="n">
        <f aca="false">H12+F13</f>
        <v>2</v>
      </c>
      <c r="I13" s="79" t="n">
        <f aca="false">I12*(1-'Plan-Annahmen'!$B$27)+F13</f>
        <v>1.98</v>
      </c>
      <c r="J13" s="79" t="n">
        <f aca="false">J12*(1-'Plan-Annahmen'!$B$24)+G13</f>
        <v>0</v>
      </c>
      <c r="K13" s="80" t="n">
        <f aca="false">I13+J13</f>
        <v>1.98</v>
      </c>
      <c r="L13" s="81" t="n">
        <v>16</v>
      </c>
      <c r="M13" s="82" t="n">
        <f aca="false">K13*'Plan-Annahmen'!$B$41</f>
        <v>0.594</v>
      </c>
      <c r="N13" s="82" t="n">
        <f aca="false">E13*'Plan-Annahmen'!$B$42</f>
        <v>1</v>
      </c>
      <c r="O13" s="82" t="n">
        <f aca="false">'Plan-Annahmen'!$B$40</f>
        <v>25</v>
      </c>
      <c r="P13" s="80" t="n">
        <f aca="false">L13+M13+N13+O13</f>
        <v>42.594</v>
      </c>
      <c r="Q13" s="26" t="n">
        <f aca="false">IF(P13&gt;'Plan-Annahmen'!$B$39,1,0)</f>
        <v>0</v>
      </c>
      <c r="R13" s="26" t="n">
        <f aca="false">IF(P13&gt;'Plan-Annahmen'!$B$38,1,0)</f>
        <v>0</v>
      </c>
    </row>
    <row r="14" customFormat="false" ht="15" hidden="false" customHeight="false" outlineLevel="0" collapsed="false">
      <c r="A14" s="26" t="n">
        <v>7</v>
      </c>
      <c r="B14" s="78" t="n">
        <f aca="false">EDATE('Plan-Annahmen'!$B$8,A14-1)</f>
        <v>46447</v>
      </c>
      <c r="C14" s="40" t="n">
        <v>1.25</v>
      </c>
      <c r="D14" s="61" t="n">
        <f aca="false">IF(A14-'Plan-Annahmen'!$B$21&lt;1,0,INDEX($K$8:$K$31,A14-'Plan-Annahmen'!$B$21)*'Plan-Annahmen'!$B$15/12*'Plan-Annahmen'!$B$18*(1+'Plan-Annahmen'!$B$30*'Plan-Annahmen'!$B$31))</f>
        <v>0</v>
      </c>
      <c r="E14" s="60" t="n">
        <f aca="false">C14+D14</f>
        <v>1.25</v>
      </c>
      <c r="F14" s="60" t="n">
        <f aca="false">MIN(E14,MAX(0,'Plan-Annahmen'!$B$49-H13))</f>
        <v>1.25</v>
      </c>
      <c r="G14" s="60" t="n">
        <f aca="false">E14-F14</f>
        <v>0</v>
      </c>
      <c r="H14" s="60" t="n">
        <f aca="false">H13+F14</f>
        <v>3.25</v>
      </c>
      <c r="I14" s="79" t="n">
        <f aca="false">I13*(1-'Plan-Annahmen'!$B$27)+F14</f>
        <v>3.1904</v>
      </c>
      <c r="J14" s="79" t="n">
        <f aca="false">J13*(1-'Plan-Annahmen'!$B$24)+G14</f>
        <v>0</v>
      </c>
      <c r="K14" s="80" t="n">
        <f aca="false">I14+J14</f>
        <v>3.1904</v>
      </c>
      <c r="L14" s="81" t="n">
        <v>16.5</v>
      </c>
      <c r="M14" s="82" t="n">
        <f aca="false">K14*'Plan-Annahmen'!$B$41</f>
        <v>0.95712</v>
      </c>
      <c r="N14" s="82" t="n">
        <f aca="false">E14*'Plan-Annahmen'!$B$42</f>
        <v>1.25</v>
      </c>
      <c r="O14" s="82" t="n">
        <f aca="false">'Plan-Annahmen'!$B$40</f>
        <v>25</v>
      </c>
      <c r="P14" s="80" t="n">
        <f aca="false">L14+M14+N14+O14</f>
        <v>43.70712</v>
      </c>
      <c r="Q14" s="26" t="n">
        <f aca="false">IF(P14&gt;'Plan-Annahmen'!$B$39,1,0)</f>
        <v>0</v>
      </c>
      <c r="R14" s="26" t="n">
        <f aca="false">IF(P14&gt;'Plan-Annahmen'!$B$38,1,0)</f>
        <v>0</v>
      </c>
    </row>
    <row r="15" customFormat="false" ht="15" hidden="false" customHeight="false" outlineLevel="0" collapsed="false">
      <c r="A15" s="26" t="n">
        <v>8</v>
      </c>
      <c r="B15" s="78" t="n">
        <f aca="false">EDATE('Plan-Annahmen'!$B$8,A15-1)</f>
        <v>46478</v>
      </c>
      <c r="C15" s="40" t="n">
        <v>0.25</v>
      </c>
      <c r="D15" s="61" t="n">
        <f aca="false">IF(A15-'Plan-Annahmen'!$B$21&lt;1,0,INDEX($K$8:$K$31,A15-'Plan-Annahmen'!$B$21)*'Plan-Annahmen'!$B$15/12*'Plan-Annahmen'!$B$18*(1+'Plan-Annahmen'!$B$30*'Plan-Annahmen'!$B$31))</f>
        <v>0</v>
      </c>
      <c r="E15" s="60" t="n">
        <f aca="false">C15+D15</f>
        <v>0.25</v>
      </c>
      <c r="F15" s="60" t="n">
        <f aca="false">MIN(E15,MAX(0,'Plan-Annahmen'!$B$49-H14))</f>
        <v>0.25</v>
      </c>
      <c r="G15" s="60" t="n">
        <f aca="false">E15-F15</f>
        <v>0</v>
      </c>
      <c r="H15" s="60" t="n">
        <f aca="false">H14+F15</f>
        <v>3.5</v>
      </c>
      <c r="I15" s="79" t="n">
        <f aca="false">I14*(1-'Plan-Annahmen'!$B$27)+F15</f>
        <v>3.376592</v>
      </c>
      <c r="J15" s="79" t="n">
        <f aca="false">J14*(1-'Plan-Annahmen'!$B$24)+G15</f>
        <v>0</v>
      </c>
      <c r="K15" s="80" t="n">
        <f aca="false">I15+J15</f>
        <v>3.376592</v>
      </c>
      <c r="L15" s="81" t="n">
        <v>20.5</v>
      </c>
      <c r="M15" s="82" t="n">
        <f aca="false">K15*'Plan-Annahmen'!$B$41</f>
        <v>1.0129776</v>
      </c>
      <c r="N15" s="82" t="n">
        <f aca="false">E15*'Plan-Annahmen'!$B$42</f>
        <v>0.25</v>
      </c>
      <c r="O15" s="82" t="n">
        <f aca="false">'Plan-Annahmen'!$B$40</f>
        <v>25</v>
      </c>
      <c r="P15" s="80" t="n">
        <f aca="false">L15+M15+N15+O15</f>
        <v>46.7629776</v>
      </c>
      <c r="Q15" s="26" t="n">
        <f aca="false">IF(P15&gt;'Plan-Annahmen'!$B$39,1,0)</f>
        <v>0</v>
      </c>
      <c r="R15" s="26" t="n">
        <f aca="false">IF(P15&gt;'Plan-Annahmen'!$B$38,1,0)</f>
        <v>0</v>
      </c>
    </row>
    <row r="16" customFormat="false" ht="15" hidden="false" customHeight="false" outlineLevel="0" collapsed="false">
      <c r="A16" s="26" t="n">
        <v>9</v>
      </c>
      <c r="B16" s="78" t="n">
        <f aca="false">EDATE('Plan-Annahmen'!$B$8,A16-1)</f>
        <v>46508</v>
      </c>
      <c r="C16" s="40" t="n">
        <v>0.25</v>
      </c>
      <c r="D16" s="61" t="n">
        <f aca="false">IF(A16-'Plan-Annahmen'!$B$21&lt;1,0,INDEX($K$8:$K$31,A16-'Plan-Annahmen'!$B$21)*'Plan-Annahmen'!$B$15/12*'Plan-Annahmen'!$B$18*(1+'Plan-Annahmen'!$B$30*'Plan-Annahmen'!$B$31))</f>
        <v>0.00333333333333333</v>
      </c>
      <c r="E16" s="60" t="n">
        <f aca="false">C16+D16</f>
        <v>0.253333333333333</v>
      </c>
      <c r="F16" s="60" t="n">
        <f aca="false">MIN(E16,MAX(0,'Plan-Annahmen'!$B$49-H15))</f>
        <v>0.253333333333333</v>
      </c>
      <c r="G16" s="60" t="n">
        <f aca="false">E16-F16</f>
        <v>0</v>
      </c>
      <c r="H16" s="60" t="n">
        <f aca="false">H15+F16</f>
        <v>3.75333333333333</v>
      </c>
      <c r="I16" s="79" t="n">
        <f aca="false">I15*(1-'Plan-Annahmen'!$B$27)+F16</f>
        <v>3.56239349333333</v>
      </c>
      <c r="J16" s="79" t="n">
        <f aca="false">J15*(1-'Plan-Annahmen'!$B$24)+G16</f>
        <v>0</v>
      </c>
      <c r="K16" s="80" t="n">
        <f aca="false">I16+J16</f>
        <v>3.56239349333333</v>
      </c>
      <c r="L16" s="81" t="n">
        <v>20.5</v>
      </c>
      <c r="M16" s="82" t="n">
        <f aca="false">K16*'Plan-Annahmen'!$B$41</f>
        <v>1.068718048</v>
      </c>
      <c r="N16" s="82" t="n">
        <f aca="false">E16*'Plan-Annahmen'!$B$42</f>
        <v>0.253333333333333</v>
      </c>
      <c r="O16" s="82" t="n">
        <f aca="false">'Plan-Annahmen'!$B$40</f>
        <v>25</v>
      </c>
      <c r="P16" s="80" t="n">
        <f aca="false">L16+M16+N16+O16</f>
        <v>46.8220513813333</v>
      </c>
      <c r="Q16" s="26" t="n">
        <f aca="false">IF(P16&gt;'Plan-Annahmen'!$B$39,1,0)</f>
        <v>0</v>
      </c>
      <c r="R16" s="26" t="n">
        <f aca="false">IF(P16&gt;'Plan-Annahmen'!$B$38,1,0)</f>
        <v>0</v>
      </c>
    </row>
    <row r="17" customFormat="false" ht="15" hidden="false" customHeight="false" outlineLevel="0" collapsed="false">
      <c r="A17" s="26" t="n">
        <v>10</v>
      </c>
      <c r="B17" s="78" t="n">
        <f aca="false">EDATE('Plan-Annahmen'!$B$8,A17-1)</f>
        <v>46539</v>
      </c>
      <c r="C17" s="40" t="n">
        <v>0.75</v>
      </c>
      <c r="D17" s="61" t="n">
        <f aca="false">IF(A17-'Plan-Annahmen'!$B$21&lt;1,0,INDEX($K$8:$K$31,A17-'Plan-Annahmen'!$B$21)*'Plan-Annahmen'!$B$15/12*'Plan-Annahmen'!$B$18*(1+'Plan-Annahmen'!$B$30*'Plan-Annahmen'!$B$31))</f>
        <v>0.0066</v>
      </c>
      <c r="E17" s="60" t="n">
        <f aca="false">C17+D17</f>
        <v>0.7566</v>
      </c>
      <c r="F17" s="60" t="n">
        <f aca="false">MIN(E17,MAX(0,'Plan-Annahmen'!$B$49-H16))</f>
        <v>0.7566</v>
      </c>
      <c r="G17" s="60" t="n">
        <f aca="false">E17-F17</f>
        <v>0</v>
      </c>
      <c r="H17" s="60" t="n">
        <f aca="false">H16+F17</f>
        <v>4.50993333333333</v>
      </c>
      <c r="I17" s="79" t="n">
        <f aca="false">I16*(1-'Plan-Annahmen'!$B$27)+F17</f>
        <v>4.24774562346667</v>
      </c>
      <c r="J17" s="79" t="n">
        <f aca="false">J16*(1-'Plan-Annahmen'!$B$24)+G17</f>
        <v>0</v>
      </c>
      <c r="K17" s="80" t="n">
        <f aca="false">I17+J17</f>
        <v>4.24774562346667</v>
      </c>
      <c r="L17" s="81" t="n">
        <v>19.5</v>
      </c>
      <c r="M17" s="82" t="n">
        <f aca="false">K17*'Plan-Annahmen'!$B$41</f>
        <v>1.27432368704</v>
      </c>
      <c r="N17" s="82" t="n">
        <f aca="false">E17*'Plan-Annahmen'!$B$42</f>
        <v>0.7566</v>
      </c>
      <c r="O17" s="82" t="n">
        <f aca="false">'Plan-Annahmen'!$B$40</f>
        <v>25</v>
      </c>
      <c r="P17" s="80" t="n">
        <f aca="false">L17+M17+N17+O17</f>
        <v>46.53092368704</v>
      </c>
      <c r="Q17" s="26" t="n">
        <f aca="false">IF(P17&gt;'Plan-Annahmen'!$B$39,1,0)</f>
        <v>0</v>
      </c>
      <c r="R17" s="26" t="n">
        <f aca="false">IF(P17&gt;'Plan-Annahmen'!$B$38,1,0)</f>
        <v>0</v>
      </c>
    </row>
    <row r="18" customFormat="false" ht="15" hidden="false" customHeight="false" outlineLevel="0" collapsed="false">
      <c r="A18" s="26" t="n">
        <v>11</v>
      </c>
      <c r="B18" s="78" t="n">
        <f aca="false">EDATE('Plan-Annahmen'!$B$8,A18-1)</f>
        <v>46569</v>
      </c>
      <c r="C18" s="40" t="n">
        <v>0.25</v>
      </c>
      <c r="D18" s="61" t="n">
        <f aca="false">IF(A18-'Plan-Annahmen'!$B$21&lt;1,0,INDEX($K$8:$K$31,A18-'Plan-Annahmen'!$B$21)*'Plan-Annahmen'!$B$15/12*'Plan-Annahmen'!$B$18*(1+'Plan-Annahmen'!$B$30*'Plan-Annahmen'!$B$31))</f>
        <v>0.0106346666666667</v>
      </c>
      <c r="E18" s="60" t="n">
        <f aca="false">C18+D18</f>
        <v>0.260634666666667</v>
      </c>
      <c r="F18" s="60" t="n">
        <f aca="false">MIN(E18,MAX(0,'Plan-Annahmen'!$B$49-H17))</f>
        <v>0.260634666666667</v>
      </c>
      <c r="G18" s="60" t="n">
        <f aca="false">E18-F18</f>
        <v>0</v>
      </c>
      <c r="H18" s="60" t="n">
        <f aca="false">H17+F18</f>
        <v>4.770568</v>
      </c>
      <c r="I18" s="79" t="n">
        <f aca="false">I17*(1-'Plan-Annahmen'!$B$27)+F18</f>
        <v>4.423425377664</v>
      </c>
      <c r="J18" s="79" t="n">
        <f aca="false">J17*(1-'Plan-Annahmen'!$B$24)+G18</f>
        <v>0</v>
      </c>
      <c r="K18" s="80" t="n">
        <f aca="false">I18+J18</f>
        <v>4.423425377664</v>
      </c>
      <c r="L18" s="81" t="n">
        <v>19.5</v>
      </c>
      <c r="M18" s="82" t="n">
        <f aca="false">K18*'Plan-Annahmen'!$B$41</f>
        <v>1.3270276132992</v>
      </c>
      <c r="N18" s="82" t="n">
        <f aca="false">E18*'Plan-Annahmen'!$B$42</f>
        <v>0.260634666666667</v>
      </c>
      <c r="O18" s="82" t="n">
        <f aca="false">'Plan-Annahmen'!$B$40</f>
        <v>25</v>
      </c>
      <c r="P18" s="80" t="n">
        <f aca="false">L18+M18+N18+O18</f>
        <v>46.0876622799659</v>
      </c>
      <c r="Q18" s="26" t="n">
        <f aca="false">IF(P18&gt;'Plan-Annahmen'!$B$39,1,0)</f>
        <v>0</v>
      </c>
      <c r="R18" s="26" t="n">
        <f aca="false">IF(P18&gt;'Plan-Annahmen'!$B$38,1,0)</f>
        <v>0</v>
      </c>
    </row>
    <row r="19" customFormat="false" ht="15" hidden="false" customHeight="false" outlineLevel="0" collapsed="false">
      <c r="A19" s="26" t="n">
        <v>12</v>
      </c>
      <c r="B19" s="78" t="n">
        <f aca="false">EDATE('Plan-Annahmen'!$B$8,A19-1)</f>
        <v>46600</v>
      </c>
      <c r="C19" s="40" t="n">
        <v>0.25</v>
      </c>
      <c r="D19" s="61" t="n">
        <f aca="false">IF(A19-'Plan-Annahmen'!$B$21&lt;1,0,INDEX($K$8:$K$31,A19-'Plan-Annahmen'!$B$21)*'Plan-Annahmen'!$B$15/12*'Plan-Annahmen'!$B$18*(1+'Plan-Annahmen'!$B$30*'Plan-Annahmen'!$B$31))</f>
        <v>0.0112553066666667</v>
      </c>
      <c r="E19" s="60" t="n">
        <f aca="false">C19+D19</f>
        <v>0.261255306666667</v>
      </c>
      <c r="F19" s="60" t="n">
        <f aca="false">MIN(E19,MAX(0,'Plan-Annahmen'!$B$49-H18))</f>
        <v>0.261255306666667</v>
      </c>
      <c r="G19" s="60" t="n">
        <f aca="false">E19-F19</f>
        <v>0</v>
      </c>
      <c r="H19" s="60" t="n">
        <f aca="false">H18+F19</f>
        <v>5.03182330666667</v>
      </c>
      <c r="I19" s="79" t="n">
        <f aca="false">I18*(1-'Plan-Annahmen'!$B$27)+F19</f>
        <v>4.59621217677739</v>
      </c>
      <c r="J19" s="79" t="n">
        <f aca="false">J18*(1-'Plan-Annahmen'!$B$24)+G19</f>
        <v>0</v>
      </c>
      <c r="K19" s="80" t="n">
        <f aca="false">I19+J19</f>
        <v>4.59621217677739</v>
      </c>
      <c r="L19" s="81" t="n">
        <v>19.5</v>
      </c>
      <c r="M19" s="82" t="n">
        <f aca="false">K19*'Plan-Annahmen'!$B$41</f>
        <v>1.37886365303322</v>
      </c>
      <c r="N19" s="82" t="n">
        <f aca="false">E19*'Plan-Annahmen'!$B$42</f>
        <v>0.261255306666667</v>
      </c>
      <c r="O19" s="82" t="n">
        <f aca="false">'Plan-Annahmen'!$B$40</f>
        <v>25</v>
      </c>
      <c r="P19" s="80" t="n">
        <f aca="false">L19+M19+N19+O19</f>
        <v>46.1401189596999</v>
      </c>
      <c r="Q19" s="26" t="n">
        <f aca="false">IF(P19&gt;'Plan-Annahmen'!$B$39,1,0)</f>
        <v>0</v>
      </c>
      <c r="R19" s="26" t="n">
        <f aca="false">IF(P19&gt;'Plan-Annahmen'!$B$38,1,0)</f>
        <v>0</v>
      </c>
    </row>
    <row r="20" customFormat="false" ht="15" hidden="false" customHeight="false" outlineLevel="0" collapsed="false">
      <c r="A20" s="26" t="n">
        <v>13</v>
      </c>
      <c r="B20" s="78" t="n">
        <f aca="false">EDATE('Plan-Annahmen'!$B$8,A20-1)</f>
        <v>46631</v>
      </c>
      <c r="C20" s="40" t="n">
        <v>0.75</v>
      </c>
      <c r="D20" s="61" t="n">
        <f aca="false">IF(A20-'Plan-Annahmen'!$B$21&lt;1,0,INDEX($K$8:$K$31,A20-'Plan-Annahmen'!$B$21)*'Plan-Annahmen'!$B$15/12*'Plan-Annahmen'!$B$18*(1+'Plan-Annahmen'!$B$30*'Plan-Annahmen'!$B$31))</f>
        <v>0.0118746449777778</v>
      </c>
      <c r="E20" s="60" t="n">
        <f aca="false">C20+D20</f>
        <v>0.761874644977778</v>
      </c>
      <c r="F20" s="60" t="n">
        <f aca="false">MIN(E20,MAX(0,'Plan-Annahmen'!$B$49-H19))</f>
        <v>0.761874644977778</v>
      </c>
      <c r="G20" s="60" t="n">
        <f aca="false">E20-F20</f>
        <v>0</v>
      </c>
      <c r="H20" s="60" t="n">
        <f aca="false">H19+F20</f>
        <v>5.79369795164444</v>
      </c>
      <c r="I20" s="79" t="n">
        <f aca="false">I19*(1-'Plan-Annahmen'!$B$27)+F20</f>
        <v>5.26616257821962</v>
      </c>
      <c r="J20" s="79" t="n">
        <f aca="false">J19*(1-'Plan-Annahmen'!$B$24)+G20</f>
        <v>0</v>
      </c>
      <c r="K20" s="80" t="n">
        <f aca="false">I20+J20</f>
        <v>5.26616257821962</v>
      </c>
      <c r="L20" s="81" t="n">
        <v>19.5</v>
      </c>
      <c r="M20" s="82" t="n">
        <f aca="false">K20*'Plan-Annahmen'!$B$41</f>
        <v>1.57984877346588</v>
      </c>
      <c r="N20" s="82" t="n">
        <f aca="false">E20*'Plan-Annahmen'!$B$42</f>
        <v>0.761874644977778</v>
      </c>
      <c r="O20" s="82" t="n">
        <f aca="false">'Plan-Annahmen'!$B$40</f>
        <v>25</v>
      </c>
      <c r="P20" s="80" t="n">
        <f aca="false">L20+M20+N20+O20</f>
        <v>46.8417234184437</v>
      </c>
      <c r="Q20" s="26" t="n">
        <f aca="false">IF(P20&gt;'Plan-Annahmen'!$B$39,1,0)</f>
        <v>0</v>
      </c>
      <c r="R20" s="26" t="n">
        <f aca="false">IF(P20&gt;'Plan-Annahmen'!$B$38,1,0)</f>
        <v>0</v>
      </c>
    </row>
    <row r="21" customFormat="false" ht="15" hidden="false" customHeight="false" outlineLevel="0" collapsed="false">
      <c r="A21" s="26" t="n">
        <v>14</v>
      </c>
      <c r="B21" s="78" t="n">
        <f aca="false">EDATE('Plan-Annahmen'!$B$8,A21-1)</f>
        <v>46661</v>
      </c>
      <c r="C21" s="40" t="n">
        <v>0.75</v>
      </c>
      <c r="D21" s="61" t="n">
        <f aca="false">IF(A21-'Plan-Annahmen'!$B$21&lt;1,0,INDEX($K$8:$K$31,A21-'Plan-Annahmen'!$B$21)*'Plan-Annahmen'!$B$15/12*'Plan-Annahmen'!$B$18*(1+'Plan-Annahmen'!$B$30*'Plan-Annahmen'!$B$31))</f>
        <v>0.0141591520782222</v>
      </c>
      <c r="E21" s="60" t="n">
        <f aca="false">C21+D21</f>
        <v>0.764159152078222</v>
      </c>
      <c r="F21" s="60" t="n">
        <f aca="false">MIN(E21,MAX(0,'Plan-Annahmen'!$B$49-H20))</f>
        <v>0.764159152078222</v>
      </c>
      <c r="G21" s="60" t="n">
        <f aca="false">E21-F21</f>
        <v>0</v>
      </c>
      <c r="H21" s="60" t="n">
        <f aca="false">H20+F21</f>
        <v>6.55785710372267</v>
      </c>
      <c r="I21" s="79" t="n">
        <f aca="false">I20*(1-'Plan-Annahmen'!$B$27)+F21</f>
        <v>5.92499847873345</v>
      </c>
      <c r="J21" s="79" t="n">
        <f aca="false">J20*(1-'Plan-Annahmen'!$B$24)+G21</f>
        <v>0</v>
      </c>
      <c r="K21" s="80" t="n">
        <f aca="false">I21+J21</f>
        <v>5.92499847873345</v>
      </c>
      <c r="L21" s="81" t="n">
        <v>19.5</v>
      </c>
      <c r="M21" s="82" t="n">
        <f aca="false">K21*'Plan-Annahmen'!$B$41</f>
        <v>1.77749954362003</v>
      </c>
      <c r="N21" s="82" t="n">
        <f aca="false">E21*'Plan-Annahmen'!$B$42</f>
        <v>0.764159152078222</v>
      </c>
      <c r="O21" s="82" t="n">
        <f aca="false">'Plan-Annahmen'!$B$40</f>
        <v>25</v>
      </c>
      <c r="P21" s="80" t="n">
        <f aca="false">L21+M21+N21+O21</f>
        <v>47.0416586956983</v>
      </c>
      <c r="Q21" s="26" t="n">
        <f aca="false">IF(P21&gt;'Plan-Annahmen'!$B$39,1,0)</f>
        <v>0</v>
      </c>
      <c r="R21" s="26" t="n">
        <f aca="false">IF(P21&gt;'Plan-Annahmen'!$B$38,1,0)</f>
        <v>0</v>
      </c>
    </row>
    <row r="22" customFormat="false" ht="15" hidden="false" customHeight="false" outlineLevel="0" collapsed="false">
      <c r="A22" s="26" t="n">
        <v>15</v>
      </c>
      <c r="B22" s="78" t="n">
        <f aca="false">EDATE('Plan-Annahmen'!$B$8,A22-1)</f>
        <v>46692</v>
      </c>
      <c r="C22" s="40" t="n">
        <v>0.75</v>
      </c>
      <c r="D22" s="61" t="n">
        <f aca="false">IF(A22-'Plan-Annahmen'!$B$21&lt;1,0,INDEX($K$8:$K$31,A22-'Plan-Annahmen'!$B$21)*'Plan-Annahmen'!$B$15/12*'Plan-Annahmen'!$B$18*(1+'Plan-Annahmen'!$B$30*'Plan-Annahmen'!$B$31))</f>
        <v>0.01474475125888</v>
      </c>
      <c r="E22" s="60" t="n">
        <f aca="false">C22+D22</f>
        <v>0.76474475125888</v>
      </c>
      <c r="F22" s="60" t="n">
        <f aca="false">MIN(E22,MAX(0,'Plan-Annahmen'!$B$49-H21))</f>
        <v>0.76474475125888</v>
      </c>
      <c r="G22" s="60" t="n">
        <f aca="false">E22-F22</f>
        <v>0</v>
      </c>
      <c r="H22" s="60" t="n">
        <f aca="false">H21+F22</f>
        <v>7.32260185498155</v>
      </c>
      <c r="I22" s="79" t="n">
        <f aca="false">I21*(1-'Plan-Annahmen'!$B$27)+F22</f>
        <v>6.57124326041766</v>
      </c>
      <c r="J22" s="79" t="n">
        <f aca="false">J21*(1-'Plan-Annahmen'!$B$24)+G22</f>
        <v>0</v>
      </c>
      <c r="K22" s="80" t="n">
        <f aca="false">I22+J22</f>
        <v>6.57124326041766</v>
      </c>
      <c r="L22" s="81" t="n">
        <v>19.5</v>
      </c>
      <c r="M22" s="82" t="n">
        <f aca="false">K22*'Plan-Annahmen'!$B$41</f>
        <v>1.9713729781253</v>
      </c>
      <c r="N22" s="82" t="n">
        <f aca="false">E22*'Plan-Annahmen'!$B$42</f>
        <v>0.76474475125888</v>
      </c>
      <c r="O22" s="82" t="n">
        <f aca="false">'Plan-Annahmen'!$B$40</f>
        <v>25</v>
      </c>
      <c r="P22" s="80" t="n">
        <f aca="false">L22+M22+N22+O22</f>
        <v>47.2361177293842</v>
      </c>
      <c r="Q22" s="26" t="n">
        <f aca="false">IF(P22&gt;'Plan-Annahmen'!$B$39,1,0)</f>
        <v>0</v>
      </c>
      <c r="R22" s="26" t="n">
        <f aca="false">IF(P22&gt;'Plan-Annahmen'!$B$38,1,0)</f>
        <v>0</v>
      </c>
    </row>
    <row r="23" customFormat="false" ht="15" hidden="false" customHeight="false" outlineLevel="0" collapsed="false">
      <c r="A23" s="26" t="n">
        <v>16</v>
      </c>
      <c r="B23" s="78" t="n">
        <f aca="false">EDATE('Plan-Annahmen'!$B$8,A23-1)</f>
        <v>46722</v>
      </c>
      <c r="C23" s="40" t="n">
        <v>1.25</v>
      </c>
      <c r="D23" s="61" t="n">
        <f aca="false">IF(A23-'Plan-Annahmen'!$B$21&lt;1,0,INDEX($K$8:$K$31,A23-'Plan-Annahmen'!$B$21)*'Plan-Annahmen'!$B$15/12*'Plan-Annahmen'!$B$18*(1+'Plan-Annahmen'!$B$30*'Plan-Annahmen'!$B$31))</f>
        <v>0.0153207072559246</v>
      </c>
      <c r="E23" s="60" t="n">
        <f aca="false">C23+D23</f>
        <v>1.26532070725592</v>
      </c>
      <c r="F23" s="60" t="n">
        <f aca="false">MIN(E23,MAX(0,'Plan-Annahmen'!$B$49-H22))</f>
        <v>1.26532070725592</v>
      </c>
      <c r="G23" s="60" t="n">
        <f aca="false">E23-F23</f>
        <v>0</v>
      </c>
      <c r="H23" s="60" t="n">
        <f aca="false">H22+F23</f>
        <v>8.58792256223747</v>
      </c>
      <c r="I23" s="79" t="n">
        <f aca="false">I22*(1-'Plan-Annahmen'!$B$27)+F23</f>
        <v>7.70513910246523</v>
      </c>
      <c r="J23" s="79" t="n">
        <f aca="false">J22*(1-'Plan-Annahmen'!$B$24)+G23</f>
        <v>0</v>
      </c>
      <c r="K23" s="80" t="n">
        <f aca="false">I23+J23</f>
        <v>7.70513910246523</v>
      </c>
      <c r="L23" s="81" t="n">
        <v>19.5</v>
      </c>
      <c r="M23" s="82" t="n">
        <f aca="false">K23*'Plan-Annahmen'!$B$41</f>
        <v>2.31154173073957</v>
      </c>
      <c r="N23" s="82" t="n">
        <f aca="false">E23*'Plan-Annahmen'!$B$42</f>
        <v>1.26532070725592</v>
      </c>
      <c r="O23" s="82" t="n">
        <f aca="false">'Plan-Annahmen'!$B$40</f>
        <v>25</v>
      </c>
      <c r="P23" s="80" t="n">
        <f aca="false">L23+M23+N23+O23</f>
        <v>48.0768624379955</v>
      </c>
      <c r="Q23" s="26" t="n">
        <f aca="false">IF(P23&gt;'Plan-Annahmen'!$B$39,1,0)</f>
        <v>0</v>
      </c>
      <c r="R23" s="26" t="n">
        <f aca="false">IF(P23&gt;'Plan-Annahmen'!$B$38,1,0)</f>
        <v>0</v>
      </c>
    </row>
    <row r="24" customFormat="false" ht="15" hidden="false" customHeight="false" outlineLevel="0" collapsed="false">
      <c r="A24" s="26" t="n">
        <v>17</v>
      </c>
      <c r="B24" s="78" t="n">
        <f aca="false">EDATE('Plan-Annahmen'!$B$8,A24-1)</f>
        <v>46753</v>
      </c>
      <c r="C24" s="40" t="n">
        <v>0.75</v>
      </c>
      <c r="D24" s="61" t="n">
        <f aca="false">IF(A24-'Plan-Annahmen'!$B$21&lt;1,0,INDEX($K$8:$K$31,A24-'Plan-Annahmen'!$B$21)*'Plan-Annahmen'!$B$15/12*'Plan-Annahmen'!$B$18*(1+'Plan-Annahmen'!$B$30*'Plan-Annahmen'!$B$31))</f>
        <v>0.0175538752607321</v>
      </c>
      <c r="E24" s="60" t="n">
        <f aca="false">C24+D24</f>
        <v>0.767553875260732</v>
      </c>
      <c r="F24" s="60" t="n">
        <f aca="false">MIN(E24,MAX(0,'Plan-Annahmen'!$B$49-H23))</f>
        <v>0.767553875260732</v>
      </c>
      <c r="G24" s="60" t="n">
        <f aca="false">E24-F24</f>
        <v>0</v>
      </c>
      <c r="H24" s="60" t="n">
        <f aca="false">H23+F24</f>
        <v>9.3554764374982</v>
      </c>
      <c r="I24" s="79" t="n">
        <f aca="false">I23*(1-'Plan-Annahmen'!$B$27)+F24</f>
        <v>8.31859019567666</v>
      </c>
      <c r="J24" s="79" t="n">
        <f aca="false">J23*(1-'Plan-Annahmen'!$B$24)+G24</f>
        <v>0</v>
      </c>
      <c r="K24" s="80" t="n">
        <f aca="false">I24+J24</f>
        <v>8.31859019567666</v>
      </c>
      <c r="L24" s="81" t="n">
        <v>19.5</v>
      </c>
      <c r="M24" s="82" t="n">
        <f aca="false">K24*'Plan-Annahmen'!$B$41</f>
        <v>2.495577058703</v>
      </c>
      <c r="N24" s="82" t="n">
        <f aca="false">E24*'Plan-Annahmen'!$B$42</f>
        <v>0.767553875260732</v>
      </c>
      <c r="O24" s="82" t="n">
        <f aca="false">'Plan-Annahmen'!$B$40</f>
        <v>25</v>
      </c>
      <c r="P24" s="80" t="n">
        <f aca="false">L24+M24+N24+O24</f>
        <v>47.7631309339637</v>
      </c>
      <c r="Q24" s="26" t="n">
        <f aca="false">IF(P24&gt;'Plan-Annahmen'!$B$39,1,0)</f>
        <v>0</v>
      </c>
      <c r="R24" s="26" t="n">
        <f aca="false">IF(P24&gt;'Plan-Annahmen'!$B$38,1,0)</f>
        <v>0</v>
      </c>
    </row>
    <row r="25" customFormat="false" ht="15" hidden="false" customHeight="false" outlineLevel="0" collapsed="false">
      <c r="A25" s="26" t="n">
        <v>18</v>
      </c>
      <c r="B25" s="78" t="n">
        <f aca="false">EDATE('Plan-Annahmen'!$B$8,A25-1)</f>
        <v>46784</v>
      </c>
      <c r="C25" s="40" t="n">
        <v>0.75</v>
      </c>
      <c r="D25" s="61" t="n">
        <f aca="false">IF(A25-'Plan-Annahmen'!$B$21&lt;1,0,INDEX($K$8:$K$31,A25-'Plan-Annahmen'!$B$21)*'Plan-Annahmen'!$B$15/12*'Plan-Annahmen'!$B$18*(1+'Plan-Annahmen'!$B$30*'Plan-Annahmen'!$B$31))</f>
        <v>0.0197499949291115</v>
      </c>
      <c r="E25" s="60" t="n">
        <f aca="false">C25+D25</f>
        <v>0.769749994929111</v>
      </c>
      <c r="F25" s="60" t="n">
        <f aca="false">MIN(E25,MAX(0,'Plan-Annahmen'!$B$49-H24))</f>
        <v>0.769749994929111</v>
      </c>
      <c r="G25" s="60" t="n">
        <f aca="false">E25-F25</f>
        <v>0</v>
      </c>
      <c r="H25" s="60" t="n">
        <f aca="false">H24+F25</f>
        <v>10.1252264324273</v>
      </c>
      <c r="I25" s="79" t="n">
        <f aca="false">I24*(1-'Plan-Annahmen'!$B$27)+F25</f>
        <v>8.92196838669223</v>
      </c>
      <c r="J25" s="79" t="n">
        <f aca="false">J24*(1-'Plan-Annahmen'!$B$24)+G25</f>
        <v>0</v>
      </c>
      <c r="K25" s="80" t="n">
        <f aca="false">I25+J25</f>
        <v>8.92196838669223</v>
      </c>
      <c r="L25" s="81" t="n">
        <v>19.5</v>
      </c>
      <c r="M25" s="82" t="n">
        <f aca="false">K25*'Plan-Annahmen'!$B$41</f>
        <v>2.67659051600767</v>
      </c>
      <c r="N25" s="82" t="n">
        <f aca="false">E25*'Plan-Annahmen'!$B$42</f>
        <v>0.769749994929111</v>
      </c>
      <c r="O25" s="82" t="n">
        <f aca="false">'Plan-Annahmen'!$B$40</f>
        <v>25</v>
      </c>
      <c r="P25" s="80" t="n">
        <f aca="false">L25+M25+N25+O25</f>
        <v>47.9463405109368</v>
      </c>
      <c r="Q25" s="26" t="n">
        <f aca="false">IF(P25&gt;'Plan-Annahmen'!$B$39,1,0)</f>
        <v>0</v>
      </c>
      <c r="R25" s="26" t="n">
        <f aca="false">IF(P25&gt;'Plan-Annahmen'!$B$38,1,0)</f>
        <v>0</v>
      </c>
    </row>
    <row r="26" customFormat="false" ht="15" hidden="false" customHeight="false" outlineLevel="0" collapsed="false">
      <c r="A26" s="26" t="n">
        <v>19</v>
      </c>
      <c r="B26" s="78" t="n">
        <f aca="false">EDATE('Plan-Annahmen'!$B$8,A26-1)</f>
        <v>46813</v>
      </c>
      <c r="C26" s="40" t="n">
        <v>1</v>
      </c>
      <c r="D26" s="61" t="n">
        <f aca="false">IF(A26-'Plan-Annahmen'!$B$21&lt;1,0,INDEX($K$8:$K$31,A26-'Plan-Annahmen'!$B$21)*'Plan-Annahmen'!$B$15/12*'Plan-Annahmen'!$B$18*(1+'Plan-Annahmen'!$B$30*'Plan-Annahmen'!$B$31))</f>
        <v>0.0219041442013922</v>
      </c>
      <c r="E26" s="60" t="n">
        <f aca="false">C26+D26</f>
        <v>1.02190414420139</v>
      </c>
      <c r="F26" s="60" t="n">
        <f aca="false">MIN(E26,MAX(0,'Plan-Annahmen'!$B$49-H25))</f>
        <v>1.02190414420139</v>
      </c>
      <c r="G26" s="60" t="n">
        <f aca="false">E26-F26</f>
        <v>0</v>
      </c>
      <c r="H26" s="60" t="n">
        <f aca="false">H25+F26</f>
        <v>11.1471305766287</v>
      </c>
      <c r="I26" s="79" t="n">
        <f aca="false">I25*(1-'Plan-Annahmen'!$B$27)+F26</f>
        <v>9.76543316315978</v>
      </c>
      <c r="J26" s="79" t="n">
        <f aca="false">J25*(1-'Plan-Annahmen'!$B$24)+G26</f>
        <v>0</v>
      </c>
      <c r="K26" s="80" t="n">
        <f aca="false">I26+J26</f>
        <v>9.76543316315978</v>
      </c>
      <c r="L26" s="81" t="n">
        <v>19.5</v>
      </c>
      <c r="M26" s="82" t="n">
        <f aca="false">K26*'Plan-Annahmen'!$B$41</f>
        <v>2.92962994894793</v>
      </c>
      <c r="N26" s="82" t="n">
        <f aca="false">E26*'Plan-Annahmen'!$B$42</f>
        <v>1.02190414420139</v>
      </c>
      <c r="O26" s="82" t="n">
        <f aca="false">'Plan-Annahmen'!$B$40</f>
        <v>25</v>
      </c>
      <c r="P26" s="80" t="n">
        <f aca="false">L26+M26+N26+O26</f>
        <v>48.4515340931493</v>
      </c>
      <c r="Q26" s="26" t="n">
        <f aca="false">IF(P26&gt;'Plan-Annahmen'!$B$39,1,0)</f>
        <v>0</v>
      </c>
      <c r="R26" s="26" t="n">
        <f aca="false">IF(P26&gt;'Plan-Annahmen'!$B$38,1,0)</f>
        <v>0</v>
      </c>
    </row>
    <row r="27" customFormat="false" ht="15" hidden="false" customHeight="false" outlineLevel="0" collapsed="false">
      <c r="A27" s="26" t="n">
        <v>20</v>
      </c>
      <c r="B27" s="78" t="n">
        <f aca="false">EDATE('Plan-Annahmen'!$B$8,A27-1)</f>
        <v>46844</v>
      </c>
      <c r="C27" s="40" t="n">
        <v>1</v>
      </c>
      <c r="D27" s="61" t="n">
        <f aca="false">IF(A27-'Plan-Annahmen'!$B$21&lt;1,0,INDEX($K$8:$K$31,A27-'Plan-Annahmen'!$B$21)*'Plan-Annahmen'!$B$15/12*'Plan-Annahmen'!$B$18*(1+'Plan-Annahmen'!$B$30*'Plan-Annahmen'!$B$31))</f>
        <v>0.0256837970082174</v>
      </c>
      <c r="E27" s="60" t="n">
        <f aca="false">C27+D27</f>
        <v>1.02568379700822</v>
      </c>
      <c r="F27" s="60" t="n">
        <f aca="false">MIN(E27,MAX(0,'Plan-Annahmen'!$B$49-H26))</f>
        <v>1.02568379700822</v>
      </c>
      <c r="G27" s="60" t="n">
        <f aca="false">E27-F27</f>
        <v>0</v>
      </c>
      <c r="H27" s="60" t="n">
        <f aca="false">H26+F27</f>
        <v>12.1728143736369</v>
      </c>
      <c r="I27" s="79" t="n">
        <f aca="false">I26*(1-'Plan-Annahmen'!$B$27)+F27</f>
        <v>10.5958082969048</v>
      </c>
      <c r="J27" s="79" t="n">
        <f aca="false">J26*(1-'Plan-Annahmen'!$B$24)+G27</f>
        <v>0</v>
      </c>
      <c r="K27" s="80" t="n">
        <f aca="false">I27+J27</f>
        <v>10.5958082969048</v>
      </c>
      <c r="L27" s="81" t="n">
        <v>19.5</v>
      </c>
      <c r="M27" s="82" t="n">
        <f aca="false">K27*'Plan-Annahmen'!$B$41</f>
        <v>3.17874248907144</v>
      </c>
      <c r="N27" s="82" t="n">
        <f aca="false">E27*'Plan-Annahmen'!$B$42</f>
        <v>1.02568379700822</v>
      </c>
      <c r="O27" s="82" t="n">
        <f aca="false">'Plan-Annahmen'!$B$40</f>
        <v>25</v>
      </c>
      <c r="P27" s="80" t="n">
        <f aca="false">L27+M27+N27+O27</f>
        <v>48.7044262860797</v>
      </c>
      <c r="Q27" s="26" t="n">
        <f aca="false">IF(P27&gt;'Plan-Annahmen'!$B$39,1,0)</f>
        <v>0</v>
      </c>
      <c r="R27" s="26" t="n">
        <f aca="false">IF(P27&gt;'Plan-Annahmen'!$B$38,1,0)</f>
        <v>0</v>
      </c>
    </row>
    <row r="28" customFormat="false" ht="15" hidden="false" customHeight="false" outlineLevel="0" collapsed="false">
      <c r="A28" s="26" t="n">
        <v>21</v>
      </c>
      <c r="B28" s="78" t="n">
        <f aca="false">EDATE('Plan-Annahmen'!$B$8,A28-1)</f>
        <v>46874</v>
      </c>
      <c r="C28" s="40" t="n">
        <v>1</v>
      </c>
      <c r="D28" s="61" t="n">
        <f aca="false">IF(A28-'Plan-Annahmen'!$B$21&lt;1,0,INDEX($K$8:$K$31,A28-'Plan-Annahmen'!$B$21)*'Plan-Annahmen'!$B$15/12*'Plan-Annahmen'!$B$18*(1+'Plan-Annahmen'!$B$30*'Plan-Annahmen'!$B$31))</f>
        <v>0.0277286339855889</v>
      </c>
      <c r="E28" s="60" t="n">
        <f aca="false">C28+D28</f>
        <v>1.02772863398559</v>
      </c>
      <c r="F28" s="60" t="n">
        <f aca="false">MIN(E28,MAX(0,'Plan-Annahmen'!$B$49-H27))</f>
        <v>1.02772863398559</v>
      </c>
      <c r="G28" s="60" t="n">
        <f aca="false">E28-F28</f>
        <v>0</v>
      </c>
      <c r="H28" s="60" t="n">
        <f aca="false">H27+F28</f>
        <v>13.2005430076225</v>
      </c>
      <c r="I28" s="79" t="n">
        <f aca="false">I27*(1-'Plan-Annahmen'!$B$27)+F28</f>
        <v>11.4116207649523</v>
      </c>
      <c r="J28" s="79" t="n">
        <f aca="false">J27*(1-'Plan-Annahmen'!$B$24)+G28</f>
        <v>0</v>
      </c>
      <c r="K28" s="80" t="n">
        <f aca="false">I28+J28</f>
        <v>11.4116207649523</v>
      </c>
      <c r="L28" s="81" t="n">
        <v>19.5</v>
      </c>
      <c r="M28" s="82" t="n">
        <f aca="false">K28*'Plan-Annahmen'!$B$41</f>
        <v>3.42348622948569</v>
      </c>
      <c r="N28" s="82" t="n">
        <f aca="false">E28*'Plan-Annahmen'!$B$42</f>
        <v>1.02772863398559</v>
      </c>
      <c r="O28" s="82" t="n">
        <f aca="false">'Plan-Annahmen'!$B$40</f>
        <v>25</v>
      </c>
      <c r="P28" s="80" t="n">
        <f aca="false">L28+M28+N28+O28</f>
        <v>48.9512148634713</v>
      </c>
      <c r="Q28" s="26" t="n">
        <f aca="false">IF(P28&gt;'Plan-Annahmen'!$B$39,1,0)</f>
        <v>0</v>
      </c>
      <c r="R28" s="26" t="n">
        <f aca="false">IF(P28&gt;'Plan-Annahmen'!$B$38,1,0)</f>
        <v>0</v>
      </c>
    </row>
    <row r="29" customFormat="false" ht="15" hidden="false" customHeight="false" outlineLevel="0" collapsed="false">
      <c r="A29" s="26" t="n">
        <v>22</v>
      </c>
      <c r="B29" s="78" t="n">
        <f aca="false">EDATE('Plan-Annahmen'!$B$8,A29-1)</f>
        <v>46905</v>
      </c>
      <c r="C29" s="40" t="n">
        <v>1.5</v>
      </c>
      <c r="D29" s="61" t="n">
        <f aca="false">IF(A29-'Plan-Annahmen'!$B$21&lt;1,0,INDEX($K$8:$K$31,A29-'Plan-Annahmen'!$B$21)*'Plan-Annahmen'!$B$15/12*'Plan-Annahmen'!$B$18*(1+'Plan-Annahmen'!$B$30*'Plan-Annahmen'!$B$31))</f>
        <v>0.0297398946223074</v>
      </c>
      <c r="E29" s="60" t="n">
        <f aca="false">C29+D29</f>
        <v>1.52973989462231</v>
      </c>
      <c r="F29" s="60" t="n">
        <f aca="false">MIN(E29,MAX(0,'Plan-Annahmen'!$B$49-H28))</f>
        <v>1.52973989462231</v>
      </c>
      <c r="G29" s="60" t="n">
        <f aca="false">E29-F29</f>
        <v>0</v>
      </c>
      <c r="H29" s="60" t="n">
        <f aca="false">H28+F29</f>
        <v>14.7302829022448</v>
      </c>
      <c r="I29" s="79" t="n">
        <f aca="false">I28*(1-'Plan-Annahmen'!$B$27)+F29</f>
        <v>12.7131282442756</v>
      </c>
      <c r="J29" s="79" t="n">
        <f aca="false">J28*(1-'Plan-Annahmen'!$B$24)+G29</f>
        <v>0</v>
      </c>
      <c r="K29" s="80" t="n">
        <f aca="false">I29+J29</f>
        <v>12.7131282442756</v>
      </c>
      <c r="L29" s="81" t="n">
        <v>19.5</v>
      </c>
      <c r="M29" s="82" t="n">
        <f aca="false">K29*'Plan-Annahmen'!$B$41</f>
        <v>3.81393847328267</v>
      </c>
      <c r="N29" s="82" t="n">
        <f aca="false">E29*'Plan-Annahmen'!$B$42</f>
        <v>1.52973989462231</v>
      </c>
      <c r="O29" s="82" t="n">
        <f aca="false">'Plan-Annahmen'!$B$40</f>
        <v>25</v>
      </c>
      <c r="P29" s="80" t="n">
        <f aca="false">L29+M29+N29+O29</f>
        <v>49.843678367905</v>
      </c>
      <c r="Q29" s="26" t="n">
        <f aca="false">IF(P29&gt;'Plan-Annahmen'!$B$39,1,0)</f>
        <v>0</v>
      </c>
      <c r="R29" s="26" t="n">
        <f aca="false">IF(P29&gt;'Plan-Annahmen'!$B$38,1,0)</f>
        <v>0</v>
      </c>
    </row>
    <row r="30" customFormat="false" ht="15" hidden="false" customHeight="false" outlineLevel="0" collapsed="false">
      <c r="A30" s="26" t="n">
        <v>23</v>
      </c>
      <c r="B30" s="78" t="n">
        <f aca="false">EDATE('Plan-Annahmen'!$B$8,A30-1)</f>
        <v>46935</v>
      </c>
      <c r="C30" s="40" t="n">
        <v>1</v>
      </c>
      <c r="D30" s="61" t="n">
        <f aca="false">IF(A30-'Plan-Annahmen'!$B$21&lt;1,0,INDEX($K$8:$K$31,A30-'Plan-Annahmen'!$B$21)*'Plan-Annahmen'!$B$15/12*'Plan-Annahmen'!$B$18*(1+'Plan-Annahmen'!$B$30*'Plan-Annahmen'!$B$31))</f>
        <v>0.0325514438771993</v>
      </c>
      <c r="E30" s="60" t="n">
        <f aca="false">C30+D30</f>
        <v>1.0325514438772</v>
      </c>
      <c r="F30" s="60" t="n">
        <f aca="false">MIN(E30,MAX(0,'Plan-Annahmen'!$B$49-H29))</f>
        <v>1.0325514438772</v>
      </c>
      <c r="G30" s="60" t="n">
        <f aca="false">E30-F30</f>
        <v>0</v>
      </c>
      <c r="H30" s="60" t="n">
        <f aca="false">H29+F30</f>
        <v>15.762834346122</v>
      </c>
      <c r="I30" s="79" t="n">
        <f aca="false">I29*(1-'Plan-Annahmen'!$B$27)+F30</f>
        <v>13.4914171232672</v>
      </c>
      <c r="J30" s="79" t="n">
        <f aca="false">J29*(1-'Plan-Annahmen'!$B$24)+G30</f>
        <v>0</v>
      </c>
      <c r="K30" s="80" t="n">
        <f aca="false">I30+J30</f>
        <v>13.4914171232672</v>
      </c>
      <c r="L30" s="81" t="n">
        <v>19.5</v>
      </c>
      <c r="M30" s="82" t="n">
        <f aca="false">K30*'Plan-Annahmen'!$B$41</f>
        <v>4.04742513698017</v>
      </c>
      <c r="N30" s="82" t="n">
        <f aca="false">E30*'Plan-Annahmen'!$B$42</f>
        <v>1.0325514438772</v>
      </c>
      <c r="O30" s="82" t="n">
        <f aca="false">'Plan-Annahmen'!$B$40</f>
        <v>25</v>
      </c>
      <c r="P30" s="80" t="n">
        <f aca="false">L30+M30+N30+O30</f>
        <v>49.5799765808574</v>
      </c>
      <c r="Q30" s="26" t="n">
        <f aca="false">IF(P30&gt;'Plan-Annahmen'!$B$39,1,0)</f>
        <v>0</v>
      </c>
      <c r="R30" s="26" t="n">
        <f aca="false">IF(P30&gt;'Plan-Annahmen'!$B$38,1,0)</f>
        <v>0</v>
      </c>
    </row>
    <row r="31" customFormat="false" ht="15" hidden="false" customHeight="false" outlineLevel="0" collapsed="false">
      <c r="A31" s="26" t="n">
        <v>24</v>
      </c>
      <c r="B31" s="78" t="n">
        <f aca="false">EDATE('Plan-Annahmen'!$B$8,A31-1)</f>
        <v>46966</v>
      </c>
      <c r="C31" s="40" t="n">
        <v>1</v>
      </c>
      <c r="D31" s="61" t="n">
        <f aca="false">IF(A31-'Plan-Annahmen'!$B$21&lt;1,0,INDEX($K$8:$K$31,A31-'Plan-Annahmen'!$B$21)*'Plan-Annahmen'!$B$15/12*'Plan-Annahmen'!$B$18*(1+'Plan-Annahmen'!$B$30*'Plan-Annahmen'!$B$31))</f>
        <v>0.0353193609896827</v>
      </c>
      <c r="E31" s="60" t="n">
        <f aca="false">C31+D31</f>
        <v>1.03531936098968</v>
      </c>
      <c r="F31" s="60" t="n">
        <f aca="false">MIN(E31,MAX(0,'Plan-Annahmen'!$B$49-H30))</f>
        <v>1.03531936098968</v>
      </c>
      <c r="G31" s="60" t="n">
        <f aca="false">E31-F31</f>
        <v>0</v>
      </c>
      <c r="H31" s="60" t="n">
        <f aca="false">H30+F31</f>
        <v>16.7981537071117</v>
      </c>
      <c r="I31" s="79" t="n">
        <f aca="false">I30*(1-'Plan-Annahmen'!$B$27)+F31</f>
        <v>14.2569081417916</v>
      </c>
      <c r="J31" s="79" t="n">
        <f aca="false">J30*(1-'Plan-Annahmen'!$B$24)+G31</f>
        <v>0</v>
      </c>
      <c r="K31" s="80" t="n">
        <f aca="false">I31+J31</f>
        <v>14.2569081417916</v>
      </c>
      <c r="L31" s="81" t="n">
        <v>19.5</v>
      </c>
      <c r="M31" s="82" t="n">
        <f aca="false">K31*'Plan-Annahmen'!$B$41</f>
        <v>4.27707244253747</v>
      </c>
      <c r="N31" s="82" t="n">
        <f aca="false">E31*'Plan-Annahmen'!$B$42</f>
        <v>1.03531936098968</v>
      </c>
      <c r="O31" s="82" t="n">
        <f aca="false">'Plan-Annahmen'!$B$40</f>
        <v>25</v>
      </c>
      <c r="P31" s="80" t="n">
        <f aca="false">L31+M31+N31+O31</f>
        <v>49.8123918035272</v>
      </c>
      <c r="Q31" s="26" t="n">
        <f aca="false">IF(P31&gt;'Plan-Annahmen'!$B$39,1,0)</f>
        <v>0</v>
      </c>
      <c r="R31" s="26" t="n">
        <f aca="false">IF(P31&gt;'Plan-Annahmen'!$B$38,1,0)</f>
        <v>0</v>
      </c>
    </row>
    <row r="32" customFormat="false" ht="15" hidden="false" customHeight="false" outlineLevel="0" collapsed="false">
      <c r="A32" s="13" t="s">
        <v>530</v>
      </c>
      <c r="B32" s="14"/>
      <c r="C32" s="83" t="n">
        <f aca="false">SUM(C8:C31)</f>
        <v>16.5</v>
      </c>
      <c r="D32" s="83" t="n">
        <f aca="false">SUM(D8:D31)</f>
        <v>0.298153707111703</v>
      </c>
      <c r="E32" s="83" t="n">
        <f aca="false">SUM(E8:E31)</f>
        <v>16.7981537071117</v>
      </c>
      <c r="F32" s="14"/>
      <c r="G32" s="14"/>
      <c r="H32" s="14"/>
      <c r="I32" s="14"/>
      <c r="J32" s="14"/>
      <c r="K32" s="83" t="n">
        <f aca="false">K31</f>
        <v>14.2569081417916</v>
      </c>
      <c r="L32" s="14"/>
      <c r="M32" s="14"/>
      <c r="N32" s="14"/>
      <c r="O32" s="14"/>
      <c r="P32" s="14"/>
      <c r="Q32" s="71" t="n">
        <f aca="false">SUM(Q8:Q31)</f>
        <v>0</v>
      </c>
      <c r="R32" s="71" t="n">
        <f aca="false">SUM(R8:R31)</f>
        <v>0</v>
      </c>
    </row>
    <row r="35" customFormat="false" ht="15" hidden="false" customHeight="false" outlineLevel="0" collapsed="false">
      <c r="A35" s="36" t="s">
        <v>531</v>
      </c>
      <c r="C35" s="53" t="s">
        <v>532</v>
      </c>
    </row>
    <row r="36" customFormat="false" ht="39.55" hidden="false" customHeight="false" outlineLevel="0" collapsed="false">
      <c r="A36" s="3" t="s">
        <v>309</v>
      </c>
      <c r="B36" s="3" t="s">
        <v>513</v>
      </c>
      <c r="C36" s="3" t="s">
        <v>514</v>
      </c>
      <c r="D36" s="3" t="s">
        <v>515</v>
      </c>
      <c r="E36" s="3" t="s">
        <v>516</v>
      </c>
      <c r="F36" s="3" t="s">
        <v>517</v>
      </c>
      <c r="G36" s="3" t="s">
        <v>518</v>
      </c>
      <c r="H36" s="3" t="s">
        <v>519</v>
      </c>
      <c r="I36" s="3" t="s">
        <v>520</v>
      </c>
      <c r="J36" s="3" t="s">
        <v>521</v>
      </c>
      <c r="K36" s="3" t="s">
        <v>522</v>
      </c>
      <c r="L36" s="3" t="s">
        <v>523</v>
      </c>
      <c r="M36" s="3" t="s">
        <v>524</v>
      </c>
      <c r="N36" s="3" t="s">
        <v>525</v>
      </c>
      <c r="O36" s="3" t="s">
        <v>526</v>
      </c>
      <c r="P36" s="3" t="s">
        <v>527</v>
      </c>
      <c r="Q36" s="3" t="s">
        <v>528</v>
      </c>
      <c r="R36" s="3" t="s">
        <v>529</v>
      </c>
    </row>
    <row r="37" customFormat="false" ht="15" hidden="false" customHeight="false" outlineLevel="0" collapsed="false">
      <c r="A37" s="26" t="n">
        <v>1</v>
      </c>
      <c r="B37" s="78" t="n">
        <f aca="false">EDATE('Plan-Annahmen'!$B$8,A37-1)</f>
        <v>46266</v>
      </c>
      <c r="C37" s="40" t="n">
        <v>0</v>
      </c>
      <c r="D37" s="61" t="n">
        <f aca="false">IF(A37-'Plan-Annahmen'!$B$22&lt;1,0,INDEX($K$37:$K$60,A37-'Plan-Annahmen'!$B$22)*'Plan-Annahmen'!$B$16/12*'Plan-Annahmen'!$B$19*(1+'Plan-Annahmen'!$B$30*'Plan-Annahmen'!$B$31))</f>
        <v>0</v>
      </c>
      <c r="E37" s="60" t="n">
        <f aca="false">C37+D37</f>
        <v>0</v>
      </c>
      <c r="F37" s="60" t="n">
        <f aca="false">MIN(E37,MAX(0,'Plan-Annahmen'!$B$49-0))</f>
        <v>0</v>
      </c>
      <c r="G37" s="60" t="n">
        <f aca="false">E37-F37</f>
        <v>0</v>
      </c>
      <c r="H37" s="60" t="n">
        <f aca="false">0+F37</f>
        <v>0</v>
      </c>
      <c r="I37" s="79" t="n">
        <f aca="false">0*(1-'Plan-Annahmen'!$B$28)+F37</f>
        <v>0</v>
      </c>
      <c r="J37" s="79" t="n">
        <f aca="false">0*(1-'Plan-Annahmen'!$B$25)+G37</f>
        <v>0</v>
      </c>
      <c r="K37" s="80" t="n">
        <f aca="false">I37+J37</f>
        <v>0</v>
      </c>
      <c r="L37" s="81" t="n">
        <v>4</v>
      </c>
      <c r="M37" s="82" t="n">
        <f aca="false">K37*'Plan-Annahmen'!$B$41</f>
        <v>0</v>
      </c>
      <c r="N37" s="82" t="n">
        <f aca="false">E37*'Plan-Annahmen'!$B$42</f>
        <v>0</v>
      </c>
      <c r="O37" s="82" t="n">
        <f aca="false">'Plan-Annahmen'!$B$40</f>
        <v>25</v>
      </c>
      <c r="P37" s="80" t="n">
        <f aca="false">L37+M37+N37+O37</f>
        <v>29</v>
      </c>
      <c r="Q37" s="26" t="n">
        <f aca="false">IF(P37&gt;'Plan-Annahmen'!$B$39,1,0)</f>
        <v>0</v>
      </c>
      <c r="R37" s="26" t="n">
        <f aca="false">IF(P37&gt;'Plan-Annahmen'!$B$38,1,0)</f>
        <v>0</v>
      </c>
    </row>
    <row r="38" customFormat="false" ht="15" hidden="false" customHeight="false" outlineLevel="0" collapsed="false">
      <c r="A38" s="26" t="n">
        <v>2</v>
      </c>
      <c r="B38" s="78" t="n">
        <f aca="false">EDATE('Plan-Annahmen'!$B$8,A38-1)</f>
        <v>46296</v>
      </c>
      <c r="C38" s="40" t="n">
        <v>0</v>
      </c>
      <c r="D38" s="61" t="n">
        <f aca="false">IF(A38-'Plan-Annahmen'!$B$22&lt;1,0,INDEX($K$37:$K$60,A38-'Plan-Annahmen'!$B$22)*'Plan-Annahmen'!$B$16/12*'Plan-Annahmen'!$B$19*(1+'Plan-Annahmen'!$B$30*'Plan-Annahmen'!$B$31))</f>
        <v>0</v>
      </c>
      <c r="E38" s="60" t="n">
        <f aca="false">C38+D38</f>
        <v>0</v>
      </c>
      <c r="F38" s="60" t="n">
        <f aca="false">MIN(E38,MAX(0,'Plan-Annahmen'!$B$49-H37))</f>
        <v>0</v>
      </c>
      <c r="G38" s="60" t="n">
        <f aca="false">E38-F38</f>
        <v>0</v>
      </c>
      <c r="H38" s="60" t="n">
        <f aca="false">H37+F38</f>
        <v>0</v>
      </c>
      <c r="I38" s="79" t="n">
        <f aca="false">I37*(1-'Plan-Annahmen'!$B$28)+F38</f>
        <v>0</v>
      </c>
      <c r="J38" s="79" t="n">
        <f aca="false">J37*(1-'Plan-Annahmen'!$B$25)+G38</f>
        <v>0</v>
      </c>
      <c r="K38" s="80" t="n">
        <f aca="false">I38+J38</f>
        <v>0</v>
      </c>
      <c r="L38" s="81" t="n">
        <v>18</v>
      </c>
      <c r="M38" s="82" t="n">
        <f aca="false">K38*'Plan-Annahmen'!$B$41</f>
        <v>0</v>
      </c>
      <c r="N38" s="82" t="n">
        <f aca="false">E38*'Plan-Annahmen'!$B$42</f>
        <v>0</v>
      </c>
      <c r="O38" s="82" t="n">
        <f aca="false">'Plan-Annahmen'!$B$40</f>
        <v>25</v>
      </c>
      <c r="P38" s="80" t="n">
        <f aca="false">L38+M38+N38+O38</f>
        <v>43</v>
      </c>
      <c r="Q38" s="26" t="n">
        <f aca="false">IF(P38&gt;'Plan-Annahmen'!$B$39,1,0)</f>
        <v>0</v>
      </c>
      <c r="R38" s="26" t="n">
        <f aca="false">IF(P38&gt;'Plan-Annahmen'!$B$38,1,0)</f>
        <v>0</v>
      </c>
    </row>
    <row r="39" customFormat="false" ht="15" hidden="false" customHeight="false" outlineLevel="0" collapsed="false">
      <c r="A39" s="26" t="n">
        <v>3</v>
      </c>
      <c r="B39" s="78" t="n">
        <f aca="false">EDATE('Plan-Annahmen'!$B$8,A39-1)</f>
        <v>46327</v>
      </c>
      <c r="C39" s="40" t="n">
        <v>0</v>
      </c>
      <c r="D39" s="61" t="n">
        <f aca="false">IF(A39-'Plan-Annahmen'!$B$22&lt;1,0,INDEX($K$37:$K$60,A39-'Plan-Annahmen'!$B$22)*'Plan-Annahmen'!$B$16/12*'Plan-Annahmen'!$B$19*(1+'Plan-Annahmen'!$B$30*'Plan-Annahmen'!$B$31))</f>
        <v>0</v>
      </c>
      <c r="E39" s="60" t="n">
        <f aca="false">C39+D39</f>
        <v>0</v>
      </c>
      <c r="F39" s="60" t="n">
        <f aca="false">MIN(E39,MAX(0,'Plan-Annahmen'!$B$49-H38))</f>
        <v>0</v>
      </c>
      <c r="G39" s="60" t="n">
        <f aca="false">E39-F39</f>
        <v>0</v>
      </c>
      <c r="H39" s="60" t="n">
        <f aca="false">H38+F39</f>
        <v>0</v>
      </c>
      <c r="I39" s="79" t="n">
        <f aca="false">I38*(1-'Plan-Annahmen'!$B$28)+F39</f>
        <v>0</v>
      </c>
      <c r="J39" s="79" t="n">
        <f aca="false">J38*(1-'Plan-Annahmen'!$B$25)+G39</f>
        <v>0</v>
      </c>
      <c r="K39" s="80" t="n">
        <f aca="false">I39+J39</f>
        <v>0</v>
      </c>
      <c r="L39" s="81" t="n">
        <v>5</v>
      </c>
      <c r="M39" s="82" t="n">
        <f aca="false">K39*'Plan-Annahmen'!$B$41</f>
        <v>0</v>
      </c>
      <c r="N39" s="82" t="n">
        <f aca="false">E39*'Plan-Annahmen'!$B$42</f>
        <v>0</v>
      </c>
      <c r="O39" s="82" t="n">
        <f aca="false">'Plan-Annahmen'!$B$40</f>
        <v>25</v>
      </c>
      <c r="P39" s="80" t="n">
        <f aca="false">L39+M39+N39+O39</f>
        <v>30</v>
      </c>
      <c r="Q39" s="26" t="n">
        <f aca="false">IF(P39&gt;'Plan-Annahmen'!$B$39,1,0)</f>
        <v>0</v>
      </c>
      <c r="R39" s="26" t="n">
        <f aca="false">IF(P39&gt;'Plan-Annahmen'!$B$38,1,0)</f>
        <v>0</v>
      </c>
    </row>
    <row r="40" customFormat="false" ht="15" hidden="false" customHeight="false" outlineLevel="0" collapsed="false">
      <c r="A40" s="26" t="n">
        <v>4</v>
      </c>
      <c r="B40" s="78" t="n">
        <f aca="false">EDATE('Plan-Annahmen'!$B$8,A40-1)</f>
        <v>46357</v>
      </c>
      <c r="C40" s="40" t="n">
        <v>1</v>
      </c>
      <c r="D40" s="61" t="n">
        <f aca="false">IF(A40-'Plan-Annahmen'!$B$22&lt;1,0,INDEX($K$37:$K$60,A40-'Plan-Annahmen'!$B$22)*'Plan-Annahmen'!$B$16/12*'Plan-Annahmen'!$B$19*(1+'Plan-Annahmen'!$B$30*'Plan-Annahmen'!$B$31))</f>
        <v>0</v>
      </c>
      <c r="E40" s="60" t="n">
        <f aca="false">C40+D40</f>
        <v>1</v>
      </c>
      <c r="F40" s="60" t="n">
        <f aca="false">MIN(E40,MAX(0,'Plan-Annahmen'!$B$49-H39))</f>
        <v>1</v>
      </c>
      <c r="G40" s="60" t="n">
        <f aca="false">E40-F40</f>
        <v>0</v>
      </c>
      <c r="H40" s="60" t="n">
        <f aca="false">H39+F40</f>
        <v>1</v>
      </c>
      <c r="I40" s="79" t="n">
        <f aca="false">I39*(1-'Plan-Annahmen'!$B$28)+F40</f>
        <v>1</v>
      </c>
      <c r="J40" s="79" t="n">
        <f aca="false">J39*(1-'Plan-Annahmen'!$B$25)+G40</f>
        <v>0</v>
      </c>
      <c r="K40" s="80" t="n">
        <f aca="false">I40+J40</f>
        <v>1</v>
      </c>
      <c r="L40" s="81" t="n">
        <v>15</v>
      </c>
      <c r="M40" s="82" t="n">
        <f aca="false">K40*'Plan-Annahmen'!$B$41</f>
        <v>0.3</v>
      </c>
      <c r="N40" s="82" t="n">
        <f aca="false">E40*'Plan-Annahmen'!$B$42</f>
        <v>1</v>
      </c>
      <c r="O40" s="82" t="n">
        <f aca="false">'Plan-Annahmen'!$B$40</f>
        <v>25</v>
      </c>
      <c r="P40" s="80" t="n">
        <f aca="false">L40+M40+N40+O40</f>
        <v>41.3</v>
      </c>
      <c r="Q40" s="26" t="n">
        <f aca="false">IF(P40&gt;'Plan-Annahmen'!$B$39,1,0)</f>
        <v>0</v>
      </c>
      <c r="R40" s="26" t="n">
        <f aca="false">IF(P40&gt;'Plan-Annahmen'!$B$38,1,0)</f>
        <v>0</v>
      </c>
    </row>
    <row r="41" customFormat="false" ht="15" hidden="false" customHeight="false" outlineLevel="0" collapsed="false">
      <c r="A41" s="26" t="n">
        <v>5</v>
      </c>
      <c r="B41" s="78" t="n">
        <f aca="false">EDATE('Plan-Annahmen'!$B$8,A41-1)</f>
        <v>46388</v>
      </c>
      <c r="C41" s="40" t="n">
        <v>1.5</v>
      </c>
      <c r="D41" s="61" t="n">
        <f aca="false">IF(A41-'Plan-Annahmen'!$B$22&lt;1,0,INDEX($K$37:$K$60,A41-'Plan-Annahmen'!$B$22)*'Plan-Annahmen'!$B$16/12*'Plan-Annahmen'!$B$19*(1+'Plan-Annahmen'!$B$30*'Plan-Annahmen'!$B$31))</f>
        <v>0</v>
      </c>
      <c r="E41" s="60" t="n">
        <f aca="false">C41+D41</f>
        <v>1.5</v>
      </c>
      <c r="F41" s="60" t="n">
        <f aca="false">MIN(E41,MAX(0,'Plan-Annahmen'!$B$49-H40))</f>
        <v>1.5</v>
      </c>
      <c r="G41" s="60" t="n">
        <f aca="false">E41-F41</f>
        <v>0</v>
      </c>
      <c r="H41" s="60" t="n">
        <f aca="false">H40+F41</f>
        <v>2.5</v>
      </c>
      <c r="I41" s="79" t="n">
        <f aca="false">I40*(1-'Plan-Annahmen'!$B$28)+F41</f>
        <v>2.485</v>
      </c>
      <c r="J41" s="79" t="n">
        <f aca="false">J40*(1-'Plan-Annahmen'!$B$25)+G41</f>
        <v>0</v>
      </c>
      <c r="K41" s="80" t="n">
        <f aca="false">I41+J41</f>
        <v>2.485</v>
      </c>
      <c r="L41" s="81" t="n">
        <v>16</v>
      </c>
      <c r="M41" s="82" t="n">
        <f aca="false">K41*'Plan-Annahmen'!$B$41</f>
        <v>0.7455</v>
      </c>
      <c r="N41" s="82" t="n">
        <f aca="false">E41*'Plan-Annahmen'!$B$42</f>
        <v>1.5</v>
      </c>
      <c r="O41" s="82" t="n">
        <f aca="false">'Plan-Annahmen'!$B$40</f>
        <v>25</v>
      </c>
      <c r="P41" s="80" t="n">
        <f aca="false">L41+M41+N41+O41</f>
        <v>43.2455</v>
      </c>
      <c r="Q41" s="26" t="n">
        <f aca="false">IF(P41&gt;'Plan-Annahmen'!$B$39,1,0)</f>
        <v>0</v>
      </c>
      <c r="R41" s="26" t="n">
        <f aca="false">IF(P41&gt;'Plan-Annahmen'!$B$38,1,0)</f>
        <v>0</v>
      </c>
    </row>
    <row r="42" customFormat="false" ht="15" hidden="false" customHeight="false" outlineLevel="0" collapsed="false">
      <c r="A42" s="26" t="n">
        <v>6</v>
      </c>
      <c r="B42" s="78" t="n">
        <f aca="false">EDATE('Plan-Annahmen'!$B$8,A42-1)</f>
        <v>46419</v>
      </c>
      <c r="C42" s="40" t="n">
        <v>2.5</v>
      </c>
      <c r="D42" s="61" t="n">
        <f aca="false">IF(A42-'Plan-Annahmen'!$B$22&lt;1,0,INDEX($K$37:$K$60,A42-'Plan-Annahmen'!$B$22)*'Plan-Annahmen'!$B$16/12*'Plan-Annahmen'!$B$19*(1+'Plan-Annahmen'!$B$30*'Plan-Annahmen'!$B$31))</f>
        <v>0</v>
      </c>
      <c r="E42" s="60" t="n">
        <f aca="false">C42+D42</f>
        <v>2.5</v>
      </c>
      <c r="F42" s="60" t="n">
        <f aca="false">MIN(E42,MAX(0,'Plan-Annahmen'!$B$49-H41))</f>
        <v>2.5</v>
      </c>
      <c r="G42" s="60" t="n">
        <f aca="false">E42-F42</f>
        <v>0</v>
      </c>
      <c r="H42" s="60" t="n">
        <f aca="false">H41+F42</f>
        <v>5</v>
      </c>
      <c r="I42" s="79" t="n">
        <f aca="false">I41*(1-'Plan-Annahmen'!$B$28)+F42</f>
        <v>4.947725</v>
      </c>
      <c r="J42" s="79" t="n">
        <f aca="false">J41*(1-'Plan-Annahmen'!$B$25)+G42</f>
        <v>0</v>
      </c>
      <c r="K42" s="80" t="n">
        <f aca="false">I42+J42</f>
        <v>4.947725</v>
      </c>
      <c r="L42" s="81" t="n">
        <v>16</v>
      </c>
      <c r="M42" s="82" t="n">
        <f aca="false">K42*'Plan-Annahmen'!$B$41</f>
        <v>1.4843175</v>
      </c>
      <c r="N42" s="82" t="n">
        <f aca="false">E42*'Plan-Annahmen'!$B$42</f>
        <v>2.5</v>
      </c>
      <c r="O42" s="82" t="n">
        <f aca="false">'Plan-Annahmen'!$B$40</f>
        <v>25</v>
      </c>
      <c r="P42" s="80" t="n">
        <f aca="false">L42+M42+N42+O42</f>
        <v>44.9843175</v>
      </c>
      <c r="Q42" s="26" t="n">
        <f aca="false">IF(P42&gt;'Plan-Annahmen'!$B$39,1,0)</f>
        <v>0</v>
      </c>
      <c r="R42" s="26" t="n">
        <f aca="false">IF(P42&gt;'Plan-Annahmen'!$B$38,1,0)</f>
        <v>0</v>
      </c>
    </row>
    <row r="43" customFormat="false" ht="15" hidden="false" customHeight="false" outlineLevel="0" collapsed="false">
      <c r="A43" s="26" t="n">
        <v>7</v>
      </c>
      <c r="B43" s="78" t="n">
        <f aca="false">EDATE('Plan-Annahmen'!$B$8,A43-1)</f>
        <v>46447</v>
      </c>
      <c r="C43" s="40" t="n">
        <v>2</v>
      </c>
      <c r="D43" s="61" t="n">
        <f aca="false">IF(A43-'Plan-Annahmen'!$B$22&lt;1,0,INDEX($K$37:$K$60,A43-'Plan-Annahmen'!$B$22)*'Plan-Annahmen'!$B$16/12*'Plan-Annahmen'!$B$19*(1+'Plan-Annahmen'!$B$30*'Plan-Annahmen'!$B$31))</f>
        <v>0.00833333333333333</v>
      </c>
      <c r="E43" s="60" t="n">
        <f aca="false">C43+D43</f>
        <v>2.00833333333333</v>
      </c>
      <c r="F43" s="60" t="n">
        <f aca="false">MIN(E43,MAX(0,'Plan-Annahmen'!$B$49-H42))</f>
        <v>2.00833333333333</v>
      </c>
      <c r="G43" s="60" t="n">
        <f aca="false">E43-F43</f>
        <v>0</v>
      </c>
      <c r="H43" s="60" t="n">
        <f aca="false">H42+F43</f>
        <v>7.00833333333333</v>
      </c>
      <c r="I43" s="79" t="n">
        <f aca="false">I42*(1-'Plan-Annahmen'!$B$28)+F43</f>
        <v>6.88184245833333</v>
      </c>
      <c r="J43" s="79" t="n">
        <f aca="false">J42*(1-'Plan-Annahmen'!$B$25)+G43</f>
        <v>0</v>
      </c>
      <c r="K43" s="80" t="n">
        <f aca="false">I43+J43</f>
        <v>6.88184245833333</v>
      </c>
      <c r="L43" s="81" t="n">
        <v>16.5</v>
      </c>
      <c r="M43" s="82" t="n">
        <f aca="false">K43*'Plan-Annahmen'!$B$41</f>
        <v>2.0645527375</v>
      </c>
      <c r="N43" s="82" t="n">
        <f aca="false">E43*'Plan-Annahmen'!$B$42</f>
        <v>2.00833333333333</v>
      </c>
      <c r="O43" s="82" t="n">
        <f aca="false">'Plan-Annahmen'!$B$40</f>
        <v>25</v>
      </c>
      <c r="P43" s="80" t="n">
        <f aca="false">L43+M43+N43+O43</f>
        <v>45.5728860708333</v>
      </c>
      <c r="Q43" s="26" t="n">
        <f aca="false">IF(P43&gt;'Plan-Annahmen'!$B$39,1,0)</f>
        <v>0</v>
      </c>
      <c r="R43" s="26" t="n">
        <f aca="false">IF(P43&gt;'Plan-Annahmen'!$B$38,1,0)</f>
        <v>0</v>
      </c>
    </row>
    <row r="44" customFormat="false" ht="15" hidden="false" customHeight="false" outlineLevel="0" collapsed="false">
      <c r="A44" s="26" t="n">
        <v>8</v>
      </c>
      <c r="B44" s="78" t="n">
        <f aca="false">EDATE('Plan-Annahmen'!$B$8,A44-1)</f>
        <v>46478</v>
      </c>
      <c r="C44" s="40" t="n">
        <v>2</v>
      </c>
      <c r="D44" s="61" t="n">
        <f aca="false">IF(A44-'Plan-Annahmen'!$B$22&lt;1,0,INDEX($K$37:$K$60,A44-'Plan-Annahmen'!$B$22)*'Plan-Annahmen'!$B$16/12*'Plan-Annahmen'!$B$19*(1+'Plan-Annahmen'!$B$30*'Plan-Annahmen'!$B$31))</f>
        <v>0.0207083333333333</v>
      </c>
      <c r="E44" s="60" t="n">
        <f aca="false">C44+D44</f>
        <v>2.02070833333333</v>
      </c>
      <c r="F44" s="60" t="n">
        <f aca="false">MIN(E44,MAX(0,'Plan-Annahmen'!$B$49-H43))</f>
        <v>2.02070833333333</v>
      </c>
      <c r="G44" s="60" t="n">
        <f aca="false">E44-F44</f>
        <v>0</v>
      </c>
      <c r="H44" s="60" t="n">
        <f aca="false">H43+F44</f>
        <v>9.02904166666667</v>
      </c>
      <c r="I44" s="79" t="n">
        <f aca="false">I43*(1-'Plan-Annahmen'!$B$28)+F44</f>
        <v>8.79932315479167</v>
      </c>
      <c r="J44" s="79" t="n">
        <f aca="false">J43*(1-'Plan-Annahmen'!$B$25)+G44</f>
        <v>0</v>
      </c>
      <c r="K44" s="80" t="n">
        <f aca="false">I44+J44</f>
        <v>8.79932315479167</v>
      </c>
      <c r="L44" s="81" t="n">
        <v>20.5</v>
      </c>
      <c r="M44" s="82" t="n">
        <f aca="false">K44*'Plan-Annahmen'!$B$41</f>
        <v>2.6397969464375</v>
      </c>
      <c r="N44" s="82" t="n">
        <f aca="false">E44*'Plan-Annahmen'!$B$42</f>
        <v>2.02070833333333</v>
      </c>
      <c r="O44" s="82" t="n">
        <f aca="false">'Plan-Annahmen'!$B$40</f>
        <v>25</v>
      </c>
      <c r="P44" s="80" t="n">
        <f aca="false">L44+M44+N44+O44</f>
        <v>50.1605052797708</v>
      </c>
      <c r="Q44" s="26" t="n">
        <f aca="false">IF(P44&gt;'Plan-Annahmen'!$B$39,1,0)</f>
        <v>0</v>
      </c>
      <c r="R44" s="26" t="n">
        <f aca="false">IF(P44&gt;'Plan-Annahmen'!$B$38,1,0)</f>
        <v>0</v>
      </c>
    </row>
    <row r="45" customFormat="false" ht="15" hidden="false" customHeight="false" outlineLevel="0" collapsed="false">
      <c r="A45" s="26" t="n">
        <v>9</v>
      </c>
      <c r="B45" s="78" t="n">
        <f aca="false">EDATE('Plan-Annahmen'!$B$8,A45-1)</f>
        <v>46508</v>
      </c>
      <c r="C45" s="40" t="n">
        <v>1.25</v>
      </c>
      <c r="D45" s="61" t="n">
        <f aca="false">IF(A45-'Plan-Annahmen'!$B$22&lt;1,0,INDEX($K$37:$K$60,A45-'Plan-Annahmen'!$B$22)*'Plan-Annahmen'!$B$16/12*'Plan-Annahmen'!$B$19*(1+'Plan-Annahmen'!$B$30*'Plan-Annahmen'!$B$31))</f>
        <v>0.0412310416666667</v>
      </c>
      <c r="E45" s="60" t="n">
        <f aca="false">C45+D45</f>
        <v>1.29123104166667</v>
      </c>
      <c r="F45" s="60" t="n">
        <f aca="false">MIN(E45,MAX(0,'Plan-Annahmen'!$B$49-H44))</f>
        <v>1.29123104166667</v>
      </c>
      <c r="G45" s="60" t="n">
        <f aca="false">E45-F45</f>
        <v>0</v>
      </c>
      <c r="H45" s="60" t="n">
        <f aca="false">H44+F45</f>
        <v>10.3202727083333</v>
      </c>
      <c r="I45" s="79" t="n">
        <f aca="false">I44*(1-'Plan-Annahmen'!$B$28)+F45</f>
        <v>9.95856434913646</v>
      </c>
      <c r="J45" s="79" t="n">
        <f aca="false">J44*(1-'Plan-Annahmen'!$B$25)+G45</f>
        <v>0</v>
      </c>
      <c r="K45" s="80" t="n">
        <f aca="false">I45+J45</f>
        <v>9.95856434913646</v>
      </c>
      <c r="L45" s="81" t="n">
        <v>20.5</v>
      </c>
      <c r="M45" s="82" t="n">
        <f aca="false">K45*'Plan-Annahmen'!$B$41</f>
        <v>2.98756930474094</v>
      </c>
      <c r="N45" s="82" t="n">
        <f aca="false">E45*'Plan-Annahmen'!$B$42</f>
        <v>1.29123104166667</v>
      </c>
      <c r="O45" s="82" t="n">
        <f aca="false">'Plan-Annahmen'!$B$40</f>
        <v>25</v>
      </c>
      <c r="P45" s="80" t="n">
        <f aca="false">L45+M45+N45+O45</f>
        <v>49.7788003464076</v>
      </c>
      <c r="Q45" s="26" t="n">
        <f aca="false">IF(P45&gt;'Plan-Annahmen'!$B$39,1,0)</f>
        <v>0</v>
      </c>
      <c r="R45" s="26" t="n">
        <f aca="false">IF(P45&gt;'Plan-Annahmen'!$B$38,1,0)</f>
        <v>0</v>
      </c>
    </row>
    <row r="46" customFormat="false" ht="15" hidden="false" customHeight="false" outlineLevel="0" collapsed="false">
      <c r="A46" s="26" t="n">
        <v>10</v>
      </c>
      <c r="B46" s="78" t="n">
        <f aca="false">EDATE('Plan-Annahmen'!$B$8,A46-1)</f>
        <v>46539</v>
      </c>
      <c r="C46" s="40" t="n">
        <v>1.25</v>
      </c>
      <c r="D46" s="61" t="n">
        <f aca="false">IF(A46-'Plan-Annahmen'!$B$22&lt;1,0,INDEX($K$37:$K$60,A46-'Plan-Annahmen'!$B$22)*'Plan-Annahmen'!$B$16/12*'Plan-Annahmen'!$B$19*(1+'Plan-Annahmen'!$B$30*'Plan-Annahmen'!$B$31))</f>
        <v>0.0573486871527778</v>
      </c>
      <c r="E46" s="60" t="n">
        <f aca="false">C46+D46</f>
        <v>1.30734868715278</v>
      </c>
      <c r="F46" s="60" t="n">
        <f aca="false">MIN(E46,MAX(0,'Plan-Annahmen'!$B$49-H45))</f>
        <v>1.30734868715278</v>
      </c>
      <c r="G46" s="60" t="n">
        <f aca="false">E46-F46</f>
        <v>0</v>
      </c>
      <c r="H46" s="60" t="n">
        <f aca="false">H45+F46</f>
        <v>11.6276213954861</v>
      </c>
      <c r="I46" s="79" t="n">
        <f aca="false">I45*(1-'Plan-Annahmen'!$B$28)+F46</f>
        <v>11.1165345710522</v>
      </c>
      <c r="J46" s="79" t="n">
        <f aca="false">J45*(1-'Plan-Annahmen'!$B$25)+G46</f>
        <v>0</v>
      </c>
      <c r="K46" s="80" t="n">
        <f aca="false">I46+J46</f>
        <v>11.1165345710522</v>
      </c>
      <c r="L46" s="81" t="n">
        <v>19.5</v>
      </c>
      <c r="M46" s="82" t="n">
        <f aca="false">K46*'Plan-Annahmen'!$B$41</f>
        <v>3.33496037131566</v>
      </c>
      <c r="N46" s="82" t="n">
        <f aca="false">E46*'Plan-Annahmen'!$B$42</f>
        <v>1.30734868715278</v>
      </c>
      <c r="O46" s="82" t="n">
        <f aca="false">'Plan-Annahmen'!$B$40</f>
        <v>25</v>
      </c>
      <c r="P46" s="80" t="n">
        <f aca="false">L46+M46+N46+O46</f>
        <v>49.1423090584684</v>
      </c>
      <c r="Q46" s="26" t="n">
        <f aca="false">IF(P46&gt;'Plan-Annahmen'!$B$39,1,0)</f>
        <v>0</v>
      </c>
      <c r="R46" s="26" t="n">
        <f aca="false">IF(P46&gt;'Plan-Annahmen'!$B$38,1,0)</f>
        <v>0</v>
      </c>
    </row>
    <row r="47" customFormat="false" ht="15" hidden="false" customHeight="false" outlineLevel="0" collapsed="false">
      <c r="A47" s="26" t="n">
        <v>11</v>
      </c>
      <c r="B47" s="78" t="n">
        <f aca="false">EDATE('Plan-Annahmen'!$B$8,A47-1)</f>
        <v>46569</v>
      </c>
      <c r="C47" s="40" t="n">
        <v>2.25</v>
      </c>
      <c r="D47" s="61" t="n">
        <f aca="false">IF(A47-'Plan-Annahmen'!$B$22&lt;1,0,INDEX($K$37:$K$60,A47-'Plan-Annahmen'!$B$22)*'Plan-Annahmen'!$B$16/12*'Plan-Annahmen'!$B$19*(1+'Plan-Annahmen'!$B$30*'Plan-Annahmen'!$B$31))</f>
        <v>0.0733276929565972</v>
      </c>
      <c r="E47" s="60" t="n">
        <f aca="false">C47+D47</f>
        <v>2.3233276929566</v>
      </c>
      <c r="F47" s="60" t="n">
        <f aca="false">MIN(E47,MAX(0,'Plan-Annahmen'!$B$49-H46))</f>
        <v>2.3233276929566</v>
      </c>
      <c r="G47" s="60" t="n">
        <f aca="false">E47-F47</f>
        <v>0</v>
      </c>
      <c r="H47" s="60" t="n">
        <f aca="false">H46+F47</f>
        <v>13.9509490884427</v>
      </c>
      <c r="I47" s="79" t="n">
        <f aca="false">I46*(1-'Plan-Annahmen'!$B$28)+F47</f>
        <v>13.273114245443</v>
      </c>
      <c r="J47" s="79" t="n">
        <f aca="false">J46*(1-'Plan-Annahmen'!$B$25)+G47</f>
        <v>0</v>
      </c>
      <c r="K47" s="80" t="n">
        <f aca="false">I47+J47</f>
        <v>13.273114245443</v>
      </c>
      <c r="L47" s="81" t="n">
        <v>19.5</v>
      </c>
      <c r="M47" s="82" t="n">
        <f aca="false">K47*'Plan-Annahmen'!$B$41</f>
        <v>3.9819342736329</v>
      </c>
      <c r="N47" s="82" t="n">
        <f aca="false">E47*'Plan-Annahmen'!$B$42</f>
        <v>2.3233276929566</v>
      </c>
      <c r="O47" s="82" t="n">
        <f aca="false">'Plan-Annahmen'!$B$40</f>
        <v>25</v>
      </c>
      <c r="P47" s="80" t="n">
        <f aca="false">L47+M47+N47+O47</f>
        <v>50.8052619665895</v>
      </c>
      <c r="Q47" s="26" t="n">
        <f aca="false">IF(P47&gt;'Plan-Annahmen'!$B$39,1,0)</f>
        <v>0</v>
      </c>
      <c r="R47" s="26" t="n">
        <f aca="false">IF(P47&gt;'Plan-Annahmen'!$B$38,1,0)</f>
        <v>0</v>
      </c>
    </row>
    <row r="48" customFormat="false" ht="15" hidden="false" customHeight="false" outlineLevel="0" collapsed="false">
      <c r="A48" s="26" t="n">
        <v>12</v>
      </c>
      <c r="B48" s="78" t="n">
        <f aca="false">EDATE('Plan-Annahmen'!$B$8,A48-1)</f>
        <v>46600</v>
      </c>
      <c r="C48" s="40" t="n">
        <v>2</v>
      </c>
      <c r="D48" s="61" t="n">
        <f aca="false">IF(A48-'Plan-Annahmen'!$B$22&lt;1,0,INDEX($K$37:$K$60,A48-'Plan-Annahmen'!$B$22)*'Plan-Annahmen'!$B$16/12*'Plan-Annahmen'!$B$19*(1+'Plan-Annahmen'!$B$30*'Plan-Annahmen'!$B$31))</f>
        <v>0.0829880362428038</v>
      </c>
      <c r="E48" s="60" t="n">
        <f aca="false">C48+D48</f>
        <v>2.0829880362428</v>
      </c>
      <c r="F48" s="60" t="n">
        <f aca="false">MIN(E48,MAX(0,'Plan-Annahmen'!$B$49-H47))</f>
        <v>2.0829880362428</v>
      </c>
      <c r="G48" s="60" t="n">
        <f aca="false">E48-F48</f>
        <v>0</v>
      </c>
      <c r="H48" s="60" t="n">
        <f aca="false">H47+F48</f>
        <v>16.0339371246855</v>
      </c>
      <c r="I48" s="79" t="n">
        <f aca="false">I47*(1-'Plan-Annahmen'!$B$28)+F48</f>
        <v>15.1570055680042</v>
      </c>
      <c r="J48" s="79" t="n">
        <f aca="false">J47*(1-'Plan-Annahmen'!$B$25)+G48</f>
        <v>0</v>
      </c>
      <c r="K48" s="80" t="n">
        <f aca="false">I48+J48</f>
        <v>15.1570055680042</v>
      </c>
      <c r="L48" s="81" t="n">
        <v>19.5</v>
      </c>
      <c r="M48" s="82" t="n">
        <f aca="false">K48*'Plan-Annahmen'!$B$41</f>
        <v>4.54710167040125</v>
      </c>
      <c r="N48" s="82" t="n">
        <f aca="false">E48*'Plan-Annahmen'!$B$42</f>
        <v>2.0829880362428</v>
      </c>
      <c r="O48" s="82" t="n">
        <f aca="false">'Plan-Annahmen'!$B$40</f>
        <v>25</v>
      </c>
      <c r="P48" s="80" t="n">
        <f aca="false">L48+M48+N48+O48</f>
        <v>51.1300897066441</v>
      </c>
      <c r="Q48" s="26" t="n">
        <f aca="false">IF(P48&gt;'Plan-Annahmen'!$B$39,1,0)</f>
        <v>0</v>
      </c>
      <c r="R48" s="26" t="n">
        <f aca="false">IF(P48&gt;'Plan-Annahmen'!$B$38,1,0)</f>
        <v>0</v>
      </c>
    </row>
    <row r="49" customFormat="false" ht="15" hidden="false" customHeight="false" outlineLevel="0" collapsed="false">
      <c r="A49" s="26" t="n">
        <v>13</v>
      </c>
      <c r="B49" s="78" t="n">
        <f aca="false">EDATE('Plan-Annahmen'!$B$8,A49-1)</f>
        <v>46631</v>
      </c>
      <c r="C49" s="40" t="n">
        <v>2</v>
      </c>
      <c r="D49" s="61" t="n">
        <f aca="false">IF(A49-'Plan-Annahmen'!$B$22&lt;1,0,INDEX($K$37:$K$60,A49-'Plan-Annahmen'!$B$22)*'Plan-Annahmen'!$B$16/12*'Plan-Annahmen'!$B$19*(1+'Plan-Annahmen'!$B$30*'Plan-Annahmen'!$B$31))</f>
        <v>0.0926377880921016</v>
      </c>
      <c r="E49" s="60" t="n">
        <f aca="false">C49+D49</f>
        <v>2.0926377880921</v>
      </c>
      <c r="F49" s="60" t="n">
        <f aca="false">MIN(E49,MAX(0,'Plan-Annahmen'!$B$49-H48))</f>
        <v>2.0926377880921</v>
      </c>
      <c r="G49" s="60" t="n">
        <f aca="false">E49-F49</f>
        <v>0</v>
      </c>
      <c r="H49" s="60" t="n">
        <f aca="false">H48+F49</f>
        <v>18.1265749127776</v>
      </c>
      <c r="I49" s="79" t="n">
        <f aca="false">I48*(1-'Plan-Annahmen'!$B$28)+F49</f>
        <v>17.0222882725762</v>
      </c>
      <c r="J49" s="79" t="n">
        <f aca="false">J48*(1-'Plan-Annahmen'!$B$25)+G49</f>
        <v>0</v>
      </c>
      <c r="K49" s="80" t="n">
        <f aca="false">I49+J49</f>
        <v>17.0222882725762</v>
      </c>
      <c r="L49" s="81" t="n">
        <v>19.5</v>
      </c>
      <c r="M49" s="82" t="n">
        <f aca="false">K49*'Plan-Annahmen'!$B$41</f>
        <v>5.10668648177286</v>
      </c>
      <c r="N49" s="82" t="n">
        <f aca="false">E49*'Plan-Annahmen'!$B$42</f>
        <v>2.0926377880921</v>
      </c>
      <c r="O49" s="82" t="n">
        <f aca="false">'Plan-Annahmen'!$B$40</f>
        <v>25</v>
      </c>
      <c r="P49" s="80" t="n">
        <f aca="false">L49+M49+N49+O49</f>
        <v>51.699324269865</v>
      </c>
      <c r="Q49" s="26" t="n">
        <f aca="false">IF(P49&gt;'Plan-Annahmen'!$B$39,1,0)</f>
        <v>0</v>
      </c>
      <c r="R49" s="26" t="n">
        <f aca="false">IF(P49&gt;'Plan-Annahmen'!$B$38,1,0)</f>
        <v>0</v>
      </c>
    </row>
    <row r="50" customFormat="false" ht="15" hidden="false" customHeight="false" outlineLevel="0" collapsed="false">
      <c r="A50" s="26" t="n">
        <v>14</v>
      </c>
      <c r="B50" s="78" t="n">
        <f aca="false">EDATE('Plan-Annahmen'!$B$8,A50-1)</f>
        <v>46661</v>
      </c>
      <c r="C50" s="40" t="n">
        <v>2.5</v>
      </c>
      <c r="D50" s="61" t="n">
        <f aca="false">IF(A50-'Plan-Annahmen'!$B$22&lt;1,0,INDEX($K$37:$K$60,A50-'Plan-Annahmen'!$B$22)*'Plan-Annahmen'!$B$16/12*'Plan-Annahmen'!$B$19*(1+'Plan-Annahmen'!$B$30*'Plan-Annahmen'!$B$31))</f>
        <v>0.110609285378692</v>
      </c>
      <c r="E50" s="60" t="n">
        <f aca="false">C50+D50</f>
        <v>2.61060928537869</v>
      </c>
      <c r="F50" s="60" t="n">
        <f aca="false">MIN(E50,MAX(0,'Plan-Annahmen'!$B$49-H49))</f>
        <v>2.61060928537869</v>
      </c>
      <c r="G50" s="60" t="n">
        <f aca="false">E50-F50</f>
        <v>0</v>
      </c>
      <c r="H50" s="60" t="n">
        <f aca="false">H49+F50</f>
        <v>20.7371841981563</v>
      </c>
      <c r="I50" s="79" t="n">
        <f aca="false">I49*(1-'Plan-Annahmen'!$B$28)+F50</f>
        <v>19.3775632338662</v>
      </c>
      <c r="J50" s="79" t="n">
        <f aca="false">J49*(1-'Plan-Annahmen'!$B$25)+G50</f>
        <v>0</v>
      </c>
      <c r="K50" s="80" t="n">
        <f aca="false">I50+J50</f>
        <v>19.3775632338662</v>
      </c>
      <c r="L50" s="81" t="n">
        <v>19.5</v>
      </c>
      <c r="M50" s="82" t="n">
        <f aca="false">K50*'Plan-Annahmen'!$B$41</f>
        <v>5.81326897015987</v>
      </c>
      <c r="N50" s="82" t="n">
        <f aca="false">E50*'Plan-Annahmen'!$B$42</f>
        <v>2.61060928537869</v>
      </c>
      <c r="O50" s="82" t="n">
        <f aca="false">'Plan-Annahmen'!$B$40</f>
        <v>25</v>
      </c>
      <c r="P50" s="80" t="n">
        <f aca="false">L50+M50+N50+O50</f>
        <v>52.9238782555386</v>
      </c>
      <c r="Q50" s="26" t="n">
        <f aca="false">IF(P50&gt;'Plan-Annahmen'!$B$39,1,0)</f>
        <v>0</v>
      </c>
      <c r="R50" s="26" t="n">
        <f aca="false">IF(P50&gt;'Plan-Annahmen'!$B$38,1,0)</f>
        <v>0</v>
      </c>
    </row>
    <row r="51" customFormat="false" ht="15" hidden="false" customHeight="false" outlineLevel="0" collapsed="false">
      <c r="A51" s="26" t="n">
        <v>15</v>
      </c>
      <c r="B51" s="78" t="n">
        <f aca="false">EDATE('Plan-Annahmen'!$B$8,A51-1)</f>
        <v>46692</v>
      </c>
      <c r="C51" s="40" t="n">
        <v>2</v>
      </c>
      <c r="D51" s="61" t="n">
        <f aca="false">IF(A51-'Plan-Annahmen'!$B$22&lt;1,0,INDEX($K$37:$K$60,A51-'Plan-Annahmen'!$B$22)*'Plan-Annahmen'!$B$16/12*'Plan-Annahmen'!$B$19*(1+'Plan-Annahmen'!$B$30*'Plan-Annahmen'!$B$31))</f>
        <v>0.126308379733368</v>
      </c>
      <c r="E51" s="60" t="n">
        <f aca="false">C51+D51</f>
        <v>2.12630837973337</v>
      </c>
      <c r="F51" s="60" t="n">
        <f aca="false">MIN(E51,MAX(0,'Plan-Annahmen'!$B$49-H50))</f>
        <v>2.12630837973337</v>
      </c>
      <c r="G51" s="60" t="n">
        <f aca="false">E51-F51</f>
        <v>0</v>
      </c>
      <c r="H51" s="60" t="n">
        <f aca="false">H50+F51</f>
        <v>22.8634925778897</v>
      </c>
      <c r="I51" s="79" t="n">
        <f aca="false">I50*(1-'Plan-Annahmen'!$B$28)+F51</f>
        <v>21.2132081650916</v>
      </c>
      <c r="J51" s="79" t="n">
        <f aca="false">J50*(1-'Plan-Annahmen'!$B$25)+G51</f>
        <v>0</v>
      </c>
      <c r="K51" s="80" t="n">
        <f aca="false">I51+J51</f>
        <v>21.2132081650916</v>
      </c>
      <c r="L51" s="81" t="n">
        <v>19.5</v>
      </c>
      <c r="M51" s="82" t="n">
        <f aca="false">K51*'Plan-Annahmen'!$B$41</f>
        <v>6.36396244952749</v>
      </c>
      <c r="N51" s="82" t="n">
        <f aca="false">E51*'Plan-Annahmen'!$B$42</f>
        <v>2.12630837973337</v>
      </c>
      <c r="O51" s="82" t="n">
        <f aca="false">'Plan-Annahmen'!$B$40</f>
        <v>25</v>
      </c>
      <c r="P51" s="80" t="n">
        <f aca="false">L51+M51+N51+O51</f>
        <v>52.9902708292609</v>
      </c>
      <c r="Q51" s="26" t="n">
        <f aca="false">IF(P51&gt;'Plan-Annahmen'!$B$39,1,0)</f>
        <v>0</v>
      </c>
      <c r="R51" s="26" t="n">
        <f aca="false">IF(P51&gt;'Plan-Annahmen'!$B$38,1,0)</f>
        <v>0</v>
      </c>
    </row>
    <row r="52" customFormat="false" ht="15" hidden="false" customHeight="false" outlineLevel="0" collapsed="false">
      <c r="A52" s="26" t="n">
        <v>16</v>
      </c>
      <c r="B52" s="78" t="n">
        <f aca="false">EDATE('Plan-Annahmen'!$B$8,A52-1)</f>
        <v>46722</v>
      </c>
      <c r="C52" s="40" t="n">
        <v>2.25</v>
      </c>
      <c r="D52" s="61" t="n">
        <f aca="false">IF(A52-'Plan-Annahmen'!$B$22&lt;1,0,INDEX($K$37:$K$60,A52-'Plan-Annahmen'!$B$22)*'Plan-Annahmen'!$B$16/12*'Plan-Annahmen'!$B$19*(1+'Plan-Annahmen'!$B$30*'Plan-Annahmen'!$B$31))</f>
        <v>0.141852402271468</v>
      </c>
      <c r="E52" s="60" t="n">
        <f aca="false">C52+D52</f>
        <v>2.39185240227147</v>
      </c>
      <c r="F52" s="60" t="n">
        <f aca="false">MIN(E52,MAX(0,'Plan-Annahmen'!$B$49-H51))</f>
        <v>2.13650742211033</v>
      </c>
      <c r="G52" s="60" t="n">
        <f aca="false">E52-F52</f>
        <v>0.255344980161141</v>
      </c>
      <c r="H52" s="60" t="n">
        <f aca="false">H51+F52</f>
        <v>25</v>
      </c>
      <c r="I52" s="79" t="n">
        <f aca="false">I51*(1-'Plan-Annahmen'!$B$28)+F52</f>
        <v>23.0315174647256</v>
      </c>
      <c r="J52" s="79" t="n">
        <f aca="false">J51*(1-'Plan-Annahmen'!$B$25)+G52</f>
        <v>0.255344980161141</v>
      </c>
      <c r="K52" s="80" t="n">
        <f aca="false">I52+J52</f>
        <v>23.2868624448867</v>
      </c>
      <c r="L52" s="81" t="n">
        <v>19.5</v>
      </c>
      <c r="M52" s="82" t="n">
        <f aca="false">K52*'Plan-Annahmen'!$B$41</f>
        <v>6.98605873346601</v>
      </c>
      <c r="N52" s="82" t="n">
        <f aca="false">E52*'Plan-Annahmen'!$B$42</f>
        <v>2.39185240227147</v>
      </c>
      <c r="O52" s="82" t="n">
        <f aca="false">'Plan-Annahmen'!$B$40</f>
        <v>25</v>
      </c>
      <c r="P52" s="80" t="n">
        <f aca="false">L52+M52+N52+O52</f>
        <v>53.8779111357375</v>
      </c>
      <c r="Q52" s="26" t="n">
        <f aca="false">IF(P52&gt;'Plan-Annahmen'!$B$39,1,0)</f>
        <v>0</v>
      </c>
      <c r="R52" s="26" t="n">
        <f aca="false">IF(P52&gt;'Plan-Annahmen'!$B$38,1,0)</f>
        <v>0</v>
      </c>
    </row>
    <row r="53" customFormat="false" ht="15" hidden="false" customHeight="false" outlineLevel="0" collapsed="false">
      <c r="A53" s="26" t="n">
        <v>17</v>
      </c>
      <c r="B53" s="78" t="n">
        <f aca="false">EDATE('Plan-Annahmen'!$B$8,A53-1)</f>
        <v>46753</v>
      </c>
      <c r="C53" s="40" t="n">
        <v>3.25</v>
      </c>
      <c r="D53" s="61" t="n">
        <f aca="false">IF(A53-'Plan-Annahmen'!$B$22&lt;1,0,INDEX($K$37:$K$60,A53-'Plan-Annahmen'!$B$22)*'Plan-Annahmen'!$B$16/12*'Plan-Annahmen'!$B$19*(1+'Plan-Annahmen'!$B$30*'Plan-Annahmen'!$B$31))</f>
        <v>0.161479693615552</v>
      </c>
      <c r="E53" s="60" t="n">
        <f aca="false">C53+D53</f>
        <v>3.41147969361555</v>
      </c>
      <c r="F53" s="60" t="n">
        <f aca="false">MIN(E53,MAX(0,'Plan-Annahmen'!$B$49-H52))</f>
        <v>0</v>
      </c>
      <c r="G53" s="60" t="n">
        <f aca="false">E53-F53</f>
        <v>3.41147969361555</v>
      </c>
      <c r="H53" s="60" t="n">
        <f aca="false">H52+F53</f>
        <v>25</v>
      </c>
      <c r="I53" s="79" t="n">
        <f aca="false">I52*(1-'Plan-Annahmen'!$B$28)+F53</f>
        <v>22.6860447027547</v>
      </c>
      <c r="J53" s="79" t="n">
        <f aca="false">J52*(1-'Plan-Annahmen'!$B$25)+G53</f>
        <v>3.65661087457025</v>
      </c>
      <c r="K53" s="80" t="n">
        <f aca="false">I53+J53</f>
        <v>26.3426555773249</v>
      </c>
      <c r="L53" s="81" t="n">
        <v>19.5</v>
      </c>
      <c r="M53" s="82" t="n">
        <f aca="false">K53*'Plan-Annahmen'!$B$41</f>
        <v>7.90279667319748</v>
      </c>
      <c r="N53" s="82" t="n">
        <f aca="false">E53*'Plan-Annahmen'!$B$42</f>
        <v>3.41147969361555</v>
      </c>
      <c r="O53" s="82" t="n">
        <f aca="false">'Plan-Annahmen'!$B$40</f>
        <v>25</v>
      </c>
      <c r="P53" s="80" t="n">
        <f aca="false">L53+M53+N53+O53</f>
        <v>55.814276366813</v>
      </c>
      <c r="Q53" s="26" t="n">
        <f aca="false">IF(P53&gt;'Plan-Annahmen'!$B$39,1,0)</f>
        <v>0</v>
      </c>
      <c r="R53" s="26" t="n">
        <f aca="false">IF(P53&gt;'Plan-Annahmen'!$B$38,1,0)</f>
        <v>0</v>
      </c>
    </row>
    <row r="54" customFormat="false" ht="15" hidden="false" customHeight="false" outlineLevel="0" collapsed="false">
      <c r="A54" s="26" t="n">
        <v>18</v>
      </c>
      <c r="B54" s="78" t="n">
        <f aca="false">EDATE('Plan-Annahmen'!$B$8,A54-1)</f>
        <v>46784</v>
      </c>
      <c r="C54" s="40" t="n">
        <v>2.75</v>
      </c>
      <c r="D54" s="61" t="n">
        <f aca="false">IF(A54-'Plan-Annahmen'!$B$22&lt;1,0,INDEX($K$37:$K$60,A54-'Plan-Annahmen'!$B$22)*'Plan-Annahmen'!$B$16/12*'Plan-Annahmen'!$B$19*(1+'Plan-Annahmen'!$B$30*'Plan-Annahmen'!$B$31))</f>
        <v>0.176776734709097</v>
      </c>
      <c r="E54" s="60" t="n">
        <f aca="false">C54+D54</f>
        <v>2.9267767347091</v>
      </c>
      <c r="F54" s="60" t="n">
        <f aca="false">MIN(E54,MAX(0,'Plan-Annahmen'!$B$49-H53))</f>
        <v>0</v>
      </c>
      <c r="G54" s="60" t="n">
        <f aca="false">E54-F54</f>
        <v>2.9267767347091</v>
      </c>
      <c r="H54" s="60" t="n">
        <f aca="false">H53+F54</f>
        <v>25</v>
      </c>
      <c r="I54" s="79" t="n">
        <f aca="false">I53*(1-'Plan-Annahmen'!$B$28)+F54</f>
        <v>22.3457540322134</v>
      </c>
      <c r="J54" s="79" t="n">
        <f aca="false">J53*(1-'Plan-Annahmen'!$B$25)+G54</f>
        <v>6.43712317429653</v>
      </c>
      <c r="K54" s="80" t="n">
        <f aca="false">I54+J54</f>
        <v>28.7828772065099</v>
      </c>
      <c r="L54" s="81" t="n">
        <v>19.5</v>
      </c>
      <c r="M54" s="82" t="n">
        <f aca="false">K54*'Plan-Annahmen'!$B$41</f>
        <v>8.63486316195297</v>
      </c>
      <c r="N54" s="82" t="n">
        <f aca="false">E54*'Plan-Annahmen'!$B$42</f>
        <v>2.9267767347091</v>
      </c>
      <c r="O54" s="82" t="n">
        <f aca="false">'Plan-Annahmen'!$B$40</f>
        <v>25</v>
      </c>
      <c r="P54" s="80" t="n">
        <f aca="false">L54+M54+N54+O54</f>
        <v>56.0616398966621</v>
      </c>
      <c r="Q54" s="26" t="n">
        <f aca="false">IF(P54&gt;'Plan-Annahmen'!$B$39,1,0)</f>
        <v>0</v>
      </c>
      <c r="R54" s="26" t="n">
        <f aca="false">IF(P54&gt;'Plan-Annahmen'!$B$38,1,0)</f>
        <v>0</v>
      </c>
    </row>
    <row r="55" customFormat="false" ht="15" hidden="false" customHeight="false" outlineLevel="0" collapsed="false">
      <c r="A55" s="26" t="n">
        <v>19</v>
      </c>
      <c r="B55" s="78" t="n">
        <f aca="false">EDATE('Plan-Annahmen'!$B$8,A55-1)</f>
        <v>46813</v>
      </c>
      <c r="C55" s="40" t="n">
        <v>3.25</v>
      </c>
      <c r="D55" s="61" t="n">
        <f aca="false">IF(A55-'Plan-Annahmen'!$B$22&lt;1,0,INDEX($K$37:$K$60,A55-'Plan-Annahmen'!$B$22)*'Plan-Annahmen'!$B$16/12*'Plan-Annahmen'!$B$19*(1+'Plan-Annahmen'!$B$30*'Plan-Annahmen'!$B$31))</f>
        <v>0.194057187040723</v>
      </c>
      <c r="E55" s="60" t="n">
        <f aca="false">C55+D55</f>
        <v>3.44405718704072</v>
      </c>
      <c r="F55" s="60" t="n">
        <f aca="false">MIN(E55,MAX(0,'Plan-Annahmen'!$B$49-H54))</f>
        <v>0</v>
      </c>
      <c r="G55" s="60" t="n">
        <f aca="false">E55-F55</f>
        <v>3.44405718704072</v>
      </c>
      <c r="H55" s="60" t="n">
        <f aca="false">H54+F55</f>
        <v>25</v>
      </c>
      <c r="I55" s="79" t="n">
        <f aca="false">I54*(1-'Plan-Annahmen'!$B$28)+F55</f>
        <v>22.0105677217302</v>
      </c>
      <c r="J55" s="79" t="n">
        <f aca="false">J54*(1-'Plan-Annahmen'!$B$25)+G55</f>
        <v>9.6236954343654</v>
      </c>
      <c r="K55" s="80" t="n">
        <f aca="false">I55+J55</f>
        <v>31.6342631560956</v>
      </c>
      <c r="L55" s="81" t="n">
        <v>19.5</v>
      </c>
      <c r="M55" s="82" t="n">
        <f aca="false">K55*'Plan-Annahmen'!$B$41</f>
        <v>9.49027894682867</v>
      </c>
      <c r="N55" s="82" t="n">
        <f aca="false">E55*'Plan-Annahmen'!$B$42</f>
        <v>3.44405718704072</v>
      </c>
      <c r="O55" s="82" t="n">
        <f aca="false">'Plan-Annahmen'!$B$40</f>
        <v>25</v>
      </c>
      <c r="P55" s="80" t="n">
        <f aca="false">L55+M55+N55+O55</f>
        <v>57.4343361338694</v>
      </c>
      <c r="Q55" s="26" t="n">
        <f aca="false">IF(P55&gt;'Plan-Annahmen'!$B$39,1,0)</f>
        <v>0</v>
      </c>
      <c r="R55" s="26" t="n">
        <f aca="false">IF(P55&gt;'Plan-Annahmen'!$B$38,1,0)</f>
        <v>0</v>
      </c>
    </row>
    <row r="56" customFormat="false" ht="15" hidden="false" customHeight="false" outlineLevel="0" collapsed="false">
      <c r="A56" s="26" t="n">
        <v>20</v>
      </c>
      <c r="B56" s="78" t="n">
        <f aca="false">EDATE('Plan-Annahmen'!$B$8,A56-1)</f>
        <v>46844</v>
      </c>
      <c r="C56" s="40" t="n">
        <v>4</v>
      </c>
      <c r="D56" s="61" t="n">
        <f aca="false">IF(A56-'Plan-Annahmen'!$B$22&lt;1,0,INDEX($K$37:$K$60,A56-'Plan-Annahmen'!$B$22)*'Plan-Annahmen'!$B$16/12*'Plan-Annahmen'!$B$19*(1+'Plan-Annahmen'!$B$30*'Plan-Annahmen'!$B$31))</f>
        <v>0.219522129811041</v>
      </c>
      <c r="E56" s="60" t="n">
        <f aca="false">C56+D56</f>
        <v>4.21952212981104</v>
      </c>
      <c r="F56" s="60" t="n">
        <f aca="false">MIN(E56,MAX(0,'Plan-Annahmen'!$B$49-H55))</f>
        <v>0</v>
      </c>
      <c r="G56" s="60" t="n">
        <f aca="false">E56-F56</f>
        <v>4.21952212981104</v>
      </c>
      <c r="H56" s="60" t="n">
        <f aca="false">H55+F56</f>
        <v>25</v>
      </c>
      <c r="I56" s="79" t="n">
        <f aca="false">I55*(1-'Plan-Annahmen'!$B$28)+F56</f>
        <v>21.6804092059042</v>
      </c>
      <c r="J56" s="79" t="n">
        <f aca="false">J55*(1-'Plan-Annahmen'!$B$25)+G56</f>
        <v>13.4582697468018</v>
      </c>
      <c r="K56" s="80" t="n">
        <f aca="false">I56+J56</f>
        <v>35.138678952706</v>
      </c>
      <c r="L56" s="81" t="n">
        <v>19.5</v>
      </c>
      <c r="M56" s="82" t="n">
        <f aca="false">K56*'Plan-Annahmen'!$B$41</f>
        <v>10.5416036858118</v>
      </c>
      <c r="N56" s="82" t="n">
        <f aca="false">E56*'Plan-Annahmen'!$B$42</f>
        <v>4.21952212981104</v>
      </c>
      <c r="O56" s="82" t="n">
        <f aca="false">'Plan-Annahmen'!$B$40</f>
        <v>25</v>
      </c>
      <c r="P56" s="80" t="n">
        <f aca="false">L56+M56+N56+O56</f>
        <v>59.2611258156229</v>
      </c>
      <c r="Q56" s="26" t="n">
        <f aca="false">IF(P56&gt;'Plan-Annahmen'!$B$39,1,0)</f>
        <v>0</v>
      </c>
      <c r="R56" s="26" t="n">
        <f aca="false">IF(P56&gt;'Plan-Annahmen'!$B$38,1,0)</f>
        <v>0</v>
      </c>
    </row>
    <row r="57" customFormat="false" ht="15" hidden="false" customHeight="false" outlineLevel="0" collapsed="false">
      <c r="A57" s="26" t="n">
        <v>21</v>
      </c>
      <c r="B57" s="78" t="n">
        <f aca="false">EDATE('Plan-Annahmen'!$B$8,A57-1)</f>
        <v>46874</v>
      </c>
      <c r="C57" s="40" t="n">
        <v>3.5</v>
      </c>
      <c r="D57" s="61" t="n">
        <f aca="false">IF(A57-'Plan-Annahmen'!$B$22&lt;1,0,INDEX($K$37:$K$60,A57-'Plan-Annahmen'!$B$22)*'Plan-Annahmen'!$B$16/12*'Plan-Annahmen'!$B$19*(1+'Plan-Annahmen'!$B$30*'Plan-Annahmen'!$B$31))</f>
        <v>0.239857310054249</v>
      </c>
      <c r="E57" s="60" t="n">
        <f aca="false">C57+D57</f>
        <v>3.73985731005425</v>
      </c>
      <c r="F57" s="60" t="n">
        <f aca="false">MIN(E57,MAX(0,'Plan-Annahmen'!$B$49-H56))</f>
        <v>0</v>
      </c>
      <c r="G57" s="60" t="n">
        <f aca="false">E57-F57</f>
        <v>3.73985731005425</v>
      </c>
      <c r="H57" s="60" t="n">
        <f aca="false">H56+F57</f>
        <v>25</v>
      </c>
      <c r="I57" s="79" t="n">
        <f aca="false">I56*(1-'Plan-Annahmen'!$B$28)+F57</f>
        <v>21.3552030678156</v>
      </c>
      <c r="J57" s="79" t="n">
        <f aca="false">J56*(1-'Plan-Annahmen'!$B$25)+G57</f>
        <v>16.659796266984</v>
      </c>
      <c r="K57" s="80" t="n">
        <f aca="false">I57+J57</f>
        <v>38.0149993347996</v>
      </c>
      <c r="L57" s="81" t="n">
        <v>19.5</v>
      </c>
      <c r="M57" s="82" t="n">
        <f aca="false">K57*'Plan-Annahmen'!$B$41</f>
        <v>11.4044998004399</v>
      </c>
      <c r="N57" s="82" t="n">
        <f aca="false">E57*'Plan-Annahmen'!$B$42</f>
        <v>3.73985731005425</v>
      </c>
      <c r="O57" s="82" t="n">
        <f aca="false">'Plan-Annahmen'!$B$40</f>
        <v>25</v>
      </c>
      <c r="P57" s="80" t="n">
        <f aca="false">L57+M57+N57+O57</f>
        <v>59.6443571104941</v>
      </c>
      <c r="Q57" s="26" t="n">
        <f aca="false">IF(P57&gt;'Plan-Annahmen'!$B$39,1,0)</f>
        <v>0</v>
      </c>
      <c r="R57" s="26" t="n">
        <f aca="false">IF(P57&gt;'Plan-Annahmen'!$B$38,1,0)</f>
        <v>0</v>
      </c>
    </row>
    <row r="58" customFormat="false" ht="15" hidden="false" customHeight="false" outlineLevel="0" collapsed="false">
      <c r="A58" s="26" t="n">
        <v>22</v>
      </c>
      <c r="B58" s="78" t="n">
        <f aca="false">EDATE('Plan-Annahmen'!$B$8,A58-1)</f>
        <v>46905</v>
      </c>
      <c r="C58" s="40" t="n">
        <v>3.5</v>
      </c>
      <c r="D58" s="61" t="n">
        <f aca="false">IF(A58-'Plan-Annahmen'!$B$22&lt;1,0,INDEX($K$37:$K$60,A58-'Plan-Annahmen'!$B$22)*'Plan-Annahmen'!$B$16/12*'Plan-Annahmen'!$B$19*(1+'Plan-Annahmen'!$B$30*'Plan-Annahmen'!$B$31))</f>
        <v>0.26361885963413</v>
      </c>
      <c r="E58" s="60" t="n">
        <f aca="false">C58+D58</f>
        <v>3.76361885963413</v>
      </c>
      <c r="F58" s="60" t="n">
        <f aca="false">MIN(E58,MAX(0,'Plan-Annahmen'!$B$49-H57))</f>
        <v>0</v>
      </c>
      <c r="G58" s="60" t="n">
        <f aca="false">E58-F58</f>
        <v>3.76361885963413</v>
      </c>
      <c r="H58" s="60" t="n">
        <f aca="false">H57+F58</f>
        <v>25</v>
      </c>
      <c r="I58" s="79" t="n">
        <f aca="false">I57*(1-'Plan-Annahmen'!$B$28)+F58</f>
        <v>21.0348750217984</v>
      </c>
      <c r="J58" s="79" t="n">
        <f aca="false">J57*(1-'Plan-Annahmen'!$B$25)+G58</f>
        <v>19.7570232759388</v>
      </c>
      <c r="K58" s="80" t="n">
        <f aca="false">I58+J58</f>
        <v>40.7918982977372</v>
      </c>
      <c r="L58" s="81" t="n">
        <v>19.5</v>
      </c>
      <c r="M58" s="82" t="n">
        <f aca="false">K58*'Plan-Annahmen'!$B$41</f>
        <v>12.2375694893212</v>
      </c>
      <c r="N58" s="82" t="n">
        <f aca="false">E58*'Plan-Annahmen'!$B$42</f>
        <v>3.76361885963413</v>
      </c>
      <c r="O58" s="82" t="n">
        <f aca="false">'Plan-Annahmen'!$B$40</f>
        <v>25</v>
      </c>
      <c r="P58" s="80" t="n">
        <f aca="false">L58+M58+N58+O58</f>
        <v>60.5011883489553</v>
      </c>
      <c r="Q58" s="26" t="n">
        <f aca="false">IF(P58&gt;'Plan-Annahmen'!$B$39,1,0)</f>
        <v>0</v>
      </c>
      <c r="R58" s="26" t="n">
        <f aca="false">IF(P58&gt;'Plan-Annahmen'!$B$38,1,0)</f>
        <v>0</v>
      </c>
    </row>
    <row r="59" customFormat="false" ht="15" hidden="false" customHeight="false" outlineLevel="0" collapsed="false">
      <c r="A59" s="26" t="n">
        <v>23</v>
      </c>
      <c r="B59" s="78" t="n">
        <f aca="false">EDATE('Plan-Annahmen'!$B$8,A59-1)</f>
        <v>46935</v>
      </c>
      <c r="C59" s="40" t="n">
        <v>4</v>
      </c>
      <c r="D59" s="61" t="n">
        <f aca="false">IF(A59-'Plan-Annahmen'!$B$22&lt;1,0,INDEX($K$37:$K$60,A59-'Plan-Annahmen'!$B$22)*'Plan-Annahmen'!$B$16/12*'Plan-Annahmen'!$B$19*(1+'Plan-Annahmen'!$B$30*'Plan-Annahmen'!$B$31))</f>
        <v>0.292822324605884</v>
      </c>
      <c r="E59" s="60" t="n">
        <f aca="false">C59+D59</f>
        <v>4.29282232460588</v>
      </c>
      <c r="F59" s="60" t="n">
        <f aca="false">MIN(E59,MAX(0,'Plan-Annahmen'!$B$49-H58))</f>
        <v>0</v>
      </c>
      <c r="G59" s="60" t="n">
        <f aca="false">E59-F59</f>
        <v>4.29282232460588</v>
      </c>
      <c r="H59" s="60" t="n">
        <f aca="false">H58+F59</f>
        <v>25</v>
      </c>
      <c r="I59" s="79" t="n">
        <f aca="false">I58*(1-'Plan-Annahmen'!$B$28)+F59</f>
        <v>20.7193518964714</v>
      </c>
      <c r="J59" s="79" t="n">
        <f aca="false">J58*(1-'Plan-Annahmen'!$B$25)+G59</f>
        <v>23.2595646695071</v>
      </c>
      <c r="K59" s="80" t="n">
        <f aca="false">I59+J59</f>
        <v>43.9789165659785</v>
      </c>
      <c r="L59" s="81" t="n">
        <v>19.5</v>
      </c>
      <c r="M59" s="82" t="n">
        <f aca="false">K59*'Plan-Annahmen'!$B$41</f>
        <v>13.1936749697936</v>
      </c>
      <c r="N59" s="82" t="n">
        <f aca="false">E59*'Plan-Annahmen'!$B$42</f>
        <v>4.29282232460588</v>
      </c>
      <c r="O59" s="82" t="n">
        <f aca="false">'Plan-Annahmen'!$B$40</f>
        <v>25</v>
      </c>
      <c r="P59" s="80" t="n">
        <f aca="false">L59+M59+N59+O59</f>
        <v>61.9864972943995</v>
      </c>
      <c r="Q59" s="26" t="n">
        <f aca="false">IF(P59&gt;'Plan-Annahmen'!$B$39,1,0)</f>
        <v>0</v>
      </c>
      <c r="R59" s="26" t="n">
        <f aca="false">IF(P59&gt;'Plan-Annahmen'!$B$38,1,0)</f>
        <v>0</v>
      </c>
    </row>
    <row r="60" customFormat="false" ht="15" hidden="false" customHeight="false" outlineLevel="0" collapsed="false">
      <c r="A60" s="26" t="n">
        <v>24</v>
      </c>
      <c r="B60" s="78" t="n">
        <f aca="false">EDATE('Plan-Annahmen'!$B$8,A60-1)</f>
        <v>46966</v>
      </c>
      <c r="C60" s="40" t="n">
        <v>3.5</v>
      </c>
      <c r="D60" s="61" t="n">
        <f aca="false">IF(A60-'Plan-Annahmen'!$B$22&lt;1,0,INDEX($K$37:$K$60,A60-'Plan-Annahmen'!$B$22)*'Plan-Annahmen'!$B$16/12*'Plan-Annahmen'!$B$19*(1+'Plan-Annahmen'!$B$30*'Plan-Annahmen'!$B$31))</f>
        <v>0.31679166112333</v>
      </c>
      <c r="E60" s="60" t="n">
        <f aca="false">C60+D60</f>
        <v>3.81679166112333</v>
      </c>
      <c r="F60" s="60" t="n">
        <f aca="false">MIN(E60,MAX(0,'Plan-Annahmen'!$B$49-H59))</f>
        <v>0</v>
      </c>
      <c r="G60" s="60" t="n">
        <f aca="false">E60-F60</f>
        <v>3.81679166112333</v>
      </c>
      <c r="H60" s="60" t="n">
        <f aca="false">H59+F60</f>
        <v>25</v>
      </c>
      <c r="I60" s="79" t="n">
        <f aca="false">I59*(1-'Plan-Annahmen'!$B$28)+F60</f>
        <v>20.4085616180244</v>
      </c>
      <c r="J60" s="79" t="n">
        <f aca="false">J59*(1-'Plan-Annahmen'!$B$25)+G60</f>
        <v>26.1459737438501</v>
      </c>
      <c r="K60" s="80" t="n">
        <f aca="false">I60+J60</f>
        <v>46.5545353618745</v>
      </c>
      <c r="L60" s="81" t="n">
        <v>19.5</v>
      </c>
      <c r="M60" s="82" t="n">
        <f aca="false">K60*'Plan-Annahmen'!$B$41</f>
        <v>13.9663606085624</v>
      </c>
      <c r="N60" s="82" t="n">
        <f aca="false">E60*'Plan-Annahmen'!$B$42</f>
        <v>3.81679166112333</v>
      </c>
      <c r="O60" s="82" t="n">
        <f aca="false">'Plan-Annahmen'!$B$40</f>
        <v>25</v>
      </c>
      <c r="P60" s="80" t="n">
        <f aca="false">L60+M60+N60+O60</f>
        <v>62.2831522696857</v>
      </c>
      <c r="Q60" s="26" t="n">
        <f aca="false">IF(P60&gt;'Plan-Annahmen'!$B$39,1,0)</f>
        <v>0</v>
      </c>
      <c r="R60" s="26" t="n">
        <f aca="false">IF(P60&gt;'Plan-Annahmen'!$B$38,1,0)</f>
        <v>0</v>
      </c>
    </row>
    <row r="61" customFormat="false" ht="15" hidden="false" customHeight="false" outlineLevel="0" collapsed="false">
      <c r="A61" s="13" t="s">
        <v>530</v>
      </c>
      <c r="B61" s="14"/>
      <c r="C61" s="83" t="n">
        <f aca="false">SUM(C37:C60)</f>
        <v>52.25</v>
      </c>
      <c r="D61" s="83" t="n">
        <f aca="false">SUM(D37:D60)</f>
        <v>2.62027088075515</v>
      </c>
      <c r="E61" s="83" t="n">
        <f aca="false">SUM(E37:E60)</f>
        <v>54.8702708807552</v>
      </c>
      <c r="F61" s="14"/>
      <c r="G61" s="14"/>
      <c r="H61" s="14"/>
      <c r="I61" s="14"/>
      <c r="J61" s="14"/>
      <c r="K61" s="83" t="n">
        <f aca="false">K60</f>
        <v>46.5545353618745</v>
      </c>
      <c r="L61" s="14"/>
      <c r="M61" s="14"/>
      <c r="N61" s="14"/>
      <c r="O61" s="14"/>
      <c r="P61" s="14"/>
      <c r="Q61" s="71" t="n">
        <f aca="false">SUM(Q37:Q60)</f>
        <v>0</v>
      </c>
      <c r="R61" s="71" t="n">
        <f aca="false">SUM(R37:R60)</f>
        <v>0</v>
      </c>
    </row>
    <row r="64" customFormat="false" ht="15" hidden="false" customHeight="false" outlineLevel="0" collapsed="false">
      <c r="A64" s="36" t="s">
        <v>533</v>
      </c>
      <c r="C64" s="53" t="s">
        <v>534</v>
      </c>
    </row>
    <row r="65" customFormat="false" ht="39.55" hidden="false" customHeight="false" outlineLevel="0" collapsed="false">
      <c r="A65" s="3" t="s">
        <v>309</v>
      </c>
      <c r="B65" s="3" t="s">
        <v>513</v>
      </c>
      <c r="C65" s="3" t="s">
        <v>514</v>
      </c>
      <c r="D65" s="3" t="s">
        <v>515</v>
      </c>
      <c r="E65" s="3" t="s">
        <v>516</v>
      </c>
      <c r="F65" s="3" t="s">
        <v>517</v>
      </c>
      <c r="G65" s="3" t="s">
        <v>518</v>
      </c>
      <c r="H65" s="3" t="s">
        <v>519</v>
      </c>
      <c r="I65" s="3" t="s">
        <v>520</v>
      </c>
      <c r="J65" s="3" t="s">
        <v>521</v>
      </c>
      <c r="K65" s="3" t="s">
        <v>522</v>
      </c>
      <c r="L65" s="3" t="s">
        <v>523</v>
      </c>
      <c r="M65" s="3" t="s">
        <v>524</v>
      </c>
      <c r="N65" s="3" t="s">
        <v>525</v>
      </c>
      <c r="O65" s="3" t="s">
        <v>526</v>
      </c>
      <c r="P65" s="3" t="s">
        <v>527</v>
      </c>
      <c r="Q65" s="3" t="s">
        <v>528</v>
      </c>
      <c r="R65" s="3" t="s">
        <v>529</v>
      </c>
    </row>
    <row r="66" customFormat="false" ht="15" hidden="false" customHeight="false" outlineLevel="0" collapsed="false">
      <c r="A66" s="26" t="n">
        <v>1</v>
      </c>
      <c r="B66" s="78" t="n">
        <f aca="false">EDATE('Plan-Annahmen'!$B$8,A66-1)</f>
        <v>46266</v>
      </c>
      <c r="C66" s="40" t="n">
        <v>0</v>
      </c>
      <c r="D66" s="61" t="n">
        <f aca="false">IF(A66-'Plan-Annahmen'!$B$23&lt;1,0,INDEX($K$66:$K$89,A66-'Plan-Annahmen'!$B$23)*'Plan-Annahmen'!$B$17/12*'Plan-Annahmen'!$B$20*(1+'Plan-Annahmen'!$B$30*'Plan-Annahmen'!$B$31))</f>
        <v>0</v>
      </c>
      <c r="E66" s="60" t="n">
        <f aca="false">C66+D66</f>
        <v>0</v>
      </c>
      <c r="F66" s="60" t="n">
        <f aca="false">MIN(E66,MAX(0,'Plan-Annahmen'!$B$49-0))</f>
        <v>0</v>
      </c>
      <c r="G66" s="60" t="n">
        <f aca="false">E66-F66</f>
        <v>0</v>
      </c>
      <c r="H66" s="60" t="n">
        <f aca="false">0+F66</f>
        <v>0</v>
      </c>
      <c r="I66" s="79" t="n">
        <f aca="false">0*(1-'Plan-Annahmen'!$B$29)+F66</f>
        <v>0</v>
      </c>
      <c r="J66" s="79" t="n">
        <f aca="false">0*(1-'Plan-Annahmen'!$B$26)+G66</f>
        <v>0</v>
      </c>
      <c r="K66" s="80" t="n">
        <f aca="false">I66+J66</f>
        <v>0</v>
      </c>
      <c r="L66" s="81" t="n">
        <v>4</v>
      </c>
      <c r="M66" s="82" t="n">
        <f aca="false">K66*'Plan-Annahmen'!$B$41</f>
        <v>0</v>
      </c>
      <c r="N66" s="82" t="n">
        <f aca="false">E66*'Plan-Annahmen'!$B$42</f>
        <v>0</v>
      </c>
      <c r="O66" s="82" t="n">
        <f aca="false">'Plan-Annahmen'!$B$40</f>
        <v>25</v>
      </c>
      <c r="P66" s="80" t="n">
        <f aca="false">L66+M66+N66+O66</f>
        <v>29</v>
      </c>
      <c r="Q66" s="26" t="n">
        <f aca="false">IF(P66&gt;'Plan-Annahmen'!$B$39,1,0)</f>
        <v>0</v>
      </c>
      <c r="R66" s="26" t="n">
        <f aca="false">IF(P66&gt;'Plan-Annahmen'!$B$38,1,0)</f>
        <v>0</v>
      </c>
    </row>
    <row r="67" customFormat="false" ht="15" hidden="false" customHeight="false" outlineLevel="0" collapsed="false">
      <c r="A67" s="26" t="n">
        <v>2</v>
      </c>
      <c r="B67" s="78" t="n">
        <f aca="false">EDATE('Plan-Annahmen'!$B$8,A67-1)</f>
        <v>46296</v>
      </c>
      <c r="C67" s="40" t="n">
        <v>0</v>
      </c>
      <c r="D67" s="61" t="n">
        <f aca="false">IF(A67-'Plan-Annahmen'!$B$23&lt;1,0,INDEX($K$66:$K$89,A67-'Plan-Annahmen'!$B$23)*'Plan-Annahmen'!$B$17/12*'Plan-Annahmen'!$B$20*(1+'Plan-Annahmen'!$B$30*'Plan-Annahmen'!$B$31))</f>
        <v>0</v>
      </c>
      <c r="E67" s="60" t="n">
        <f aca="false">C67+D67</f>
        <v>0</v>
      </c>
      <c r="F67" s="60" t="n">
        <f aca="false">MIN(E67,MAX(0,'Plan-Annahmen'!$B$49-H66))</f>
        <v>0</v>
      </c>
      <c r="G67" s="60" t="n">
        <f aca="false">E67-F67</f>
        <v>0</v>
      </c>
      <c r="H67" s="60" t="n">
        <f aca="false">H66+F67</f>
        <v>0</v>
      </c>
      <c r="I67" s="79" t="n">
        <f aca="false">I66*(1-'Plan-Annahmen'!$B$29)+F67</f>
        <v>0</v>
      </c>
      <c r="J67" s="79" t="n">
        <f aca="false">J66*(1-'Plan-Annahmen'!$B$26)+G67</f>
        <v>0</v>
      </c>
      <c r="K67" s="80" t="n">
        <f aca="false">I67+J67</f>
        <v>0</v>
      </c>
      <c r="L67" s="81" t="n">
        <v>18</v>
      </c>
      <c r="M67" s="82" t="n">
        <f aca="false">K67*'Plan-Annahmen'!$B$41</f>
        <v>0</v>
      </c>
      <c r="N67" s="82" t="n">
        <f aca="false">E67*'Plan-Annahmen'!$B$42</f>
        <v>0</v>
      </c>
      <c r="O67" s="82" t="n">
        <f aca="false">'Plan-Annahmen'!$B$40</f>
        <v>25</v>
      </c>
      <c r="P67" s="80" t="n">
        <f aca="false">L67+M67+N67+O67</f>
        <v>43</v>
      </c>
      <c r="Q67" s="26" t="n">
        <f aca="false">IF(P67&gt;'Plan-Annahmen'!$B$39,1,0)</f>
        <v>0</v>
      </c>
      <c r="R67" s="26" t="n">
        <f aca="false">IF(P67&gt;'Plan-Annahmen'!$B$38,1,0)</f>
        <v>0</v>
      </c>
    </row>
    <row r="68" customFormat="false" ht="15" hidden="false" customHeight="false" outlineLevel="0" collapsed="false">
      <c r="A68" s="26" t="n">
        <v>3</v>
      </c>
      <c r="B68" s="78" t="n">
        <f aca="false">EDATE('Plan-Annahmen'!$B$8,A68-1)</f>
        <v>46327</v>
      </c>
      <c r="C68" s="40" t="n">
        <v>0</v>
      </c>
      <c r="D68" s="61" t="n">
        <f aca="false">IF(A68-'Plan-Annahmen'!$B$23&lt;1,0,INDEX($K$66:$K$89,A68-'Plan-Annahmen'!$B$23)*'Plan-Annahmen'!$B$17/12*'Plan-Annahmen'!$B$20*(1+'Plan-Annahmen'!$B$30*'Plan-Annahmen'!$B$31))</f>
        <v>0</v>
      </c>
      <c r="E68" s="60" t="n">
        <f aca="false">C68+D68</f>
        <v>0</v>
      </c>
      <c r="F68" s="60" t="n">
        <f aca="false">MIN(E68,MAX(0,'Plan-Annahmen'!$B$49-H67))</f>
        <v>0</v>
      </c>
      <c r="G68" s="60" t="n">
        <f aca="false">E68-F68</f>
        <v>0</v>
      </c>
      <c r="H68" s="60" t="n">
        <f aca="false">H67+F68</f>
        <v>0</v>
      </c>
      <c r="I68" s="79" t="n">
        <f aca="false">I67*(1-'Plan-Annahmen'!$B$29)+F68</f>
        <v>0</v>
      </c>
      <c r="J68" s="79" t="n">
        <f aca="false">J67*(1-'Plan-Annahmen'!$B$26)+G68</f>
        <v>0</v>
      </c>
      <c r="K68" s="80" t="n">
        <f aca="false">I68+J68</f>
        <v>0</v>
      </c>
      <c r="L68" s="81" t="n">
        <v>5</v>
      </c>
      <c r="M68" s="82" t="n">
        <f aca="false">K68*'Plan-Annahmen'!$B$41</f>
        <v>0</v>
      </c>
      <c r="N68" s="82" t="n">
        <f aca="false">E68*'Plan-Annahmen'!$B$42</f>
        <v>0</v>
      </c>
      <c r="O68" s="82" t="n">
        <f aca="false">'Plan-Annahmen'!$B$40</f>
        <v>25</v>
      </c>
      <c r="P68" s="80" t="n">
        <f aca="false">L68+M68+N68+O68</f>
        <v>30</v>
      </c>
      <c r="Q68" s="26" t="n">
        <f aca="false">IF(P68&gt;'Plan-Annahmen'!$B$39,1,0)</f>
        <v>0</v>
      </c>
      <c r="R68" s="26" t="n">
        <f aca="false">IF(P68&gt;'Plan-Annahmen'!$B$38,1,0)</f>
        <v>0</v>
      </c>
    </row>
    <row r="69" customFormat="false" ht="15" hidden="false" customHeight="false" outlineLevel="0" collapsed="false">
      <c r="A69" s="26" t="n">
        <v>4</v>
      </c>
      <c r="B69" s="78" t="n">
        <f aca="false">EDATE('Plan-Annahmen'!$B$8,A69-1)</f>
        <v>46357</v>
      </c>
      <c r="C69" s="40" t="n">
        <v>1</v>
      </c>
      <c r="D69" s="61" t="n">
        <f aca="false">IF(A69-'Plan-Annahmen'!$B$23&lt;1,0,INDEX($K$66:$K$89,A69-'Plan-Annahmen'!$B$23)*'Plan-Annahmen'!$B$17/12*'Plan-Annahmen'!$B$20*(1+'Plan-Annahmen'!$B$30*'Plan-Annahmen'!$B$31))</f>
        <v>0</v>
      </c>
      <c r="E69" s="60" t="n">
        <f aca="false">C69+D69</f>
        <v>1</v>
      </c>
      <c r="F69" s="60" t="n">
        <f aca="false">MIN(E69,MAX(0,'Plan-Annahmen'!$B$49-H68))</f>
        <v>1</v>
      </c>
      <c r="G69" s="60" t="n">
        <f aca="false">E69-F69</f>
        <v>0</v>
      </c>
      <c r="H69" s="60" t="n">
        <f aca="false">H68+F69</f>
        <v>1</v>
      </c>
      <c r="I69" s="79" t="n">
        <f aca="false">I68*(1-'Plan-Annahmen'!$B$29)+F69</f>
        <v>1</v>
      </c>
      <c r="J69" s="79" t="n">
        <f aca="false">J68*(1-'Plan-Annahmen'!$B$26)+G69</f>
        <v>0</v>
      </c>
      <c r="K69" s="80" t="n">
        <f aca="false">I69+J69</f>
        <v>1</v>
      </c>
      <c r="L69" s="81" t="n">
        <v>15</v>
      </c>
      <c r="M69" s="82" t="n">
        <f aca="false">K69*'Plan-Annahmen'!$B$41</f>
        <v>0.3</v>
      </c>
      <c r="N69" s="82" t="n">
        <f aca="false">E69*'Plan-Annahmen'!$B$42</f>
        <v>1</v>
      </c>
      <c r="O69" s="82" t="n">
        <f aca="false">'Plan-Annahmen'!$B$40</f>
        <v>25</v>
      </c>
      <c r="P69" s="80" t="n">
        <f aca="false">L69+M69+N69+O69</f>
        <v>41.3</v>
      </c>
      <c r="Q69" s="26" t="n">
        <f aca="false">IF(P69&gt;'Plan-Annahmen'!$B$39,1,0)</f>
        <v>0</v>
      </c>
      <c r="R69" s="26" t="n">
        <f aca="false">IF(P69&gt;'Plan-Annahmen'!$B$38,1,0)</f>
        <v>0</v>
      </c>
    </row>
    <row r="70" customFormat="false" ht="15" hidden="false" customHeight="false" outlineLevel="0" collapsed="false">
      <c r="A70" s="26" t="n">
        <v>5</v>
      </c>
      <c r="B70" s="78" t="n">
        <f aca="false">EDATE('Plan-Annahmen'!$B$8,A70-1)</f>
        <v>46388</v>
      </c>
      <c r="C70" s="40" t="n">
        <v>2.5</v>
      </c>
      <c r="D70" s="61" t="n">
        <f aca="false">IF(A70-'Plan-Annahmen'!$B$23&lt;1,0,INDEX($K$66:$K$89,A70-'Plan-Annahmen'!$B$23)*'Plan-Annahmen'!$B$17/12*'Plan-Annahmen'!$B$20*(1+'Plan-Annahmen'!$B$30*'Plan-Annahmen'!$B$31))</f>
        <v>0</v>
      </c>
      <c r="E70" s="60" t="n">
        <f aca="false">C70+D70</f>
        <v>2.5</v>
      </c>
      <c r="F70" s="60" t="n">
        <f aca="false">MIN(E70,MAX(0,'Plan-Annahmen'!$B$49-H69))</f>
        <v>2.5</v>
      </c>
      <c r="G70" s="60" t="n">
        <f aca="false">E70-F70</f>
        <v>0</v>
      </c>
      <c r="H70" s="60" t="n">
        <f aca="false">H69+F70</f>
        <v>3.5</v>
      </c>
      <c r="I70" s="79" t="n">
        <f aca="false">I69*(1-'Plan-Annahmen'!$B$29)+F70</f>
        <v>3.49</v>
      </c>
      <c r="J70" s="79" t="n">
        <f aca="false">J69*(1-'Plan-Annahmen'!$B$26)+G70</f>
        <v>0</v>
      </c>
      <c r="K70" s="80" t="n">
        <f aca="false">I70+J70</f>
        <v>3.49</v>
      </c>
      <c r="L70" s="81" t="n">
        <v>16</v>
      </c>
      <c r="M70" s="82" t="n">
        <f aca="false">K70*'Plan-Annahmen'!$B$41</f>
        <v>1.047</v>
      </c>
      <c r="N70" s="82" t="n">
        <f aca="false">E70*'Plan-Annahmen'!$B$42</f>
        <v>2.5</v>
      </c>
      <c r="O70" s="82" t="n">
        <f aca="false">'Plan-Annahmen'!$B$40</f>
        <v>25</v>
      </c>
      <c r="P70" s="80" t="n">
        <f aca="false">L70+M70+N70+O70</f>
        <v>44.547</v>
      </c>
      <c r="Q70" s="26" t="n">
        <f aca="false">IF(P70&gt;'Plan-Annahmen'!$B$39,1,0)</f>
        <v>0</v>
      </c>
      <c r="R70" s="26" t="n">
        <f aca="false">IF(P70&gt;'Plan-Annahmen'!$B$38,1,0)</f>
        <v>0</v>
      </c>
    </row>
    <row r="71" customFormat="false" ht="15" hidden="false" customHeight="false" outlineLevel="0" collapsed="false">
      <c r="A71" s="26" t="n">
        <v>6</v>
      </c>
      <c r="B71" s="78" t="n">
        <f aca="false">EDATE('Plan-Annahmen'!$B$8,A71-1)</f>
        <v>46419</v>
      </c>
      <c r="C71" s="40" t="n">
        <v>4</v>
      </c>
      <c r="D71" s="61" t="n">
        <f aca="false">IF(A71-'Plan-Annahmen'!$B$23&lt;1,0,INDEX($K$66:$K$89,A71-'Plan-Annahmen'!$B$23)*'Plan-Annahmen'!$B$17/12*'Plan-Annahmen'!$B$20*(1+'Plan-Annahmen'!$B$30*'Plan-Annahmen'!$B$31))</f>
        <v>0.0175</v>
      </c>
      <c r="E71" s="60" t="n">
        <f aca="false">C71+D71</f>
        <v>4.0175</v>
      </c>
      <c r="F71" s="60" t="n">
        <f aca="false">MIN(E71,MAX(0,'Plan-Annahmen'!$B$49-H70))</f>
        <v>4.0175</v>
      </c>
      <c r="G71" s="60" t="n">
        <f aca="false">E71-F71</f>
        <v>0</v>
      </c>
      <c r="H71" s="60" t="n">
        <f aca="false">H70+F71</f>
        <v>7.5175</v>
      </c>
      <c r="I71" s="79" t="n">
        <f aca="false">I70*(1-'Plan-Annahmen'!$B$29)+F71</f>
        <v>7.4726</v>
      </c>
      <c r="J71" s="79" t="n">
        <f aca="false">J70*(1-'Plan-Annahmen'!$B$26)+G71</f>
        <v>0</v>
      </c>
      <c r="K71" s="80" t="n">
        <f aca="false">I71+J71</f>
        <v>7.4726</v>
      </c>
      <c r="L71" s="81" t="n">
        <v>16</v>
      </c>
      <c r="M71" s="82" t="n">
        <f aca="false">K71*'Plan-Annahmen'!$B$41</f>
        <v>2.24178</v>
      </c>
      <c r="N71" s="82" t="n">
        <f aca="false">E71*'Plan-Annahmen'!$B$42</f>
        <v>4.0175</v>
      </c>
      <c r="O71" s="82" t="n">
        <f aca="false">'Plan-Annahmen'!$B$40</f>
        <v>25</v>
      </c>
      <c r="P71" s="80" t="n">
        <f aca="false">L71+M71+N71+O71</f>
        <v>47.25928</v>
      </c>
      <c r="Q71" s="26" t="n">
        <f aca="false">IF(P71&gt;'Plan-Annahmen'!$B$39,1,0)</f>
        <v>0</v>
      </c>
      <c r="R71" s="26" t="n">
        <f aca="false">IF(P71&gt;'Plan-Annahmen'!$B$38,1,0)</f>
        <v>0</v>
      </c>
    </row>
    <row r="72" customFormat="false" ht="15" hidden="false" customHeight="false" outlineLevel="0" collapsed="false">
      <c r="A72" s="26" t="n">
        <v>7</v>
      </c>
      <c r="B72" s="78" t="n">
        <f aca="false">EDATE('Plan-Annahmen'!$B$8,A72-1)</f>
        <v>46447</v>
      </c>
      <c r="C72" s="40" t="n">
        <v>4</v>
      </c>
      <c r="D72" s="61" t="n">
        <f aca="false">IF(A72-'Plan-Annahmen'!$B$23&lt;1,0,INDEX($K$66:$K$89,A72-'Plan-Annahmen'!$B$23)*'Plan-Annahmen'!$B$17/12*'Plan-Annahmen'!$B$20*(1+'Plan-Annahmen'!$B$30*'Plan-Annahmen'!$B$31))</f>
        <v>0.061075</v>
      </c>
      <c r="E72" s="60" t="n">
        <f aca="false">C72+D72</f>
        <v>4.061075</v>
      </c>
      <c r="F72" s="60" t="n">
        <f aca="false">MIN(E72,MAX(0,'Plan-Annahmen'!$B$49-H71))</f>
        <v>4.061075</v>
      </c>
      <c r="G72" s="60" t="n">
        <f aca="false">E72-F72</f>
        <v>0</v>
      </c>
      <c r="H72" s="60" t="n">
        <f aca="false">H71+F72</f>
        <v>11.578575</v>
      </c>
      <c r="I72" s="79" t="n">
        <f aca="false">I71*(1-'Plan-Annahmen'!$B$29)+F72</f>
        <v>11.458949</v>
      </c>
      <c r="J72" s="79" t="n">
        <f aca="false">J71*(1-'Plan-Annahmen'!$B$26)+G72</f>
        <v>0</v>
      </c>
      <c r="K72" s="80" t="n">
        <f aca="false">I72+J72</f>
        <v>11.458949</v>
      </c>
      <c r="L72" s="81" t="n">
        <v>16.5</v>
      </c>
      <c r="M72" s="82" t="n">
        <f aca="false">K72*'Plan-Annahmen'!$B$41</f>
        <v>3.4376847</v>
      </c>
      <c r="N72" s="82" t="n">
        <f aca="false">E72*'Plan-Annahmen'!$B$42</f>
        <v>4.061075</v>
      </c>
      <c r="O72" s="82" t="n">
        <f aca="false">'Plan-Annahmen'!$B$40</f>
        <v>25</v>
      </c>
      <c r="P72" s="80" t="n">
        <f aca="false">L72+M72+N72+O72</f>
        <v>48.9987597</v>
      </c>
      <c r="Q72" s="26" t="n">
        <f aca="false">IF(P72&gt;'Plan-Annahmen'!$B$39,1,0)</f>
        <v>0</v>
      </c>
      <c r="R72" s="26" t="n">
        <f aca="false">IF(P72&gt;'Plan-Annahmen'!$B$38,1,0)</f>
        <v>0</v>
      </c>
    </row>
    <row r="73" customFormat="false" ht="15" hidden="false" customHeight="false" outlineLevel="0" collapsed="false">
      <c r="A73" s="26" t="n">
        <v>8</v>
      </c>
      <c r="B73" s="78" t="n">
        <f aca="false">EDATE('Plan-Annahmen'!$B$8,A73-1)</f>
        <v>46478</v>
      </c>
      <c r="C73" s="40" t="n">
        <v>3</v>
      </c>
      <c r="D73" s="61" t="n">
        <f aca="false">IF(A73-'Plan-Annahmen'!$B$23&lt;1,0,INDEX($K$66:$K$89,A73-'Plan-Annahmen'!$B$23)*'Plan-Annahmen'!$B$17/12*'Plan-Annahmen'!$B$20*(1+'Plan-Annahmen'!$B$30*'Plan-Annahmen'!$B$31))</f>
        <v>0.1307705</v>
      </c>
      <c r="E73" s="60" t="n">
        <f aca="false">C73+D73</f>
        <v>3.1307705</v>
      </c>
      <c r="F73" s="60" t="n">
        <f aca="false">MIN(E73,MAX(0,'Plan-Annahmen'!$B$49-H72))</f>
        <v>3.1307705</v>
      </c>
      <c r="G73" s="60" t="n">
        <f aca="false">E73-F73</f>
        <v>0</v>
      </c>
      <c r="H73" s="60" t="n">
        <f aca="false">H72+F73</f>
        <v>14.7093455</v>
      </c>
      <c r="I73" s="79" t="n">
        <f aca="false">I72*(1-'Plan-Annahmen'!$B$29)+F73</f>
        <v>14.47513001</v>
      </c>
      <c r="J73" s="79" t="n">
        <f aca="false">J72*(1-'Plan-Annahmen'!$B$26)+G73</f>
        <v>0</v>
      </c>
      <c r="K73" s="80" t="n">
        <f aca="false">I73+J73</f>
        <v>14.47513001</v>
      </c>
      <c r="L73" s="81" t="n">
        <v>20.5</v>
      </c>
      <c r="M73" s="82" t="n">
        <f aca="false">K73*'Plan-Annahmen'!$B$41</f>
        <v>4.342539003</v>
      </c>
      <c r="N73" s="82" t="n">
        <f aca="false">E73*'Plan-Annahmen'!$B$42</f>
        <v>3.1307705</v>
      </c>
      <c r="O73" s="82" t="n">
        <f aca="false">'Plan-Annahmen'!$B$40</f>
        <v>25</v>
      </c>
      <c r="P73" s="80" t="n">
        <f aca="false">L73+M73+N73+O73</f>
        <v>52.973309503</v>
      </c>
      <c r="Q73" s="26" t="n">
        <f aca="false">IF(P73&gt;'Plan-Annahmen'!$B$39,1,0)</f>
        <v>0</v>
      </c>
      <c r="R73" s="26" t="n">
        <f aca="false">IF(P73&gt;'Plan-Annahmen'!$B$38,1,0)</f>
        <v>0</v>
      </c>
    </row>
    <row r="74" customFormat="false" ht="15" hidden="false" customHeight="false" outlineLevel="0" collapsed="false">
      <c r="A74" s="26" t="n">
        <v>9</v>
      </c>
      <c r="B74" s="78" t="n">
        <f aca="false">EDATE('Plan-Annahmen'!$B$8,A74-1)</f>
        <v>46508</v>
      </c>
      <c r="C74" s="40" t="n">
        <v>3.5</v>
      </c>
      <c r="D74" s="61" t="n">
        <f aca="false">IF(A74-'Plan-Annahmen'!$B$23&lt;1,0,INDEX($K$66:$K$89,A74-'Plan-Annahmen'!$B$23)*'Plan-Annahmen'!$B$17/12*'Plan-Annahmen'!$B$20*(1+'Plan-Annahmen'!$B$30*'Plan-Annahmen'!$B$31))</f>
        <v>0.2005316075</v>
      </c>
      <c r="E74" s="60" t="n">
        <f aca="false">C74+D74</f>
        <v>3.7005316075</v>
      </c>
      <c r="F74" s="60" t="n">
        <f aca="false">MIN(E74,MAX(0,'Plan-Annahmen'!$B$49-H73))</f>
        <v>3.7005316075</v>
      </c>
      <c r="G74" s="60" t="n">
        <f aca="false">E74-F74</f>
        <v>0</v>
      </c>
      <c r="H74" s="60" t="n">
        <f aca="false">H73+F74</f>
        <v>18.4098771075</v>
      </c>
      <c r="I74" s="79" t="n">
        <f aca="false">I73*(1-'Plan-Annahmen'!$B$29)+F74</f>
        <v>18.0309103174</v>
      </c>
      <c r="J74" s="79" t="n">
        <f aca="false">J73*(1-'Plan-Annahmen'!$B$26)+G74</f>
        <v>0</v>
      </c>
      <c r="K74" s="80" t="n">
        <f aca="false">I74+J74</f>
        <v>18.0309103174</v>
      </c>
      <c r="L74" s="81" t="n">
        <v>20.5</v>
      </c>
      <c r="M74" s="82" t="n">
        <f aca="false">K74*'Plan-Annahmen'!$B$41</f>
        <v>5.40927309522</v>
      </c>
      <c r="N74" s="82" t="n">
        <f aca="false">E74*'Plan-Annahmen'!$B$42</f>
        <v>3.7005316075</v>
      </c>
      <c r="O74" s="82" t="n">
        <f aca="false">'Plan-Annahmen'!$B$40</f>
        <v>25</v>
      </c>
      <c r="P74" s="80" t="n">
        <f aca="false">L74+M74+N74+O74</f>
        <v>54.60980470272</v>
      </c>
      <c r="Q74" s="26" t="n">
        <f aca="false">IF(P74&gt;'Plan-Annahmen'!$B$39,1,0)</f>
        <v>0</v>
      </c>
      <c r="R74" s="26" t="n">
        <f aca="false">IF(P74&gt;'Plan-Annahmen'!$B$38,1,0)</f>
        <v>0</v>
      </c>
    </row>
    <row r="75" customFormat="false" ht="15" hidden="false" customHeight="false" outlineLevel="0" collapsed="false">
      <c r="A75" s="26" t="n">
        <v>10</v>
      </c>
      <c r="B75" s="78" t="n">
        <f aca="false">EDATE('Plan-Annahmen'!$B$8,A75-1)</f>
        <v>46539</v>
      </c>
      <c r="C75" s="40" t="n">
        <v>3.5</v>
      </c>
      <c r="D75" s="61" t="n">
        <f aca="false">IF(A75-'Plan-Annahmen'!$B$23&lt;1,0,INDEX($K$66:$K$89,A75-'Plan-Annahmen'!$B$23)*'Plan-Annahmen'!$B$17/12*'Plan-Annahmen'!$B$20*(1+'Plan-Annahmen'!$B$30*'Plan-Annahmen'!$B$31))</f>
        <v>0.253314775175</v>
      </c>
      <c r="E75" s="60" t="n">
        <f aca="false">C75+D75</f>
        <v>3.753314775175</v>
      </c>
      <c r="F75" s="60" t="n">
        <f aca="false">MIN(E75,MAX(0,'Plan-Annahmen'!$B$49-H74))</f>
        <v>3.753314775175</v>
      </c>
      <c r="G75" s="60" t="n">
        <f aca="false">E75-F75</f>
        <v>0</v>
      </c>
      <c r="H75" s="60" t="n">
        <f aca="false">H74+F75</f>
        <v>22.163191882675</v>
      </c>
      <c r="I75" s="79" t="n">
        <f aca="false">I74*(1-'Plan-Annahmen'!$B$29)+F75</f>
        <v>21.603915989401</v>
      </c>
      <c r="J75" s="79" t="n">
        <f aca="false">J74*(1-'Plan-Annahmen'!$B$26)+G75</f>
        <v>0</v>
      </c>
      <c r="K75" s="80" t="n">
        <f aca="false">I75+J75</f>
        <v>21.603915989401</v>
      </c>
      <c r="L75" s="81" t="n">
        <v>19.5</v>
      </c>
      <c r="M75" s="82" t="n">
        <f aca="false">K75*'Plan-Annahmen'!$B$41</f>
        <v>6.4811747968203</v>
      </c>
      <c r="N75" s="82" t="n">
        <f aca="false">E75*'Plan-Annahmen'!$B$42</f>
        <v>3.753314775175</v>
      </c>
      <c r="O75" s="82" t="n">
        <f aca="false">'Plan-Annahmen'!$B$40</f>
        <v>25</v>
      </c>
      <c r="P75" s="80" t="n">
        <f aca="false">L75+M75+N75+O75</f>
        <v>54.7344895719953</v>
      </c>
      <c r="Q75" s="26" t="n">
        <f aca="false">IF(P75&gt;'Plan-Annahmen'!$B$39,1,0)</f>
        <v>0</v>
      </c>
      <c r="R75" s="26" t="n">
        <f aca="false">IF(P75&gt;'Plan-Annahmen'!$B$38,1,0)</f>
        <v>0</v>
      </c>
    </row>
    <row r="76" customFormat="false" ht="15" hidden="false" customHeight="false" outlineLevel="0" collapsed="false">
      <c r="A76" s="26" t="n">
        <v>11</v>
      </c>
      <c r="B76" s="78" t="n">
        <f aca="false">EDATE('Plan-Annahmen'!$B$8,A76-1)</f>
        <v>46569</v>
      </c>
      <c r="C76" s="40" t="n">
        <v>4</v>
      </c>
      <c r="D76" s="61" t="n">
        <f aca="false">IF(A76-'Plan-Annahmen'!$B$23&lt;1,0,INDEX($K$66:$K$89,A76-'Plan-Annahmen'!$B$23)*'Plan-Annahmen'!$B$17/12*'Plan-Annahmen'!$B$20*(1+'Plan-Annahmen'!$B$30*'Plan-Annahmen'!$B$31))</f>
        <v>0.3155409305545</v>
      </c>
      <c r="E76" s="60" t="n">
        <f aca="false">C76+D76</f>
        <v>4.3155409305545</v>
      </c>
      <c r="F76" s="60" t="n">
        <f aca="false">MIN(E76,MAX(0,'Plan-Annahmen'!$B$49-H75))</f>
        <v>2.836808117325</v>
      </c>
      <c r="G76" s="60" t="n">
        <f aca="false">E76-F76</f>
        <v>1.4787328132295</v>
      </c>
      <c r="H76" s="60" t="n">
        <f aca="false">H75+F76</f>
        <v>25</v>
      </c>
      <c r="I76" s="79" t="n">
        <f aca="false">I75*(1-'Plan-Annahmen'!$B$29)+F76</f>
        <v>24.224684946832</v>
      </c>
      <c r="J76" s="79" t="n">
        <f aca="false">J75*(1-'Plan-Annahmen'!$B$26)+G76</f>
        <v>1.4787328132295</v>
      </c>
      <c r="K76" s="80" t="n">
        <f aca="false">I76+J76</f>
        <v>25.7034177600615</v>
      </c>
      <c r="L76" s="81" t="n">
        <v>19.5</v>
      </c>
      <c r="M76" s="82" t="n">
        <f aca="false">K76*'Plan-Annahmen'!$B$41</f>
        <v>7.71102532801845</v>
      </c>
      <c r="N76" s="82" t="n">
        <f aca="false">E76*'Plan-Annahmen'!$B$42</f>
        <v>4.3155409305545</v>
      </c>
      <c r="O76" s="82" t="n">
        <f aca="false">'Plan-Annahmen'!$B$40</f>
        <v>25</v>
      </c>
      <c r="P76" s="80" t="n">
        <f aca="false">L76+M76+N76+O76</f>
        <v>56.526566258573</v>
      </c>
      <c r="Q76" s="26" t="n">
        <f aca="false">IF(P76&gt;'Plan-Annahmen'!$B$39,1,0)</f>
        <v>0</v>
      </c>
      <c r="R76" s="26" t="n">
        <f aca="false">IF(P76&gt;'Plan-Annahmen'!$B$38,1,0)</f>
        <v>0</v>
      </c>
    </row>
    <row r="77" customFormat="false" ht="15" hidden="false" customHeight="false" outlineLevel="0" collapsed="false">
      <c r="A77" s="26" t="n">
        <v>12</v>
      </c>
      <c r="B77" s="78" t="n">
        <f aca="false">EDATE('Plan-Annahmen'!$B$8,A77-1)</f>
        <v>46600</v>
      </c>
      <c r="C77" s="40" t="n">
        <v>4.5</v>
      </c>
      <c r="D77" s="61" t="n">
        <f aca="false">IF(A77-'Plan-Annahmen'!$B$23&lt;1,0,INDEX($K$66:$K$89,A77-'Plan-Annahmen'!$B$23)*'Plan-Annahmen'!$B$17/12*'Plan-Annahmen'!$B$20*(1+'Plan-Annahmen'!$B$30*'Plan-Annahmen'!$B$31))</f>
        <v>0.378068529814517</v>
      </c>
      <c r="E77" s="60" t="n">
        <f aca="false">C77+D77</f>
        <v>4.87806852981452</v>
      </c>
      <c r="F77" s="60" t="n">
        <f aca="false">MIN(E77,MAX(0,'Plan-Annahmen'!$B$49-H76))</f>
        <v>0</v>
      </c>
      <c r="G77" s="60" t="n">
        <f aca="false">E77-F77</f>
        <v>4.87806852981452</v>
      </c>
      <c r="H77" s="60" t="n">
        <f aca="false">H76+F77</f>
        <v>25</v>
      </c>
      <c r="I77" s="79" t="n">
        <f aca="false">I76*(1-'Plan-Annahmen'!$B$29)+F77</f>
        <v>23.9824380973637</v>
      </c>
      <c r="J77" s="79" t="n">
        <f aca="false">J76*(1-'Plan-Annahmen'!$B$26)+G77</f>
        <v>6.31243935864713</v>
      </c>
      <c r="K77" s="80" t="n">
        <f aca="false">I77+J77</f>
        <v>30.2948774560108</v>
      </c>
      <c r="L77" s="81" t="n">
        <v>19.5</v>
      </c>
      <c r="M77" s="82" t="n">
        <f aca="false">K77*'Plan-Annahmen'!$B$41</f>
        <v>9.08846323680324</v>
      </c>
      <c r="N77" s="82" t="n">
        <f aca="false">E77*'Plan-Annahmen'!$B$42</f>
        <v>4.87806852981452</v>
      </c>
      <c r="O77" s="82" t="n">
        <f aca="false">'Plan-Annahmen'!$B$40</f>
        <v>25</v>
      </c>
      <c r="P77" s="80" t="n">
        <f aca="false">L77+M77+N77+O77</f>
        <v>58.4665317666178</v>
      </c>
      <c r="Q77" s="26" t="n">
        <f aca="false">IF(P77&gt;'Plan-Annahmen'!$B$39,1,0)</f>
        <v>0</v>
      </c>
      <c r="R77" s="26" t="n">
        <f aca="false">IF(P77&gt;'Plan-Annahmen'!$B$38,1,0)</f>
        <v>0</v>
      </c>
    </row>
    <row r="78" customFormat="false" ht="15" hidden="false" customHeight="false" outlineLevel="0" collapsed="false">
      <c r="A78" s="26" t="n">
        <v>13</v>
      </c>
      <c r="B78" s="78" t="n">
        <f aca="false">EDATE('Plan-Annahmen'!$B$8,A78-1)</f>
        <v>46631</v>
      </c>
      <c r="C78" s="40" t="n">
        <v>4.5</v>
      </c>
      <c r="D78" s="61" t="n">
        <f aca="false">IF(A78-'Plan-Annahmen'!$B$23&lt;1,0,INDEX($K$66:$K$89,A78-'Plan-Annahmen'!$B$23)*'Plan-Annahmen'!$B$17/12*'Plan-Annahmen'!$B$20*(1+'Plan-Annahmen'!$B$30*'Plan-Annahmen'!$B$31))</f>
        <v>0.449809810801076</v>
      </c>
      <c r="E78" s="60" t="n">
        <f aca="false">C78+D78</f>
        <v>4.94980981080108</v>
      </c>
      <c r="F78" s="60" t="n">
        <f aca="false">MIN(E78,MAX(0,'Plan-Annahmen'!$B$49-H77))</f>
        <v>0</v>
      </c>
      <c r="G78" s="60" t="n">
        <f aca="false">E78-F78</f>
        <v>4.94980981080108</v>
      </c>
      <c r="H78" s="60" t="n">
        <f aca="false">H77+F78</f>
        <v>25</v>
      </c>
      <c r="I78" s="79" t="n">
        <f aca="false">I77*(1-'Plan-Annahmen'!$B$29)+F78</f>
        <v>23.74261371639</v>
      </c>
      <c r="J78" s="79" t="n">
        <f aca="false">J77*(1-'Plan-Annahmen'!$B$26)+G78</f>
        <v>11.0728759886888</v>
      </c>
      <c r="K78" s="80" t="n">
        <f aca="false">I78+J78</f>
        <v>34.8154897050788</v>
      </c>
      <c r="L78" s="81" t="n">
        <v>19.5</v>
      </c>
      <c r="M78" s="82" t="n">
        <f aca="false">K78*'Plan-Annahmen'!$B$41</f>
        <v>10.4446469115236</v>
      </c>
      <c r="N78" s="82" t="n">
        <f aca="false">E78*'Plan-Annahmen'!$B$42</f>
        <v>4.94980981080108</v>
      </c>
      <c r="O78" s="82" t="n">
        <f aca="false">'Plan-Annahmen'!$B$40</f>
        <v>25</v>
      </c>
      <c r="P78" s="80" t="n">
        <f aca="false">L78+M78+N78+O78</f>
        <v>59.8944567223247</v>
      </c>
      <c r="Q78" s="26" t="n">
        <f aca="false">IF(P78&gt;'Plan-Annahmen'!$B$39,1,0)</f>
        <v>0</v>
      </c>
      <c r="R78" s="26" t="n">
        <f aca="false">IF(P78&gt;'Plan-Annahmen'!$B$38,1,0)</f>
        <v>0</v>
      </c>
    </row>
    <row r="79" customFormat="false" ht="15" hidden="false" customHeight="false" outlineLevel="0" collapsed="false">
      <c r="A79" s="26" t="n">
        <v>14</v>
      </c>
      <c r="B79" s="78" t="n">
        <f aca="false">EDATE('Plan-Annahmen'!$B$8,A79-1)</f>
        <v>46661</v>
      </c>
      <c r="C79" s="40" t="n">
        <v>4.5</v>
      </c>
      <c r="D79" s="61" t="n">
        <f aca="false">IF(A79-'Plan-Annahmen'!$B$23&lt;1,0,INDEX($K$66:$K$89,A79-'Plan-Annahmen'!$B$23)*'Plan-Annahmen'!$B$17/12*'Plan-Annahmen'!$B$20*(1+'Plan-Annahmen'!$B$30*'Plan-Annahmen'!$B$31))</f>
        <v>0.530160355480189</v>
      </c>
      <c r="E79" s="60" t="n">
        <f aca="false">C79+D79</f>
        <v>5.03016035548019</v>
      </c>
      <c r="F79" s="60" t="n">
        <f aca="false">MIN(E79,MAX(0,'Plan-Annahmen'!$B$49-H78))</f>
        <v>0</v>
      </c>
      <c r="G79" s="60" t="n">
        <f aca="false">E79-F79</f>
        <v>5.03016035548019</v>
      </c>
      <c r="H79" s="60" t="n">
        <f aca="false">H78+F79</f>
        <v>25</v>
      </c>
      <c r="I79" s="79" t="n">
        <f aca="false">I78*(1-'Plan-Annahmen'!$B$29)+F79</f>
        <v>23.5051875792261</v>
      </c>
      <c r="J79" s="79" t="n">
        <f aca="false">J78*(1-'Plan-Annahmen'!$B$26)+G79</f>
        <v>15.7708500645083</v>
      </c>
      <c r="K79" s="80" t="n">
        <f aca="false">I79+J79</f>
        <v>39.2760376437345</v>
      </c>
      <c r="L79" s="81" t="n">
        <v>19.5</v>
      </c>
      <c r="M79" s="82" t="n">
        <f aca="false">K79*'Plan-Annahmen'!$B$41</f>
        <v>11.7828112931203</v>
      </c>
      <c r="N79" s="82" t="n">
        <f aca="false">E79*'Plan-Annahmen'!$B$42</f>
        <v>5.03016035548019</v>
      </c>
      <c r="O79" s="82" t="n">
        <f aca="false">'Plan-Annahmen'!$B$40</f>
        <v>25</v>
      </c>
      <c r="P79" s="80" t="n">
        <f aca="false">L79+M79+N79+O79</f>
        <v>61.3129716486005</v>
      </c>
      <c r="Q79" s="26" t="n">
        <f aca="false">IF(P79&gt;'Plan-Annahmen'!$B$39,1,0)</f>
        <v>0</v>
      </c>
      <c r="R79" s="26" t="n">
        <f aca="false">IF(P79&gt;'Plan-Annahmen'!$B$38,1,0)</f>
        <v>0</v>
      </c>
    </row>
    <row r="80" customFormat="false" ht="15" hidden="false" customHeight="false" outlineLevel="0" collapsed="false">
      <c r="A80" s="26" t="n">
        <v>15</v>
      </c>
      <c r="B80" s="78" t="n">
        <f aca="false">EDATE('Plan-Annahmen'!$B$8,A80-1)</f>
        <v>46692</v>
      </c>
      <c r="C80" s="40" t="n">
        <v>4.5</v>
      </c>
      <c r="D80" s="61" t="n">
        <f aca="false">IF(A80-'Plan-Annahmen'!$B$23&lt;1,0,INDEX($K$66:$K$89,A80-'Plan-Annahmen'!$B$23)*'Plan-Annahmen'!$B$17/12*'Plan-Annahmen'!$B$20*(1+'Plan-Annahmen'!$B$30*'Plan-Annahmen'!$B$31))</f>
        <v>0.60927106983888</v>
      </c>
      <c r="E80" s="60" t="n">
        <f aca="false">C80+D80</f>
        <v>5.10927106983888</v>
      </c>
      <c r="F80" s="60" t="n">
        <f aca="false">MIN(E80,MAX(0,'Plan-Annahmen'!$B$49-H79))</f>
        <v>0</v>
      </c>
      <c r="G80" s="60" t="n">
        <f aca="false">E80-F80</f>
        <v>5.10927106983888</v>
      </c>
      <c r="H80" s="60" t="n">
        <f aca="false">H79+F80</f>
        <v>25</v>
      </c>
      <c r="I80" s="79" t="n">
        <f aca="false">I79*(1-'Plan-Annahmen'!$B$29)+F80</f>
        <v>23.2701357034339</v>
      </c>
      <c r="J80" s="79" t="n">
        <f aca="false">J79*(1-'Plan-Annahmen'!$B$26)+G80</f>
        <v>20.406995632412</v>
      </c>
      <c r="K80" s="80" t="n">
        <f aca="false">I80+J80</f>
        <v>43.6771313358458</v>
      </c>
      <c r="L80" s="81" t="n">
        <v>19.5</v>
      </c>
      <c r="M80" s="82" t="n">
        <f aca="false">K80*'Plan-Annahmen'!$B$41</f>
        <v>13.1031394007537</v>
      </c>
      <c r="N80" s="82" t="n">
        <f aca="false">E80*'Plan-Annahmen'!$B$42</f>
        <v>5.10927106983888</v>
      </c>
      <c r="O80" s="82" t="n">
        <f aca="false">'Plan-Annahmen'!$B$40</f>
        <v>25</v>
      </c>
      <c r="P80" s="80" t="n">
        <f aca="false">L80+M80+N80+O80</f>
        <v>62.7124104705926</v>
      </c>
      <c r="Q80" s="26" t="n">
        <f aca="false">IF(P80&gt;'Plan-Annahmen'!$B$39,1,0)</f>
        <v>0</v>
      </c>
      <c r="R80" s="26" t="n">
        <f aca="false">IF(P80&gt;'Plan-Annahmen'!$B$38,1,0)</f>
        <v>0</v>
      </c>
    </row>
    <row r="81" customFormat="false" ht="15" hidden="false" customHeight="false" outlineLevel="0" collapsed="false">
      <c r="A81" s="26" t="n">
        <v>16</v>
      </c>
      <c r="B81" s="78" t="n">
        <f aca="false">EDATE('Plan-Annahmen'!$B$8,A81-1)</f>
        <v>46722</v>
      </c>
      <c r="C81" s="40" t="n">
        <v>4.75</v>
      </c>
      <c r="D81" s="61" t="n">
        <f aca="false">IF(A81-'Plan-Annahmen'!$B$23&lt;1,0,INDEX($K$66:$K$89,A81-'Plan-Annahmen'!$B$23)*'Plan-Annahmen'!$B$17/12*'Plan-Annahmen'!$B$20*(1+'Plan-Annahmen'!$B$30*'Plan-Annahmen'!$B$31))</f>
        <v>0.687330658765353</v>
      </c>
      <c r="E81" s="60" t="n">
        <f aca="false">C81+D81</f>
        <v>5.43733065876535</v>
      </c>
      <c r="F81" s="60" t="n">
        <f aca="false">MIN(E81,MAX(0,'Plan-Annahmen'!$B$49-H80))</f>
        <v>0</v>
      </c>
      <c r="G81" s="60" t="n">
        <f aca="false">E81-F81</f>
        <v>5.43733065876535</v>
      </c>
      <c r="H81" s="60" t="n">
        <f aca="false">H80+F81</f>
        <v>25</v>
      </c>
      <c r="I81" s="79" t="n">
        <f aca="false">I80*(1-'Plan-Annahmen'!$B$29)+F81</f>
        <v>23.0374343463995</v>
      </c>
      <c r="J81" s="79" t="n">
        <f aca="false">J80*(1-'Plan-Annahmen'!$B$26)+G81</f>
        <v>25.2321164222049</v>
      </c>
      <c r="K81" s="80" t="n">
        <f aca="false">I81+J81</f>
        <v>48.2695507686045</v>
      </c>
      <c r="L81" s="81" t="n">
        <v>19.5</v>
      </c>
      <c r="M81" s="82" t="n">
        <f aca="false">K81*'Plan-Annahmen'!$B$41</f>
        <v>14.4808652305813</v>
      </c>
      <c r="N81" s="82" t="n">
        <f aca="false">E81*'Plan-Annahmen'!$B$42</f>
        <v>5.43733065876535</v>
      </c>
      <c r="O81" s="82" t="n">
        <f aca="false">'Plan-Annahmen'!$B$40</f>
        <v>25</v>
      </c>
      <c r="P81" s="80" t="n">
        <f aca="false">L81+M81+N81+O81</f>
        <v>64.4181958893467</v>
      </c>
      <c r="Q81" s="26" t="n">
        <f aca="false">IF(P81&gt;'Plan-Annahmen'!$B$39,1,0)</f>
        <v>0</v>
      </c>
      <c r="R81" s="26" t="n">
        <f aca="false">IF(P81&gt;'Plan-Annahmen'!$B$38,1,0)</f>
        <v>0</v>
      </c>
    </row>
    <row r="82" customFormat="false" ht="15" hidden="false" customHeight="false" outlineLevel="0" collapsed="false">
      <c r="A82" s="26" t="n">
        <v>17</v>
      </c>
      <c r="B82" s="78" t="n">
        <f aca="false">EDATE('Plan-Annahmen'!$B$8,A82-1)</f>
        <v>46753</v>
      </c>
      <c r="C82" s="40" t="n">
        <v>6.75</v>
      </c>
      <c r="D82" s="61" t="n">
        <f aca="false">IF(A82-'Plan-Annahmen'!$B$23&lt;1,0,INDEX($K$66:$K$89,A82-'Plan-Annahmen'!$B$23)*'Plan-Annahmen'!$B$17/12*'Plan-Annahmen'!$B$20*(1+'Plan-Annahmen'!$B$30*'Plan-Annahmen'!$B$31))</f>
        <v>0.764349798377302</v>
      </c>
      <c r="E82" s="60" t="n">
        <f aca="false">C82+D82</f>
        <v>7.5143497983773</v>
      </c>
      <c r="F82" s="60" t="n">
        <f aca="false">MIN(E82,MAX(0,'Plan-Annahmen'!$B$49-H81))</f>
        <v>0</v>
      </c>
      <c r="G82" s="60" t="n">
        <f aca="false">E82-F82</f>
        <v>7.5143497983773</v>
      </c>
      <c r="H82" s="60" t="n">
        <f aca="false">H81+F82</f>
        <v>25</v>
      </c>
      <c r="I82" s="79" t="n">
        <f aca="false">I81*(1-'Plan-Annahmen'!$B$29)+F82</f>
        <v>22.8070600029355</v>
      </c>
      <c r="J82" s="79" t="n">
        <f aca="false">J81*(1-'Plan-Annahmen'!$B$26)+G82</f>
        <v>31.9895027279161</v>
      </c>
      <c r="K82" s="80" t="n">
        <f aca="false">I82+J82</f>
        <v>54.7965627308516</v>
      </c>
      <c r="L82" s="81" t="n">
        <v>19.5</v>
      </c>
      <c r="M82" s="82" t="n">
        <f aca="false">K82*'Plan-Annahmen'!$B$41</f>
        <v>16.4389688192555</v>
      </c>
      <c r="N82" s="82" t="n">
        <f aca="false">E82*'Plan-Annahmen'!$B$42</f>
        <v>7.5143497983773</v>
      </c>
      <c r="O82" s="82" t="n">
        <f aca="false">'Plan-Annahmen'!$B$40</f>
        <v>25</v>
      </c>
      <c r="P82" s="80" t="n">
        <f aca="false">L82+M82+N82+O82</f>
        <v>68.4533186176328</v>
      </c>
      <c r="Q82" s="26" t="n">
        <f aca="false">IF(P82&gt;'Plan-Annahmen'!$B$39,1,0)</f>
        <v>1</v>
      </c>
      <c r="R82" s="26" t="n">
        <f aca="false">IF(P82&gt;'Plan-Annahmen'!$B$38,1,0)</f>
        <v>0</v>
      </c>
    </row>
    <row r="83" customFormat="false" ht="15" hidden="false" customHeight="false" outlineLevel="0" collapsed="false">
      <c r="A83" s="26" t="n">
        <v>18</v>
      </c>
      <c r="B83" s="78" t="n">
        <f aca="false">EDATE('Plan-Annahmen'!$B$8,A83-1)</f>
        <v>46784</v>
      </c>
      <c r="C83" s="40" t="n">
        <v>6.75</v>
      </c>
      <c r="D83" s="61" t="n">
        <f aca="false">IF(A83-'Plan-Annahmen'!$B$23&lt;1,0,INDEX($K$66:$K$89,A83-'Plan-Annahmen'!$B$23)*'Plan-Annahmen'!$B$17/12*'Plan-Annahmen'!$B$20*(1+'Plan-Annahmen'!$B$30*'Plan-Annahmen'!$B$31))</f>
        <v>0.844717138450578</v>
      </c>
      <c r="E83" s="60" t="n">
        <f aca="false">C83+D83</f>
        <v>7.59471713845058</v>
      </c>
      <c r="F83" s="60" t="n">
        <f aca="false">MIN(E83,MAX(0,'Plan-Annahmen'!$B$49-H82))</f>
        <v>0</v>
      </c>
      <c r="G83" s="60" t="n">
        <f aca="false">E83-F83</f>
        <v>7.59471713845058</v>
      </c>
      <c r="H83" s="60" t="n">
        <f aca="false">H82+F83</f>
        <v>25</v>
      </c>
      <c r="I83" s="79" t="n">
        <f aca="false">I82*(1-'Plan-Annahmen'!$B$29)+F83</f>
        <v>22.5789894029062</v>
      </c>
      <c r="J83" s="79" t="n">
        <f aca="false">J82*(1-'Plan-Annahmen'!$B$26)+G83</f>
        <v>38.6245347845292</v>
      </c>
      <c r="K83" s="80" t="n">
        <f aca="false">I83+J83</f>
        <v>61.2035241874354</v>
      </c>
      <c r="L83" s="81" t="n">
        <v>19.5</v>
      </c>
      <c r="M83" s="82" t="n">
        <f aca="false">K83*'Plan-Annahmen'!$B$41</f>
        <v>18.3610572562306</v>
      </c>
      <c r="N83" s="82" t="n">
        <f aca="false">E83*'Plan-Annahmen'!$B$42</f>
        <v>7.59471713845058</v>
      </c>
      <c r="O83" s="82" t="n">
        <f aca="false">'Plan-Annahmen'!$B$40</f>
        <v>25</v>
      </c>
      <c r="P83" s="80" t="n">
        <f aca="false">L83+M83+N83+O83</f>
        <v>70.4557743946812</v>
      </c>
      <c r="Q83" s="26" t="n">
        <f aca="false">IF(P83&gt;'Plan-Annahmen'!$B$39,1,0)</f>
        <v>1</v>
      </c>
      <c r="R83" s="26" t="n">
        <f aca="false">IF(P83&gt;'Plan-Annahmen'!$B$38,1,0)</f>
        <v>0</v>
      </c>
    </row>
    <row r="84" customFormat="false" ht="15" hidden="false" customHeight="false" outlineLevel="0" collapsed="false">
      <c r="A84" s="26" t="n">
        <v>19</v>
      </c>
      <c r="B84" s="78" t="n">
        <f aca="false">EDATE('Plan-Annahmen'!$B$8,A84-1)</f>
        <v>46813</v>
      </c>
      <c r="C84" s="40" t="n">
        <v>6.75</v>
      </c>
      <c r="D84" s="61" t="n">
        <f aca="false">IF(A84-'Plan-Annahmen'!$B$23&lt;1,0,INDEX($K$66:$K$89,A84-'Plan-Annahmen'!$B$23)*'Plan-Annahmen'!$B$17/12*'Plan-Annahmen'!$B$20*(1+'Plan-Annahmen'!$B$30*'Plan-Annahmen'!$B$31))</f>
        <v>0.958939847789903</v>
      </c>
      <c r="E84" s="60" t="n">
        <f aca="false">C84+D84</f>
        <v>7.7089398477899</v>
      </c>
      <c r="F84" s="60" t="n">
        <f aca="false">MIN(E84,MAX(0,'Plan-Annahmen'!$B$49-H83))</f>
        <v>0</v>
      </c>
      <c r="G84" s="60" t="n">
        <f aca="false">E84-F84</f>
        <v>7.7089398477899</v>
      </c>
      <c r="H84" s="60" t="n">
        <f aca="false">H83+F84</f>
        <v>25</v>
      </c>
      <c r="I84" s="79" t="n">
        <f aca="false">I83*(1-'Plan-Annahmen'!$B$29)+F84</f>
        <v>22.3531995088771</v>
      </c>
      <c r="J84" s="79" t="n">
        <f aca="false">J83*(1-'Plan-Annahmen'!$B$26)+G84</f>
        <v>45.1747385887832</v>
      </c>
      <c r="K84" s="80" t="n">
        <f aca="false">I84+J84</f>
        <v>67.5279380976603</v>
      </c>
      <c r="L84" s="81" t="n">
        <v>19.5</v>
      </c>
      <c r="M84" s="82" t="n">
        <f aca="false">K84*'Plan-Annahmen'!$B$41</f>
        <v>20.2583814292981</v>
      </c>
      <c r="N84" s="82" t="n">
        <f aca="false">E84*'Plan-Annahmen'!$B$42</f>
        <v>7.7089398477899</v>
      </c>
      <c r="O84" s="82" t="n">
        <f aca="false">'Plan-Annahmen'!$B$40</f>
        <v>25</v>
      </c>
      <c r="P84" s="80" t="n">
        <f aca="false">L84+M84+N84+O84</f>
        <v>72.467321277088</v>
      </c>
      <c r="Q84" s="26" t="n">
        <f aca="false">IF(P84&gt;'Plan-Annahmen'!$B$39,1,0)</f>
        <v>1</v>
      </c>
      <c r="R84" s="26" t="n">
        <f aca="false">IF(P84&gt;'Plan-Annahmen'!$B$38,1,0)</f>
        <v>0</v>
      </c>
    </row>
    <row r="85" customFormat="false" ht="15" hidden="false" customHeight="false" outlineLevel="0" collapsed="false">
      <c r="A85" s="26" t="n">
        <v>20</v>
      </c>
      <c r="B85" s="78" t="n">
        <f aca="false">EDATE('Plan-Annahmen'!$B$8,A85-1)</f>
        <v>46844</v>
      </c>
      <c r="C85" s="40" t="n">
        <v>7</v>
      </c>
      <c r="D85" s="61" t="n">
        <f aca="false">IF(A85-'Plan-Annahmen'!$B$23&lt;1,0,INDEX($K$66:$K$89,A85-'Plan-Annahmen'!$B$23)*'Plan-Annahmen'!$B$17/12*'Plan-Annahmen'!$B$20*(1+'Plan-Annahmen'!$B$30*'Plan-Annahmen'!$B$31))</f>
        <v>1.07106167328012</v>
      </c>
      <c r="E85" s="60" t="n">
        <f aca="false">C85+D85</f>
        <v>8.07106167328012</v>
      </c>
      <c r="F85" s="60" t="n">
        <f aca="false">MIN(E85,MAX(0,'Plan-Annahmen'!$B$49-H84))</f>
        <v>0</v>
      </c>
      <c r="G85" s="60" t="n">
        <f aca="false">E85-F85</f>
        <v>8.07106167328012</v>
      </c>
      <c r="H85" s="60" t="n">
        <f aca="false">H84+F85</f>
        <v>25</v>
      </c>
      <c r="I85" s="79" t="n">
        <f aca="false">I84*(1-'Plan-Annahmen'!$B$29)+F85</f>
        <v>22.1296675137883</v>
      </c>
      <c r="J85" s="79" t="n">
        <f aca="false">J84*(1-'Plan-Annahmen'!$B$26)+G85</f>
        <v>51.8905581043998</v>
      </c>
      <c r="K85" s="80" t="n">
        <f aca="false">I85+J85</f>
        <v>74.0202256181882</v>
      </c>
      <c r="L85" s="81" t="n">
        <v>19.5</v>
      </c>
      <c r="M85" s="82" t="n">
        <f aca="false">K85*'Plan-Annahmen'!$B$41</f>
        <v>22.2060676854565</v>
      </c>
      <c r="N85" s="82" t="n">
        <f aca="false">E85*'Plan-Annahmen'!$B$42</f>
        <v>8.07106167328012</v>
      </c>
      <c r="O85" s="82" t="n">
        <f aca="false">'Plan-Annahmen'!$B$40</f>
        <v>25</v>
      </c>
      <c r="P85" s="80" t="n">
        <f aca="false">L85+M85+N85+O85</f>
        <v>74.7771293587366</v>
      </c>
      <c r="Q85" s="26" t="n">
        <f aca="false">IF(P85&gt;'Plan-Annahmen'!$B$39,1,0)</f>
        <v>1</v>
      </c>
      <c r="R85" s="26" t="n">
        <f aca="false">IF(P85&gt;'Plan-Annahmen'!$B$38,1,0)</f>
        <v>0</v>
      </c>
    </row>
    <row r="86" customFormat="false" ht="15" hidden="false" customHeight="false" outlineLevel="0" collapsed="false">
      <c r="A86" s="26" t="n">
        <v>21</v>
      </c>
      <c r="B86" s="78" t="n">
        <f aca="false">EDATE('Plan-Annahmen'!$B$8,A86-1)</f>
        <v>46874</v>
      </c>
      <c r="C86" s="40" t="n">
        <v>7</v>
      </c>
      <c r="D86" s="61" t="n">
        <f aca="false">IF(A86-'Plan-Annahmen'!$B$23&lt;1,0,INDEX($K$66:$K$89,A86-'Plan-Annahmen'!$B$23)*'Plan-Annahmen'!$B$17/12*'Plan-Annahmen'!$B$20*(1+'Plan-Annahmen'!$B$30*'Plan-Annahmen'!$B$31))</f>
        <v>1.18173891670906</v>
      </c>
      <c r="E86" s="60" t="n">
        <f aca="false">C86+D86</f>
        <v>8.18173891670906</v>
      </c>
      <c r="F86" s="60" t="n">
        <f aca="false">MIN(E86,MAX(0,'Plan-Annahmen'!$B$49-H85))</f>
        <v>0</v>
      </c>
      <c r="G86" s="60" t="n">
        <f aca="false">E86-F86</f>
        <v>8.18173891670906</v>
      </c>
      <c r="H86" s="60" t="n">
        <f aca="false">H85+F86</f>
        <v>25</v>
      </c>
      <c r="I86" s="79" t="n">
        <f aca="false">I85*(1-'Plan-Annahmen'!$B$29)+F86</f>
        <v>21.9083708386505</v>
      </c>
      <c r="J86" s="79" t="n">
        <f aca="false">J85*(1-'Plan-Annahmen'!$B$26)+G86</f>
        <v>58.5155802779769</v>
      </c>
      <c r="K86" s="80" t="n">
        <f aca="false">I86+J86</f>
        <v>80.4239511166274</v>
      </c>
      <c r="L86" s="81" t="n">
        <v>19.5</v>
      </c>
      <c r="M86" s="82" t="n">
        <f aca="false">K86*'Plan-Annahmen'!$B$41</f>
        <v>24.1271853349882</v>
      </c>
      <c r="N86" s="82" t="n">
        <f aca="false">E86*'Plan-Annahmen'!$B$42</f>
        <v>8.18173891670906</v>
      </c>
      <c r="O86" s="82" t="n">
        <f aca="false">'Plan-Annahmen'!$B$40</f>
        <v>25</v>
      </c>
      <c r="P86" s="80" t="n">
        <f aca="false">L86+M86+N86+O86</f>
        <v>76.8089242516973</v>
      </c>
      <c r="Q86" s="26" t="n">
        <f aca="false">IF(P86&gt;'Plan-Annahmen'!$B$39,1,0)</f>
        <v>1</v>
      </c>
      <c r="R86" s="26" t="n">
        <f aca="false">IF(P86&gt;'Plan-Annahmen'!$B$38,1,0)</f>
        <v>0</v>
      </c>
    </row>
    <row r="87" customFormat="false" ht="15" hidden="false" customHeight="false" outlineLevel="0" collapsed="false">
      <c r="A87" s="26" t="n">
        <v>22</v>
      </c>
      <c r="B87" s="78" t="n">
        <f aca="false">EDATE('Plan-Annahmen'!$B$8,A87-1)</f>
        <v>46905</v>
      </c>
      <c r="C87" s="40" t="n">
        <v>7</v>
      </c>
      <c r="D87" s="61" t="n">
        <f aca="false">IF(A87-'Plan-Annahmen'!$B$23&lt;1,0,INDEX($K$66:$K$89,A87-'Plan-Annahmen'!$B$23)*'Plan-Annahmen'!$B$17/12*'Plan-Annahmen'!$B$20*(1+'Plan-Annahmen'!$B$30*'Plan-Annahmen'!$B$31))</f>
        <v>1.29535394831829</v>
      </c>
      <c r="E87" s="60" t="n">
        <f aca="false">C87+D87</f>
        <v>8.29535394831829</v>
      </c>
      <c r="F87" s="60" t="n">
        <f aca="false">MIN(E87,MAX(0,'Plan-Annahmen'!$B$49-H86))</f>
        <v>0</v>
      </c>
      <c r="G87" s="60" t="n">
        <f aca="false">E87-F87</f>
        <v>8.29535394831829</v>
      </c>
      <c r="H87" s="60" t="n">
        <f aca="false">H86+F87</f>
        <v>25</v>
      </c>
      <c r="I87" s="79" t="n">
        <f aca="false">I86*(1-'Plan-Annahmen'!$B$29)+F87</f>
        <v>21.689287130264</v>
      </c>
      <c r="J87" s="79" t="n">
        <f aca="false">J86*(1-'Plan-Annahmen'!$B$26)+G87</f>
        <v>65.0554668179559</v>
      </c>
      <c r="K87" s="80" t="n">
        <f aca="false">I87+J87</f>
        <v>86.7447539482199</v>
      </c>
      <c r="L87" s="81" t="n">
        <v>19.5</v>
      </c>
      <c r="M87" s="82" t="n">
        <f aca="false">K87*'Plan-Annahmen'!$B$41</f>
        <v>26.023426184466</v>
      </c>
      <c r="N87" s="82" t="n">
        <f aca="false">E87*'Plan-Annahmen'!$B$42</f>
        <v>8.29535394831829</v>
      </c>
      <c r="O87" s="82" t="n">
        <f aca="false">'Plan-Annahmen'!$B$40</f>
        <v>25</v>
      </c>
      <c r="P87" s="80" t="n">
        <f aca="false">L87+M87+N87+O87</f>
        <v>78.8187801327842</v>
      </c>
      <c r="Q87" s="26" t="n">
        <f aca="false">IF(P87&gt;'Plan-Annahmen'!$B$39,1,0)</f>
        <v>1</v>
      </c>
      <c r="R87" s="26" t="n">
        <f aca="false">IF(P87&gt;'Plan-Annahmen'!$B$38,1,0)</f>
        <v>0</v>
      </c>
    </row>
    <row r="88" customFormat="false" ht="15" hidden="false" customHeight="false" outlineLevel="0" collapsed="false">
      <c r="A88" s="26" t="n">
        <v>23</v>
      </c>
      <c r="B88" s="78" t="n">
        <f aca="false">EDATE('Plan-Annahmen'!$B$8,A88-1)</f>
        <v>46935</v>
      </c>
      <c r="C88" s="40" t="n">
        <v>7</v>
      </c>
      <c r="D88" s="61" t="n">
        <f aca="false">IF(A88-'Plan-Annahmen'!$B$23&lt;1,0,INDEX($K$66:$K$89,A88-'Plan-Annahmen'!$B$23)*'Plan-Annahmen'!$B$17/12*'Plan-Annahmen'!$B$20*(1+'Plan-Annahmen'!$B$30*'Plan-Annahmen'!$B$31))</f>
        <v>1.40741914454098</v>
      </c>
      <c r="E88" s="60" t="n">
        <f aca="false">C88+D88</f>
        <v>8.40741914454098</v>
      </c>
      <c r="F88" s="60" t="n">
        <f aca="false">MIN(E88,MAX(0,'Plan-Annahmen'!$B$49-H87))</f>
        <v>0</v>
      </c>
      <c r="G88" s="60" t="n">
        <f aca="false">E88-F88</f>
        <v>8.40741914454098</v>
      </c>
      <c r="H88" s="60" t="n">
        <f aca="false">H87+F88</f>
        <v>25</v>
      </c>
      <c r="I88" s="79" t="n">
        <f aca="false">I87*(1-'Plan-Annahmen'!$B$29)+F88</f>
        <v>21.4723942589613</v>
      </c>
      <c r="J88" s="79" t="n">
        <f aca="false">J87*(1-'Plan-Annahmen'!$B$26)+G88</f>
        <v>71.5112219579582</v>
      </c>
      <c r="K88" s="80" t="n">
        <f aca="false">I88+J88</f>
        <v>92.9836162169195</v>
      </c>
      <c r="L88" s="81" t="n">
        <v>19.5</v>
      </c>
      <c r="M88" s="82" t="n">
        <f aca="false">K88*'Plan-Annahmen'!$B$41</f>
        <v>27.8950848650758</v>
      </c>
      <c r="N88" s="82" t="n">
        <f aca="false">E88*'Plan-Annahmen'!$B$42</f>
        <v>8.40741914454098</v>
      </c>
      <c r="O88" s="82" t="n">
        <f aca="false">'Plan-Annahmen'!$B$40</f>
        <v>25</v>
      </c>
      <c r="P88" s="80" t="n">
        <f aca="false">L88+M88+N88+O88</f>
        <v>80.8025040096168</v>
      </c>
      <c r="Q88" s="26" t="n">
        <f aca="false">IF(P88&gt;'Plan-Annahmen'!$B$39,1,0)</f>
        <v>1</v>
      </c>
      <c r="R88" s="26" t="n">
        <f aca="false">IF(P88&gt;'Plan-Annahmen'!$B$38,1,0)</f>
        <v>0</v>
      </c>
    </row>
    <row r="89" customFormat="false" ht="15" hidden="false" customHeight="false" outlineLevel="0" collapsed="false">
      <c r="A89" s="26" t="n">
        <v>24</v>
      </c>
      <c r="B89" s="78" t="n">
        <f aca="false">EDATE('Plan-Annahmen'!$B$8,A89-1)</f>
        <v>46966</v>
      </c>
      <c r="C89" s="40" t="n">
        <v>7</v>
      </c>
      <c r="D89" s="61" t="n">
        <f aca="false">IF(A89-'Plan-Annahmen'!$B$23&lt;1,0,INDEX($K$66:$K$89,A89-'Plan-Annahmen'!$B$23)*'Plan-Annahmen'!$B$17/12*'Plan-Annahmen'!$B$20*(1+'Plan-Annahmen'!$B$30*'Plan-Annahmen'!$B$31))</f>
        <v>1.51803319409385</v>
      </c>
      <c r="E89" s="60" t="n">
        <f aca="false">C89+D89</f>
        <v>8.51803319409385</v>
      </c>
      <c r="F89" s="60" t="n">
        <f aca="false">MIN(E89,MAX(0,'Plan-Annahmen'!$B$49-H88))</f>
        <v>0</v>
      </c>
      <c r="G89" s="60" t="n">
        <f aca="false">E89-F89</f>
        <v>8.51803319409385</v>
      </c>
      <c r="H89" s="60" t="n">
        <f aca="false">H88+F89</f>
        <v>25</v>
      </c>
      <c r="I89" s="79" t="n">
        <f aca="false">I88*(1-'Plan-Annahmen'!$B$29)+F89</f>
        <v>21.2576703163717</v>
      </c>
      <c r="J89" s="79" t="n">
        <f aca="false">J88*(1-'Plan-Annahmen'!$B$26)+G89</f>
        <v>77.8839184933133</v>
      </c>
      <c r="K89" s="80" t="n">
        <f aca="false">I89+J89</f>
        <v>99.141588809685</v>
      </c>
      <c r="L89" s="81" t="n">
        <v>19.5</v>
      </c>
      <c r="M89" s="82" t="n">
        <f aca="false">K89*'Plan-Annahmen'!$B$41</f>
        <v>29.7424766429055</v>
      </c>
      <c r="N89" s="82" t="n">
        <f aca="false">E89*'Plan-Annahmen'!$B$42</f>
        <v>8.51803319409385</v>
      </c>
      <c r="O89" s="82" t="n">
        <f aca="false">'Plan-Annahmen'!$B$40</f>
        <v>25</v>
      </c>
      <c r="P89" s="80" t="n">
        <f aca="false">L89+M89+N89+O89</f>
        <v>82.7605098369994</v>
      </c>
      <c r="Q89" s="26" t="n">
        <f aca="false">IF(P89&gt;'Plan-Annahmen'!$B$39,1,0)</f>
        <v>1</v>
      </c>
      <c r="R89" s="26" t="n">
        <f aca="false">IF(P89&gt;'Plan-Annahmen'!$B$38,1,0)</f>
        <v>0</v>
      </c>
    </row>
    <row r="90" customFormat="false" ht="15" hidden="false" customHeight="false" outlineLevel="0" collapsed="false">
      <c r="A90" s="13" t="s">
        <v>530</v>
      </c>
      <c r="B90" s="14"/>
      <c r="C90" s="83" t="n">
        <f aca="false">SUM(C66:C89)</f>
        <v>103.5</v>
      </c>
      <c r="D90" s="83" t="n">
        <f aca="false">SUM(D66:D89)</f>
        <v>12.6749868994896</v>
      </c>
      <c r="E90" s="83" t="n">
        <f aca="false">SUM(E66:E89)</f>
        <v>116.17498689949</v>
      </c>
      <c r="F90" s="14"/>
      <c r="G90" s="14"/>
      <c r="H90" s="14"/>
      <c r="I90" s="14"/>
      <c r="J90" s="14"/>
      <c r="K90" s="83" t="n">
        <f aca="false">K89</f>
        <v>99.141588809685</v>
      </c>
      <c r="L90" s="14"/>
      <c r="M90" s="14"/>
      <c r="N90" s="14"/>
      <c r="O90" s="14"/>
      <c r="P90" s="14"/>
      <c r="Q90" s="71" t="n">
        <f aca="false">SUM(Q66:Q89)</f>
        <v>8</v>
      </c>
      <c r="R90" s="71" t="n">
        <f aca="false">SUM(R66:R89)</f>
        <v>0</v>
      </c>
    </row>
    <row r="93" customFormat="false" ht="39.55" hidden="false" customHeight="true" outlineLevel="0" collapsed="false">
      <c r="A93" s="35" t="s">
        <v>535</v>
      </c>
      <c r="B93" s="35"/>
      <c r="C93" s="35"/>
      <c r="D93" s="35"/>
      <c r="E93" s="35"/>
      <c r="F93" s="35"/>
      <c r="G93" s="35"/>
      <c r="H93" s="35"/>
      <c r="I93" s="35"/>
      <c r="J93" s="35"/>
      <c r="K93" s="35"/>
      <c r="L93" s="35"/>
      <c r="M93" s="35"/>
      <c r="N93" s="35"/>
      <c r="O93" s="35"/>
      <c r="P93" s="35"/>
      <c r="Q93" s="35"/>
      <c r="R93" s="35"/>
    </row>
  </sheetData>
  <mergeCells count="2">
    <mergeCell ref="A2:R4"/>
    <mergeCell ref="A93:R9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6" topLeftCell="D7" activePane="bottomRight" state="frozen"/>
      <selection pane="topLeft" activeCell="A1" activeCellId="0" sqref="A1"/>
      <selection pane="topRight" activeCell="D1" activeCellId="0" sqref="D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2" min="1" style="0" width="5"/>
    <col collapsed="false" customWidth="true" hidden="false" outlineLevel="0" max="3" min="3" style="0" width="44"/>
    <col collapsed="false" customWidth="true" hidden="false" outlineLevel="0" max="4" min="4" style="0" width="15"/>
    <col collapsed="false" customWidth="true" hidden="false" outlineLevel="0" max="5" min="5" style="0" width="11"/>
    <col collapsed="false" customWidth="true" hidden="false" outlineLevel="0" max="6" min="6" style="0" width="13"/>
    <col collapsed="false" customWidth="true" hidden="false" outlineLevel="0" max="7" min="7" style="0" width="16"/>
    <col collapsed="false" customWidth="true" hidden="false" outlineLevel="0" max="8" min="8" style="0" width="8"/>
    <col collapsed="false" customWidth="true" hidden="false" outlineLevel="0" max="9" min="9" style="0" width="13"/>
    <col collapsed="false" customWidth="true" hidden="false" outlineLevel="0" max="13" min="10" style="0" width="16"/>
    <col collapsed="false" customWidth="true" hidden="false" outlineLevel="0" max="37" min="14" style="0" width="10"/>
  </cols>
  <sheetData>
    <row r="1" customFormat="false" ht="17.35" hidden="false" customHeight="false" outlineLevel="0" collapsed="false">
      <c r="A1" s="34" t="s">
        <v>536</v>
      </c>
    </row>
    <row r="2" customFormat="false" ht="15" hidden="false" customHeight="true" outlineLevel="0" collapsed="false">
      <c r="A2" s="35" t="s">
        <v>537</v>
      </c>
      <c r="B2" s="35"/>
      <c r="C2" s="35"/>
      <c r="D2" s="35"/>
      <c r="E2" s="35"/>
      <c r="F2" s="35"/>
      <c r="G2" s="35"/>
      <c r="H2" s="35"/>
      <c r="I2" s="35"/>
      <c r="J2" s="35"/>
      <c r="K2" s="35"/>
      <c r="L2" s="35"/>
      <c r="M2" s="35"/>
    </row>
    <row r="3" customFormat="false" ht="15" hidden="false" customHeight="false" outlineLevel="0" collapsed="false">
      <c r="A3" s="35"/>
      <c r="B3" s="35"/>
      <c r="C3" s="35"/>
      <c r="D3" s="35"/>
      <c r="E3" s="35"/>
      <c r="F3" s="35"/>
      <c r="G3" s="35"/>
      <c r="H3" s="35"/>
      <c r="I3" s="35"/>
      <c r="J3" s="35"/>
      <c r="K3" s="35"/>
      <c r="L3" s="35"/>
      <c r="M3" s="35"/>
    </row>
    <row r="4" customFormat="false" ht="15" hidden="false" customHeight="false" outlineLevel="0" collapsed="false">
      <c r="A4" s="35"/>
      <c r="B4" s="35"/>
      <c r="C4" s="35"/>
      <c r="D4" s="35"/>
      <c r="E4" s="35"/>
      <c r="F4" s="35"/>
      <c r="G4" s="35"/>
      <c r="H4" s="35"/>
      <c r="I4" s="35"/>
      <c r="J4" s="35"/>
      <c r="K4" s="35"/>
      <c r="L4" s="35"/>
      <c r="M4" s="35"/>
    </row>
    <row r="6" customFormat="false" ht="39.55" hidden="false" customHeight="true" outlineLevel="0" collapsed="false">
      <c r="A6" s="3" t="s">
        <v>538</v>
      </c>
      <c r="B6" s="3" t="s">
        <v>539</v>
      </c>
      <c r="C6" s="3" t="s">
        <v>540</v>
      </c>
      <c r="D6" s="3" t="s">
        <v>541</v>
      </c>
      <c r="E6" s="3" t="s">
        <v>249</v>
      </c>
      <c r="F6" s="3" t="s">
        <v>222</v>
      </c>
      <c r="G6" s="3" t="s">
        <v>542</v>
      </c>
      <c r="H6" s="3" t="s">
        <v>543</v>
      </c>
      <c r="I6" s="3" t="s">
        <v>544</v>
      </c>
      <c r="J6" s="3" t="s">
        <v>545</v>
      </c>
      <c r="K6" s="3"/>
      <c r="L6" s="3"/>
      <c r="M6" s="3"/>
      <c r="N6" s="24" t="n">
        <v>1</v>
      </c>
      <c r="O6" s="24" t="n">
        <v>2</v>
      </c>
      <c r="P6" s="24" t="n">
        <v>3</v>
      </c>
      <c r="Q6" s="24" t="n">
        <v>4</v>
      </c>
      <c r="R6" s="24" t="n">
        <v>5</v>
      </c>
      <c r="S6" s="24" t="n">
        <v>6</v>
      </c>
      <c r="T6" s="24" t="n">
        <v>7</v>
      </c>
      <c r="U6" s="24" t="n">
        <v>8</v>
      </c>
      <c r="V6" s="24" t="n">
        <v>9</v>
      </c>
      <c r="W6" s="24" t="n">
        <v>10</v>
      </c>
      <c r="X6" s="24" t="n">
        <v>11</v>
      </c>
      <c r="Y6" s="24" t="n">
        <v>12</v>
      </c>
      <c r="Z6" s="24" t="n">
        <v>13</v>
      </c>
      <c r="AA6" s="24" t="n">
        <v>14</v>
      </c>
      <c r="AB6" s="24" t="n">
        <v>15</v>
      </c>
      <c r="AC6" s="24" t="n">
        <v>16</v>
      </c>
      <c r="AD6" s="24" t="n">
        <v>17</v>
      </c>
      <c r="AE6" s="24" t="n">
        <v>18</v>
      </c>
      <c r="AF6" s="24" t="n">
        <v>19</v>
      </c>
      <c r="AG6" s="24" t="n">
        <v>20</v>
      </c>
      <c r="AH6" s="24" t="n">
        <v>21</v>
      </c>
      <c r="AI6" s="24" t="n">
        <v>22</v>
      </c>
      <c r="AJ6" s="24" t="n">
        <v>23</v>
      </c>
      <c r="AK6" s="24" t="n">
        <v>24</v>
      </c>
    </row>
    <row r="7" customFormat="false" ht="26.85" hidden="false" customHeight="true" outlineLevel="0" collapsed="false">
      <c r="A7" s="26" t="n">
        <v>1</v>
      </c>
      <c r="B7" s="32" t="s">
        <v>546</v>
      </c>
      <c r="C7" s="4" t="s">
        <v>547</v>
      </c>
      <c r="D7" s="26" t="s">
        <v>548</v>
      </c>
      <c r="E7" s="40" t="n">
        <v>26</v>
      </c>
      <c r="F7" s="26" t="s">
        <v>549</v>
      </c>
      <c r="G7" s="26" t="s">
        <v>550</v>
      </c>
      <c r="H7" s="61" t="n">
        <f aca="false">'Plan-Annahmen'!$B$57</f>
        <v>2</v>
      </c>
      <c r="I7" s="48" t="n">
        <f aca="false">IF(F7="€/Monat",E7,IF(F7="€/Jahr",E7/12,IF(F7="USD/Monat",E7*'Plan-Annahmen'!$B$53,IF(F7="USD einmalig",E7*'Plan-Annahmen'!$B$53,E7))))</f>
        <v>26</v>
      </c>
      <c r="J7" s="35" t="s">
        <v>551</v>
      </c>
      <c r="K7" s="35"/>
      <c r="L7" s="35"/>
      <c r="M7" s="35"/>
      <c r="N7" s="48" t="n">
        <f aca="false">IF(N$6=$H7,$I7,0)</f>
        <v>0</v>
      </c>
      <c r="O7" s="48" t="n">
        <f aca="false">IF(O$6=$H7,$I7,0)</f>
        <v>26</v>
      </c>
      <c r="P7" s="48" t="n">
        <f aca="false">IF(P$6=$H7,$I7,0)</f>
        <v>0</v>
      </c>
      <c r="Q7" s="48" t="n">
        <f aca="false">IF(Q$6=$H7,$I7,0)</f>
        <v>0</v>
      </c>
      <c r="R7" s="48" t="n">
        <f aca="false">IF(R$6=$H7,$I7,0)</f>
        <v>0</v>
      </c>
      <c r="S7" s="48" t="n">
        <f aca="false">IF(S$6=$H7,$I7,0)</f>
        <v>0</v>
      </c>
      <c r="T7" s="48" t="n">
        <f aca="false">IF(T$6=$H7,$I7,0)</f>
        <v>0</v>
      </c>
      <c r="U7" s="48" t="n">
        <f aca="false">IF(U$6=$H7,$I7,0)</f>
        <v>0</v>
      </c>
      <c r="V7" s="48" t="n">
        <f aca="false">IF(V$6=$H7,$I7,0)</f>
        <v>0</v>
      </c>
      <c r="W7" s="48" t="n">
        <f aca="false">IF(W$6=$H7,$I7,0)</f>
        <v>0</v>
      </c>
      <c r="X7" s="48" t="n">
        <f aca="false">IF(X$6=$H7,$I7,0)</f>
        <v>0</v>
      </c>
      <c r="Y7" s="48" t="n">
        <f aca="false">IF(Y$6=$H7,$I7,0)</f>
        <v>0</v>
      </c>
      <c r="Z7" s="48" t="n">
        <f aca="false">IF(Z$6=$H7,$I7,0)</f>
        <v>0</v>
      </c>
      <c r="AA7" s="48" t="n">
        <f aca="false">IF(AA$6=$H7,$I7,0)</f>
        <v>0</v>
      </c>
      <c r="AB7" s="48" t="n">
        <f aca="false">IF(AB$6=$H7,$I7,0)</f>
        <v>0</v>
      </c>
      <c r="AC7" s="48" t="n">
        <f aca="false">IF(AC$6=$H7,$I7,0)</f>
        <v>0</v>
      </c>
      <c r="AD7" s="48" t="n">
        <f aca="false">IF(AD$6=$H7,$I7,0)</f>
        <v>0</v>
      </c>
      <c r="AE7" s="48" t="n">
        <f aca="false">IF(AE$6=$H7,$I7,0)</f>
        <v>0</v>
      </c>
      <c r="AF7" s="48" t="n">
        <f aca="false">IF(AF$6=$H7,$I7,0)</f>
        <v>0</v>
      </c>
      <c r="AG7" s="48" t="n">
        <f aca="false">IF(AG$6=$H7,$I7,0)</f>
        <v>0</v>
      </c>
      <c r="AH7" s="48" t="n">
        <f aca="false">IF(AH$6=$H7,$I7,0)</f>
        <v>0</v>
      </c>
      <c r="AI7" s="48" t="n">
        <f aca="false">IF(AI$6=$H7,$I7,0)</f>
        <v>0</v>
      </c>
      <c r="AJ7" s="48" t="n">
        <f aca="false">IF(AJ$6=$H7,$I7,0)</f>
        <v>0</v>
      </c>
      <c r="AK7" s="48" t="n">
        <f aca="false">IF(AK$6=$H7,$I7,0)</f>
        <v>0</v>
      </c>
    </row>
    <row r="8" customFormat="false" ht="52.2" hidden="false" customHeight="true" outlineLevel="0" collapsed="false">
      <c r="A8" s="26" t="n">
        <v>2</v>
      </c>
      <c r="B8" s="32" t="s">
        <v>546</v>
      </c>
      <c r="C8" s="4" t="s">
        <v>552</v>
      </c>
      <c r="D8" s="26" t="s">
        <v>548</v>
      </c>
      <c r="E8" s="40" t="n">
        <v>480</v>
      </c>
      <c r="F8" s="26" t="s">
        <v>549</v>
      </c>
      <c r="G8" s="26" t="s">
        <v>550</v>
      </c>
      <c r="H8" s="61" t="n">
        <f aca="false">'Plan-Annahmen'!$B$57</f>
        <v>2</v>
      </c>
      <c r="I8" s="48" t="n">
        <f aca="false">IF(F8="€/Monat",E8,IF(F8="€/Jahr",E8/12,IF(F8="USD/Monat",E8*'Plan-Annahmen'!$B$53,IF(F8="USD einmalig",E8*'Plan-Annahmen'!$B$53,E8))))</f>
        <v>480</v>
      </c>
      <c r="J8" s="35" t="s">
        <v>553</v>
      </c>
      <c r="K8" s="35"/>
      <c r="L8" s="35"/>
      <c r="M8" s="35"/>
      <c r="N8" s="48" t="n">
        <f aca="false">IF(N$6=$H8,$I8,0)</f>
        <v>0</v>
      </c>
      <c r="O8" s="48" t="n">
        <f aca="false">IF(O$6=$H8,$I8,0)</f>
        <v>480</v>
      </c>
      <c r="P8" s="48" t="n">
        <f aca="false">IF(P$6=$H8,$I8,0)</f>
        <v>0</v>
      </c>
      <c r="Q8" s="48" t="n">
        <f aca="false">IF(Q$6=$H8,$I8,0)</f>
        <v>0</v>
      </c>
      <c r="R8" s="48" t="n">
        <f aca="false">IF(R$6=$H8,$I8,0)</f>
        <v>0</v>
      </c>
      <c r="S8" s="48" t="n">
        <f aca="false">IF(S$6=$H8,$I8,0)</f>
        <v>0</v>
      </c>
      <c r="T8" s="48" t="n">
        <f aca="false">IF(T$6=$H8,$I8,0)</f>
        <v>0</v>
      </c>
      <c r="U8" s="48" t="n">
        <f aca="false">IF(U$6=$H8,$I8,0)</f>
        <v>0</v>
      </c>
      <c r="V8" s="48" t="n">
        <f aca="false">IF(V$6=$H8,$I8,0)</f>
        <v>0</v>
      </c>
      <c r="W8" s="48" t="n">
        <f aca="false">IF(W$6=$H8,$I8,0)</f>
        <v>0</v>
      </c>
      <c r="X8" s="48" t="n">
        <f aca="false">IF(X$6=$H8,$I8,0)</f>
        <v>0</v>
      </c>
      <c r="Y8" s="48" t="n">
        <f aca="false">IF(Y$6=$H8,$I8,0)</f>
        <v>0</v>
      </c>
      <c r="Z8" s="48" t="n">
        <f aca="false">IF(Z$6=$H8,$I8,0)</f>
        <v>0</v>
      </c>
      <c r="AA8" s="48" t="n">
        <f aca="false">IF(AA$6=$H8,$I8,0)</f>
        <v>0</v>
      </c>
      <c r="AB8" s="48" t="n">
        <f aca="false">IF(AB$6=$H8,$I8,0)</f>
        <v>0</v>
      </c>
      <c r="AC8" s="48" t="n">
        <f aca="false">IF(AC$6=$H8,$I8,0)</f>
        <v>0</v>
      </c>
      <c r="AD8" s="48" t="n">
        <f aca="false">IF(AD$6=$H8,$I8,0)</f>
        <v>0</v>
      </c>
      <c r="AE8" s="48" t="n">
        <f aca="false">IF(AE$6=$H8,$I8,0)</f>
        <v>0</v>
      </c>
      <c r="AF8" s="48" t="n">
        <f aca="false">IF(AF$6=$H8,$I8,0)</f>
        <v>0</v>
      </c>
      <c r="AG8" s="48" t="n">
        <f aca="false">IF(AG$6=$H8,$I8,0)</f>
        <v>0</v>
      </c>
      <c r="AH8" s="48" t="n">
        <f aca="false">IF(AH$6=$H8,$I8,0)</f>
        <v>0</v>
      </c>
      <c r="AI8" s="48" t="n">
        <f aca="false">IF(AI$6=$H8,$I8,0)</f>
        <v>0</v>
      </c>
      <c r="AJ8" s="48" t="n">
        <f aca="false">IF(AJ$6=$H8,$I8,0)</f>
        <v>0</v>
      </c>
      <c r="AK8" s="48" t="n">
        <f aca="false">IF(AK$6=$H8,$I8,0)</f>
        <v>0</v>
      </c>
    </row>
    <row r="9" customFormat="false" ht="26.85" hidden="false" customHeight="true" outlineLevel="0" collapsed="false">
      <c r="A9" s="26" t="n">
        <v>3</v>
      </c>
      <c r="B9" s="32" t="s">
        <v>546</v>
      </c>
      <c r="C9" s="4" t="s">
        <v>554</v>
      </c>
      <c r="D9" s="26" t="s">
        <v>555</v>
      </c>
      <c r="E9" s="40" t="n">
        <v>1000</v>
      </c>
      <c r="F9" s="26" t="s">
        <v>549</v>
      </c>
      <c r="G9" s="26" t="s">
        <v>550</v>
      </c>
      <c r="H9" s="61" t="n">
        <f aca="false">'Plan-Annahmen'!$B$57</f>
        <v>2</v>
      </c>
      <c r="I9" s="48" t="n">
        <f aca="false">IF(F9="€/Monat",E9,IF(F9="€/Jahr",E9/12,IF(F9="USD/Monat",E9*'Plan-Annahmen'!$B$53,IF(F9="USD einmalig",E9*'Plan-Annahmen'!$B$53,E9))))</f>
        <v>1000</v>
      </c>
      <c r="J9" s="35" t="s">
        <v>556</v>
      </c>
      <c r="K9" s="35"/>
      <c r="L9" s="35"/>
      <c r="M9" s="35"/>
      <c r="N9" s="48" t="n">
        <f aca="false">IF(N$6=$H9,$I9,0)</f>
        <v>0</v>
      </c>
      <c r="O9" s="48" t="n">
        <f aca="false">IF(O$6=$H9,$I9,0)</f>
        <v>1000</v>
      </c>
      <c r="P9" s="48" t="n">
        <f aca="false">IF(P$6=$H9,$I9,0)</f>
        <v>0</v>
      </c>
      <c r="Q9" s="48" t="n">
        <f aca="false">IF(Q$6=$H9,$I9,0)</f>
        <v>0</v>
      </c>
      <c r="R9" s="48" t="n">
        <f aca="false">IF(R$6=$H9,$I9,0)</f>
        <v>0</v>
      </c>
      <c r="S9" s="48" t="n">
        <f aca="false">IF(S$6=$H9,$I9,0)</f>
        <v>0</v>
      </c>
      <c r="T9" s="48" t="n">
        <f aca="false">IF(T$6=$H9,$I9,0)</f>
        <v>0</v>
      </c>
      <c r="U9" s="48" t="n">
        <f aca="false">IF(U$6=$H9,$I9,0)</f>
        <v>0</v>
      </c>
      <c r="V9" s="48" t="n">
        <f aca="false">IF(V$6=$H9,$I9,0)</f>
        <v>0</v>
      </c>
      <c r="W9" s="48" t="n">
        <f aca="false">IF(W$6=$H9,$I9,0)</f>
        <v>0</v>
      </c>
      <c r="X9" s="48" t="n">
        <f aca="false">IF(X$6=$H9,$I9,0)</f>
        <v>0</v>
      </c>
      <c r="Y9" s="48" t="n">
        <f aca="false">IF(Y$6=$H9,$I9,0)</f>
        <v>0</v>
      </c>
      <c r="Z9" s="48" t="n">
        <f aca="false">IF(Z$6=$H9,$I9,0)</f>
        <v>0</v>
      </c>
      <c r="AA9" s="48" t="n">
        <f aca="false">IF(AA$6=$H9,$I9,0)</f>
        <v>0</v>
      </c>
      <c r="AB9" s="48" t="n">
        <f aca="false">IF(AB$6=$H9,$I9,0)</f>
        <v>0</v>
      </c>
      <c r="AC9" s="48" t="n">
        <f aca="false">IF(AC$6=$H9,$I9,0)</f>
        <v>0</v>
      </c>
      <c r="AD9" s="48" t="n">
        <f aca="false">IF(AD$6=$H9,$I9,0)</f>
        <v>0</v>
      </c>
      <c r="AE9" s="48" t="n">
        <f aca="false">IF(AE$6=$H9,$I9,0)</f>
        <v>0</v>
      </c>
      <c r="AF9" s="48" t="n">
        <f aca="false">IF(AF$6=$H9,$I9,0)</f>
        <v>0</v>
      </c>
      <c r="AG9" s="48" t="n">
        <f aca="false">IF(AG$6=$H9,$I9,0)</f>
        <v>0</v>
      </c>
      <c r="AH9" s="48" t="n">
        <f aca="false">IF(AH$6=$H9,$I9,0)</f>
        <v>0</v>
      </c>
      <c r="AI9" s="48" t="n">
        <f aca="false">IF(AI$6=$H9,$I9,0)</f>
        <v>0</v>
      </c>
      <c r="AJ9" s="48" t="n">
        <f aca="false">IF(AJ$6=$H9,$I9,0)</f>
        <v>0</v>
      </c>
      <c r="AK9" s="48" t="n">
        <f aca="false">IF(AK$6=$H9,$I9,0)</f>
        <v>0</v>
      </c>
    </row>
    <row r="10" customFormat="false" ht="26.85" hidden="false" customHeight="true" outlineLevel="0" collapsed="false">
      <c r="A10" s="49" t="n">
        <v>4</v>
      </c>
      <c r="B10" s="84" t="s">
        <v>546</v>
      </c>
      <c r="C10" s="10" t="s">
        <v>557</v>
      </c>
      <c r="D10" s="49" t="s">
        <v>558</v>
      </c>
      <c r="E10" s="85" t="n">
        <v>0</v>
      </c>
      <c r="F10" s="49" t="s">
        <v>549</v>
      </c>
      <c r="G10" s="49" t="s">
        <v>550</v>
      </c>
      <c r="H10" s="86"/>
      <c r="I10" s="31"/>
      <c r="J10" s="35" t="s">
        <v>559</v>
      </c>
      <c r="K10" s="35"/>
      <c r="L10" s="35"/>
      <c r="M10" s="35"/>
      <c r="N10" s="22"/>
      <c r="O10" s="22"/>
      <c r="P10" s="22"/>
      <c r="Q10" s="22"/>
      <c r="R10" s="22"/>
      <c r="S10" s="22"/>
      <c r="T10" s="22"/>
      <c r="U10" s="22"/>
      <c r="V10" s="22"/>
      <c r="W10" s="22"/>
      <c r="X10" s="22"/>
      <c r="Y10" s="22"/>
      <c r="Z10" s="22"/>
      <c r="AA10" s="22"/>
      <c r="AB10" s="22"/>
      <c r="AC10" s="22"/>
      <c r="AD10" s="22"/>
      <c r="AE10" s="22"/>
      <c r="AF10" s="22"/>
      <c r="AG10" s="22"/>
      <c r="AH10" s="22"/>
      <c r="AI10" s="22"/>
      <c r="AJ10" s="22"/>
      <c r="AK10" s="22"/>
    </row>
    <row r="11" customFormat="false" ht="26.85" hidden="false" customHeight="true" outlineLevel="0" collapsed="false">
      <c r="A11" s="26" t="n">
        <v>5</v>
      </c>
      <c r="B11" s="32" t="s">
        <v>546</v>
      </c>
      <c r="C11" s="4" t="s">
        <v>560</v>
      </c>
      <c r="D11" s="26" t="s">
        <v>548</v>
      </c>
      <c r="E11" s="40" t="n">
        <v>500</v>
      </c>
      <c r="F11" s="26" t="s">
        <v>549</v>
      </c>
      <c r="G11" s="26" t="s">
        <v>550</v>
      </c>
      <c r="H11" s="61" t="n">
        <f aca="false">'Plan-Annahmen'!$B$57</f>
        <v>2</v>
      </c>
      <c r="I11" s="48" t="n">
        <f aca="false">IF(F11="€/Monat",E11,IF(F11="€/Jahr",E11/12,IF(F11="USD/Monat",E11*'Plan-Annahmen'!$B$53,IF(F11="USD einmalig",E11*'Plan-Annahmen'!$B$53,E11))))</f>
        <v>500</v>
      </c>
      <c r="J11" s="35" t="s">
        <v>561</v>
      </c>
      <c r="K11" s="35"/>
      <c r="L11" s="35"/>
      <c r="M11" s="35"/>
      <c r="N11" s="48" t="n">
        <f aca="false">IF(N$6=$H11,$I11,0)</f>
        <v>0</v>
      </c>
      <c r="O11" s="48" t="n">
        <f aca="false">IF(O$6=$H11,$I11,0)</f>
        <v>500</v>
      </c>
      <c r="P11" s="48" t="n">
        <f aca="false">IF(P$6=$H11,$I11,0)</f>
        <v>0</v>
      </c>
      <c r="Q11" s="48" t="n">
        <f aca="false">IF(Q$6=$H11,$I11,0)</f>
        <v>0</v>
      </c>
      <c r="R11" s="48" t="n">
        <f aca="false">IF(R$6=$H11,$I11,0)</f>
        <v>0</v>
      </c>
      <c r="S11" s="48" t="n">
        <f aca="false">IF(S$6=$H11,$I11,0)</f>
        <v>0</v>
      </c>
      <c r="T11" s="48" t="n">
        <f aca="false">IF(T$6=$H11,$I11,0)</f>
        <v>0</v>
      </c>
      <c r="U11" s="48" t="n">
        <f aca="false">IF(U$6=$H11,$I11,0)</f>
        <v>0</v>
      </c>
      <c r="V11" s="48" t="n">
        <f aca="false">IF(V$6=$H11,$I11,0)</f>
        <v>0</v>
      </c>
      <c r="W11" s="48" t="n">
        <f aca="false">IF(W$6=$H11,$I11,0)</f>
        <v>0</v>
      </c>
      <c r="X11" s="48" t="n">
        <f aca="false">IF(X$6=$H11,$I11,0)</f>
        <v>0</v>
      </c>
      <c r="Y11" s="48" t="n">
        <f aca="false">IF(Y$6=$H11,$I11,0)</f>
        <v>0</v>
      </c>
      <c r="Z11" s="48" t="n">
        <f aca="false">IF(Z$6=$H11,$I11,0)</f>
        <v>0</v>
      </c>
      <c r="AA11" s="48" t="n">
        <f aca="false">IF(AA$6=$H11,$I11,0)</f>
        <v>0</v>
      </c>
      <c r="AB11" s="48" t="n">
        <f aca="false">IF(AB$6=$H11,$I11,0)</f>
        <v>0</v>
      </c>
      <c r="AC11" s="48" t="n">
        <f aca="false">IF(AC$6=$H11,$I11,0)</f>
        <v>0</v>
      </c>
      <c r="AD11" s="48" t="n">
        <f aca="false">IF(AD$6=$H11,$I11,0)</f>
        <v>0</v>
      </c>
      <c r="AE11" s="48" t="n">
        <f aca="false">IF(AE$6=$H11,$I11,0)</f>
        <v>0</v>
      </c>
      <c r="AF11" s="48" t="n">
        <f aca="false">IF(AF$6=$H11,$I11,0)</f>
        <v>0</v>
      </c>
      <c r="AG11" s="48" t="n">
        <f aca="false">IF(AG$6=$H11,$I11,0)</f>
        <v>0</v>
      </c>
      <c r="AH11" s="48" t="n">
        <f aca="false">IF(AH$6=$H11,$I11,0)</f>
        <v>0</v>
      </c>
      <c r="AI11" s="48" t="n">
        <f aca="false">IF(AI$6=$H11,$I11,0)</f>
        <v>0</v>
      </c>
      <c r="AJ11" s="48" t="n">
        <f aca="false">IF(AJ$6=$H11,$I11,0)</f>
        <v>0</v>
      </c>
      <c r="AK11" s="48" t="n">
        <f aca="false">IF(AK$6=$H11,$I11,0)</f>
        <v>0</v>
      </c>
    </row>
    <row r="12" customFormat="false" ht="15" hidden="false" customHeight="true" outlineLevel="0" collapsed="false">
      <c r="A12" s="26" t="n">
        <v>6</v>
      </c>
      <c r="B12" s="32" t="s">
        <v>546</v>
      </c>
      <c r="C12" s="4" t="s">
        <v>562</v>
      </c>
      <c r="D12" s="26" t="s">
        <v>563</v>
      </c>
      <c r="E12" s="40" t="n">
        <v>10</v>
      </c>
      <c r="F12" s="26" t="s">
        <v>237</v>
      </c>
      <c r="G12" s="26" t="s">
        <v>550</v>
      </c>
      <c r="H12" s="61" t="n">
        <f aca="false">'Plan-Annahmen'!$B$57</f>
        <v>2</v>
      </c>
      <c r="I12" s="48" t="n">
        <f aca="false">IF(F12="€/Monat",E12,IF(F12="€/Jahr",E12/12,IF(F12="USD/Monat",E12*'Plan-Annahmen'!$B$53,IF(F12="USD einmalig",E12*'Plan-Annahmen'!$B$53,E12))))</f>
        <v>10</v>
      </c>
      <c r="J12" s="35" t="s">
        <v>564</v>
      </c>
      <c r="K12" s="35"/>
      <c r="L12" s="35"/>
      <c r="M12" s="35"/>
      <c r="N12" s="48" t="n">
        <f aca="false">IF(N$6&gt;=$H12,$I12,0)</f>
        <v>0</v>
      </c>
      <c r="O12" s="48" t="n">
        <f aca="false">IF(O$6&gt;=$H12,$I12,0)</f>
        <v>10</v>
      </c>
      <c r="P12" s="48" t="n">
        <f aca="false">IF(P$6&gt;=$H12,$I12,0)</f>
        <v>10</v>
      </c>
      <c r="Q12" s="48" t="n">
        <f aca="false">IF(Q$6&gt;=$H12,$I12,0)</f>
        <v>10</v>
      </c>
      <c r="R12" s="48" t="n">
        <f aca="false">IF(R$6&gt;=$H12,$I12,0)</f>
        <v>10</v>
      </c>
      <c r="S12" s="48" t="n">
        <f aca="false">IF(S$6&gt;=$H12,$I12,0)</f>
        <v>10</v>
      </c>
      <c r="T12" s="48" t="n">
        <f aca="false">IF(T$6&gt;=$H12,$I12,0)</f>
        <v>10</v>
      </c>
      <c r="U12" s="48" t="n">
        <f aca="false">IF(U$6&gt;=$H12,$I12,0)</f>
        <v>10</v>
      </c>
      <c r="V12" s="48" t="n">
        <f aca="false">IF(V$6&gt;=$H12,$I12,0)</f>
        <v>10</v>
      </c>
      <c r="W12" s="48" t="n">
        <f aca="false">IF(W$6&gt;=$H12,$I12,0)</f>
        <v>10</v>
      </c>
      <c r="X12" s="48" t="n">
        <f aca="false">IF(X$6&gt;=$H12,$I12,0)</f>
        <v>10</v>
      </c>
      <c r="Y12" s="48" t="n">
        <f aca="false">IF(Y$6&gt;=$H12,$I12,0)</f>
        <v>10</v>
      </c>
      <c r="Z12" s="48" t="n">
        <f aca="false">IF(Z$6&gt;=$H12,$I12,0)</f>
        <v>10</v>
      </c>
      <c r="AA12" s="48" t="n">
        <f aca="false">IF(AA$6&gt;=$H12,$I12,0)</f>
        <v>10</v>
      </c>
      <c r="AB12" s="48" t="n">
        <f aca="false">IF(AB$6&gt;=$H12,$I12,0)</f>
        <v>10</v>
      </c>
      <c r="AC12" s="48" t="n">
        <f aca="false">IF(AC$6&gt;=$H12,$I12,0)</f>
        <v>10</v>
      </c>
      <c r="AD12" s="48" t="n">
        <f aca="false">IF(AD$6&gt;=$H12,$I12,0)</f>
        <v>10</v>
      </c>
      <c r="AE12" s="48" t="n">
        <f aca="false">IF(AE$6&gt;=$H12,$I12,0)</f>
        <v>10</v>
      </c>
      <c r="AF12" s="48" t="n">
        <f aca="false">IF(AF$6&gt;=$H12,$I12,0)</f>
        <v>10</v>
      </c>
      <c r="AG12" s="48" t="n">
        <f aca="false">IF(AG$6&gt;=$H12,$I12,0)</f>
        <v>10</v>
      </c>
      <c r="AH12" s="48" t="n">
        <f aca="false">IF(AH$6&gt;=$H12,$I12,0)</f>
        <v>10</v>
      </c>
      <c r="AI12" s="48" t="n">
        <f aca="false">IF(AI$6&gt;=$H12,$I12,0)</f>
        <v>10</v>
      </c>
      <c r="AJ12" s="48" t="n">
        <f aca="false">IF(AJ$6&gt;=$H12,$I12,0)</f>
        <v>10</v>
      </c>
      <c r="AK12" s="48" t="n">
        <f aca="false">IF(AK$6&gt;=$H12,$I12,0)</f>
        <v>10</v>
      </c>
    </row>
    <row r="13" customFormat="false" ht="52.2" hidden="false" customHeight="true" outlineLevel="0" collapsed="false">
      <c r="A13" s="26" t="n">
        <v>7</v>
      </c>
      <c r="B13" s="32" t="s">
        <v>546</v>
      </c>
      <c r="C13" s="4" t="s">
        <v>565</v>
      </c>
      <c r="D13" s="26" t="s">
        <v>563</v>
      </c>
      <c r="E13" s="40" t="n">
        <v>200</v>
      </c>
      <c r="F13" s="26" t="s">
        <v>464</v>
      </c>
      <c r="G13" s="26" t="s">
        <v>550</v>
      </c>
      <c r="H13" s="61" t="n">
        <f aca="false">'Plan-Annahmen'!$B$57</f>
        <v>2</v>
      </c>
      <c r="I13" s="48" t="n">
        <f aca="false">IF(F13="€/Monat",E13,IF(F13="€/Jahr",E13/12,IF(F13="USD/Monat",E13*'Plan-Annahmen'!$B$53,IF(F13="USD einmalig",E13*'Plan-Annahmen'!$B$53,E13))))</f>
        <v>16.6666666666667</v>
      </c>
      <c r="J13" s="35" t="s">
        <v>566</v>
      </c>
      <c r="K13" s="35"/>
      <c r="L13" s="35"/>
      <c r="M13" s="35"/>
      <c r="N13" s="48" t="n">
        <f aca="false">IF(N$6&gt;=$H13,$I13,0)</f>
        <v>0</v>
      </c>
      <c r="O13" s="48" t="n">
        <f aca="false">IF(O$6&gt;=$H13,$I13,0)</f>
        <v>16.6666666666667</v>
      </c>
      <c r="P13" s="48" t="n">
        <f aca="false">IF(P$6&gt;=$H13,$I13,0)</f>
        <v>16.6666666666667</v>
      </c>
      <c r="Q13" s="48" t="n">
        <f aca="false">IF(Q$6&gt;=$H13,$I13,0)</f>
        <v>16.6666666666667</v>
      </c>
      <c r="R13" s="48" t="n">
        <f aca="false">IF(R$6&gt;=$H13,$I13,0)</f>
        <v>16.6666666666667</v>
      </c>
      <c r="S13" s="48" t="n">
        <f aca="false">IF(S$6&gt;=$H13,$I13,0)</f>
        <v>16.6666666666667</v>
      </c>
      <c r="T13" s="48" t="n">
        <f aca="false">IF(T$6&gt;=$H13,$I13,0)</f>
        <v>16.6666666666667</v>
      </c>
      <c r="U13" s="48" t="n">
        <f aca="false">IF(U$6&gt;=$H13,$I13,0)</f>
        <v>16.6666666666667</v>
      </c>
      <c r="V13" s="48" t="n">
        <f aca="false">IF(V$6&gt;=$H13,$I13,0)</f>
        <v>16.6666666666667</v>
      </c>
      <c r="W13" s="48" t="n">
        <f aca="false">IF(W$6&gt;=$H13,$I13,0)</f>
        <v>16.6666666666667</v>
      </c>
      <c r="X13" s="48" t="n">
        <f aca="false">IF(X$6&gt;=$H13,$I13,0)</f>
        <v>16.6666666666667</v>
      </c>
      <c r="Y13" s="48" t="n">
        <f aca="false">IF(Y$6&gt;=$H13,$I13,0)</f>
        <v>16.6666666666667</v>
      </c>
      <c r="Z13" s="48" t="n">
        <f aca="false">IF(Z$6&gt;=$H13,$I13,0)</f>
        <v>16.6666666666667</v>
      </c>
      <c r="AA13" s="48" t="n">
        <f aca="false">IF(AA$6&gt;=$H13,$I13,0)</f>
        <v>16.6666666666667</v>
      </c>
      <c r="AB13" s="48" t="n">
        <f aca="false">IF(AB$6&gt;=$H13,$I13,0)</f>
        <v>16.6666666666667</v>
      </c>
      <c r="AC13" s="48" t="n">
        <f aca="false">IF(AC$6&gt;=$H13,$I13,0)</f>
        <v>16.6666666666667</v>
      </c>
      <c r="AD13" s="48" t="n">
        <f aca="false">IF(AD$6&gt;=$H13,$I13,0)</f>
        <v>16.6666666666667</v>
      </c>
      <c r="AE13" s="48" t="n">
        <f aca="false">IF(AE$6&gt;=$H13,$I13,0)</f>
        <v>16.6666666666667</v>
      </c>
      <c r="AF13" s="48" t="n">
        <f aca="false">IF(AF$6&gt;=$H13,$I13,0)</f>
        <v>16.6666666666667</v>
      </c>
      <c r="AG13" s="48" t="n">
        <f aca="false">IF(AG$6&gt;=$H13,$I13,0)</f>
        <v>16.6666666666667</v>
      </c>
      <c r="AH13" s="48" t="n">
        <f aca="false">IF(AH$6&gt;=$H13,$I13,0)</f>
        <v>16.6666666666667</v>
      </c>
      <c r="AI13" s="48" t="n">
        <f aca="false">IF(AI$6&gt;=$H13,$I13,0)</f>
        <v>16.6666666666667</v>
      </c>
      <c r="AJ13" s="48" t="n">
        <f aca="false">IF(AJ$6&gt;=$H13,$I13,0)</f>
        <v>16.6666666666667</v>
      </c>
      <c r="AK13" s="48" t="n">
        <f aca="false">IF(AK$6&gt;=$H13,$I13,0)</f>
        <v>16.6666666666667</v>
      </c>
    </row>
    <row r="14" customFormat="false" ht="52.2" hidden="false" customHeight="true" outlineLevel="0" collapsed="false">
      <c r="A14" s="26" t="n">
        <v>8</v>
      </c>
      <c r="B14" s="32" t="s">
        <v>567</v>
      </c>
      <c r="C14" s="4" t="s">
        <v>568</v>
      </c>
      <c r="D14" s="26" t="s">
        <v>548</v>
      </c>
      <c r="E14" s="40" t="n">
        <v>1500</v>
      </c>
      <c r="F14" s="26" t="s">
        <v>549</v>
      </c>
      <c r="G14" s="26" t="s">
        <v>550</v>
      </c>
      <c r="H14" s="87" t="n">
        <v>3</v>
      </c>
      <c r="I14" s="48" t="n">
        <f aca="false">IF(F14="€/Monat",E14,IF(F14="€/Jahr",E14/12,IF(F14="USD/Monat",E14*'Plan-Annahmen'!$B$53,IF(F14="USD einmalig",E14*'Plan-Annahmen'!$B$53,E14))))</f>
        <v>1500</v>
      </c>
      <c r="J14" s="35" t="s">
        <v>569</v>
      </c>
      <c r="K14" s="35"/>
      <c r="L14" s="35"/>
      <c r="M14" s="35"/>
      <c r="N14" s="48" t="n">
        <f aca="false">IF(N$6=$H14,$I14,0)</f>
        <v>0</v>
      </c>
      <c r="O14" s="48" t="n">
        <f aca="false">IF(O$6=$H14,$I14,0)</f>
        <v>0</v>
      </c>
      <c r="P14" s="48" t="n">
        <f aca="false">IF(P$6=$H14,$I14,0)</f>
        <v>1500</v>
      </c>
      <c r="Q14" s="48" t="n">
        <f aca="false">IF(Q$6=$H14,$I14,0)</f>
        <v>0</v>
      </c>
      <c r="R14" s="48" t="n">
        <f aca="false">IF(R$6=$H14,$I14,0)</f>
        <v>0</v>
      </c>
      <c r="S14" s="48" t="n">
        <f aca="false">IF(S$6=$H14,$I14,0)</f>
        <v>0</v>
      </c>
      <c r="T14" s="48" t="n">
        <f aca="false">IF(T$6=$H14,$I14,0)</f>
        <v>0</v>
      </c>
      <c r="U14" s="48" t="n">
        <f aca="false">IF(U$6=$H14,$I14,0)</f>
        <v>0</v>
      </c>
      <c r="V14" s="48" t="n">
        <f aca="false">IF(V$6=$H14,$I14,0)</f>
        <v>0</v>
      </c>
      <c r="W14" s="48" t="n">
        <f aca="false">IF(W$6=$H14,$I14,0)</f>
        <v>0</v>
      </c>
      <c r="X14" s="48" t="n">
        <f aca="false">IF(X$6=$H14,$I14,0)</f>
        <v>0</v>
      </c>
      <c r="Y14" s="48" t="n">
        <f aca="false">IF(Y$6=$H14,$I14,0)</f>
        <v>0</v>
      </c>
      <c r="Z14" s="48" t="n">
        <f aca="false">IF(Z$6=$H14,$I14,0)</f>
        <v>0</v>
      </c>
      <c r="AA14" s="48" t="n">
        <f aca="false">IF(AA$6=$H14,$I14,0)</f>
        <v>0</v>
      </c>
      <c r="AB14" s="48" t="n">
        <f aca="false">IF(AB$6=$H14,$I14,0)</f>
        <v>0</v>
      </c>
      <c r="AC14" s="48" t="n">
        <f aca="false">IF(AC$6=$H14,$I14,0)</f>
        <v>0</v>
      </c>
      <c r="AD14" s="48" t="n">
        <f aca="false">IF(AD$6=$H14,$I14,0)</f>
        <v>0</v>
      </c>
      <c r="AE14" s="48" t="n">
        <f aca="false">IF(AE$6=$H14,$I14,0)</f>
        <v>0</v>
      </c>
      <c r="AF14" s="48" t="n">
        <f aca="false">IF(AF$6=$H14,$I14,0)</f>
        <v>0</v>
      </c>
      <c r="AG14" s="48" t="n">
        <f aca="false">IF(AG$6=$H14,$I14,0)</f>
        <v>0</v>
      </c>
      <c r="AH14" s="48" t="n">
        <f aca="false">IF(AH$6=$H14,$I14,0)</f>
        <v>0</v>
      </c>
      <c r="AI14" s="48" t="n">
        <f aca="false">IF(AI$6=$H14,$I14,0)</f>
        <v>0</v>
      </c>
      <c r="AJ14" s="48" t="n">
        <f aca="false">IF(AJ$6=$H14,$I14,0)</f>
        <v>0</v>
      </c>
      <c r="AK14" s="48" t="n">
        <f aca="false">IF(AK$6=$H14,$I14,0)</f>
        <v>0</v>
      </c>
    </row>
    <row r="15" customFormat="false" ht="39.55" hidden="false" customHeight="true" outlineLevel="0" collapsed="false">
      <c r="A15" s="26" t="n">
        <v>9</v>
      </c>
      <c r="B15" s="32" t="s">
        <v>567</v>
      </c>
      <c r="C15" s="4" t="s">
        <v>570</v>
      </c>
      <c r="D15" s="26" t="s">
        <v>548</v>
      </c>
      <c r="E15" s="40" t="n">
        <v>290</v>
      </c>
      <c r="F15" s="26" t="s">
        <v>549</v>
      </c>
      <c r="G15" s="26" t="s">
        <v>550</v>
      </c>
      <c r="H15" s="87" t="n">
        <v>4</v>
      </c>
      <c r="I15" s="48" t="n">
        <f aca="false">IF(F15="€/Monat",E15,IF(F15="€/Jahr",E15/12,IF(F15="USD/Monat",E15*'Plan-Annahmen'!$B$53,IF(F15="USD einmalig",E15*'Plan-Annahmen'!$B$53,E15))))</f>
        <v>290</v>
      </c>
      <c r="J15" s="35" t="s">
        <v>571</v>
      </c>
      <c r="K15" s="35"/>
      <c r="L15" s="35"/>
      <c r="M15" s="35"/>
      <c r="N15" s="48" t="n">
        <f aca="false">IF(N$6=$H15,$I15,0)</f>
        <v>0</v>
      </c>
      <c r="O15" s="48" t="n">
        <f aca="false">IF(O$6=$H15,$I15,0)</f>
        <v>0</v>
      </c>
      <c r="P15" s="48" t="n">
        <f aca="false">IF(P$6=$H15,$I15,0)</f>
        <v>0</v>
      </c>
      <c r="Q15" s="48" t="n">
        <f aca="false">IF(Q$6=$H15,$I15,0)</f>
        <v>290</v>
      </c>
      <c r="R15" s="48" t="n">
        <f aca="false">IF(R$6=$H15,$I15,0)</f>
        <v>0</v>
      </c>
      <c r="S15" s="48" t="n">
        <f aca="false">IF(S$6=$H15,$I15,0)</f>
        <v>0</v>
      </c>
      <c r="T15" s="48" t="n">
        <f aca="false">IF(T$6=$H15,$I15,0)</f>
        <v>0</v>
      </c>
      <c r="U15" s="48" t="n">
        <f aca="false">IF(U$6=$H15,$I15,0)</f>
        <v>0</v>
      </c>
      <c r="V15" s="48" t="n">
        <f aca="false">IF(V$6=$H15,$I15,0)</f>
        <v>0</v>
      </c>
      <c r="W15" s="48" t="n">
        <f aca="false">IF(W$6=$H15,$I15,0)</f>
        <v>0</v>
      </c>
      <c r="X15" s="48" t="n">
        <f aca="false">IF(X$6=$H15,$I15,0)</f>
        <v>0</v>
      </c>
      <c r="Y15" s="48" t="n">
        <f aca="false">IF(Y$6=$H15,$I15,0)</f>
        <v>0</v>
      </c>
      <c r="Z15" s="48" t="n">
        <f aca="false">IF(Z$6=$H15,$I15,0)</f>
        <v>0</v>
      </c>
      <c r="AA15" s="48" t="n">
        <f aca="false">IF(AA$6=$H15,$I15,0)</f>
        <v>0</v>
      </c>
      <c r="AB15" s="48" t="n">
        <f aca="false">IF(AB$6=$H15,$I15,0)</f>
        <v>0</v>
      </c>
      <c r="AC15" s="48" t="n">
        <f aca="false">IF(AC$6=$H15,$I15,0)</f>
        <v>0</v>
      </c>
      <c r="AD15" s="48" t="n">
        <f aca="false">IF(AD$6=$H15,$I15,0)</f>
        <v>0</v>
      </c>
      <c r="AE15" s="48" t="n">
        <f aca="false">IF(AE$6=$H15,$I15,0)</f>
        <v>0</v>
      </c>
      <c r="AF15" s="48" t="n">
        <f aca="false">IF(AF$6=$H15,$I15,0)</f>
        <v>0</v>
      </c>
      <c r="AG15" s="48" t="n">
        <f aca="false">IF(AG$6=$H15,$I15,0)</f>
        <v>0</v>
      </c>
      <c r="AH15" s="48" t="n">
        <f aca="false">IF(AH$6=$H15,$I15,0)</f>
        <v>0</v>
      </c>
      <c r="AI15" s="48" t="n">
        <f aca="false">IF(AI$6=$H15,$I15,0)</f>
        <v>0</v>
      </c>
      <c r="AJ15" s="48" t="n">
        <f aca="false">IF(AJ$6=$H15,$I15,0)</f>
        <v>0</v>
      </c>
      <c r="AK15" s="48" t="n">
        <f aca="false">IF(AK$6=$H15,$I15,0)</f>
        <v>0</v>
      </c>
    </row>
    <row r="16" customFormat="false" ht="15" hidden="false" customHeight="true" outlineLevel="0" collapsed="false">
      <c r="A16" s="26" t="n">
        <v>10</v>
      </c>
      <c r="B16" s="32" t="s">
        <v>567</v>
      </c>
      <c r="C16" s="4" t="s">
        <v>572</v>
      </c>
      <c r="D16" s="26" t="s">
        <v>548</v>
      </c>
      <c r="E16" s="40" t="n">
        <v>150</v>
      </c>
      <c r="F16" s="26" t="s">
        <v>549</v>
      </c>
      <c r="G16" s="26" t="s">
        <v>550</v>
      </c>
      <c r="H16" s="87" t="n">
        <v>1</v>
      </c>
      <c r="I16" s="48" t="n">
        <f aca="false">IF(F16="€/Monat",E16,IF(F16="€/Jahr",E16/12,IF(F16="USD/Monat",E16*'Plan-Annahmen'!$B$53,IF(F16="USD einmalig",E16*'Plan-Annahmen'!$B$53,E16))))</f>
        <v>150</v>
      </c>
      <c r="J16" s="35" t="s">
        <v>573</v>
      </c>
      <c r="K16" s="35"/>
      <c r="L16" s="35"/>
      <c r="M16" s="35"/>
      <c r="N16" s="48" t="n">
        <f aca="false">IF(N$6=$H16,$I16,0)</f>
        <v>150</v>
      </c>
      <c r="O16" s="48" t="n">
        <f aca="false">IF(O$6=$H16,$I16,0)</f>
        <v>0</v>
      </c>
      <c r="P16" s="48" t="n">
        <f aca="false">IF(P$6=$H16,$I16,0)</f>
        <v>0</v>
      </c>
      <c r="Q16" s="48" t="n">
        <f aca="false">IF(Q$6=$H16,$I16,0)</f>
        <v>0</v>
      </c>
      <c r="R16" s="48" t="n">
        <f aca="false">IF(R$6=$H16,$I16,0)</f>
        <v>0</v>
      </c>
      <c r="S16" s="48" t="n">
        <f aca="false">IF(S$6=$H16,$I16,0)</f>
        <v>0</v>
      </c>
      <c r="T16" s="48" t="n">
        <f aca="false">IF(T$6=$H16,$I16,0)</f>
        <v>0</v>
      </c>
      <c r="U16" s="48" t="n">
        <f aca="false">IF(U$6=$H16,$I16,0)</f>
        <v>0</v>
      </c>
      <c r="V16" s="48" t="n">
        <f aca="false">IF(V$6=$H16,$I16,0)</f>
        <v>0</v>
      </c>
      <c r="W16" s="48" t="n">
        <f aca="false">IF(W$6=$H16,$I16,0)</f>
        <v>0</v>
      </c>
      <c r="X16" s="48" t="n">
        <f aca="false">IF(X$6=$H16,$I16,0)</f>
        <v>0</v>
      </c>
      <c r="Y16" s="48" t="n">
        <f aca="false">IF(Y$6=$H16,$I16,0)</f>
        <v>0</v>
      </c>
      <c r="Z16" s="48" t="n">
        <f aca="false">IF(Z$6=$H16,$I16,0)</f>
        <v>0</v>
      </c>
      <c r="AA16" s="48" t="n">
        <f aca="false">IF(AA$6=$H16,$I16,0)</f>
        <v>0</v>
      </c>
      <c r="AB16" s="48" t="n">
        <f aca="false">IF(AB$6=$H16,$I16,0)</f>
        <v>0</v>
      </c>
      <c r="AC16" s="48" t="n">
        <f aca="false">IF(AC$6=$H16,$I16,0)</f>
        <v>0</v>
      </c>
      <c r="AD16" s="48" t="n">
        <f aca="false">IF(AD$6=$H16,$I16,0)</f>
        <v>0</v>
      </c>
      <c r="AE16" s="48" t="n">
        <f aca="false">IF(AE$6=$H16,$I16,0)</f>
        <v>0</v>
      </c>
      <c r="AF16" s="48" t="n">
        <f aca="false">IF(AF$6=$H16,$I16,0)</f>
        <v>0</v>
      </c>
      <c r="AG16" s="48" t="n">
        <f aca="false">IF(AG$6=$H16,$I16,0)</f>
        <v>0</v>
      </c>
      <c r="AH16" s="48" t="n">
        <f aca="false">IF(AH$6=$H16,$I16,0)</f>
        <v>0</v>
      </c>
      <c r="AI16" s="48" t="n">
        <f aca="false">IF(AI$6=$H16,$I16,0)</f>
        <v>0</v>
      </c>
      <c r="AJ16" s="48" t="n">
        <f aca="false">IF(AJ$6=$H16,$I16,0)</f>
        <v>0</v>
      </c>
      <c r="AK16" s="48" t="n">
        <f aca="false">IF(AK$6=$H16,$I16,0)</f>
        <v>0</v>
      </c>
    </row>
    <row r="17" customFormat="false" ht="15" hidden="false" customHeight="true" outlineLevel="0" collapsed="false">
      <c r="A17" s="26" t="n">
        <v>11</v>
      </c>
      <c r="B17" s="32" t="s">
        <v>567</v>
      </c>
      <c r="C17" s="4" t="s">
        <v>574</v>
      </c>
      <c r="D17" s="26" t="s">
        <v>563</v>
      </c>
      <c r="E17" s="40" t="n">
        <v>150</v>
      </c>
      <c r="F17" s="26" t="s">
        <v>464</v>
      </c>
      <c r="G17" s="26" t="s">
        <v>550</v>
      </c>
      <c r="H17" s="87" t="n">
        <v>13</v>
      </c>
      <c r="I17" s="48" t="n">
        <f aca="false">IF(F17="€/Monat",E17,IF(F17="€/Jahr",E17/12,IF(F17="USD/Monat",E17*'Plan-Annahmen'!$B$53,IF(F17="USD einmalig",E17*'Plan-Annahmen'!$B$53,E17))))</f>
        <v>12.5</v>
      </c>
      <c r="J17" s="35" t="s">
        <v>575</v>
      </c>
      <c r="K17" s="35"/>
      <c r="L17" s="35"/>
      <c r="M17" s="35"/>
      <c r="N17" s="48" t="n">
        <f aca="false">IF(N$6&gt;=$H17,$I17,0)</f>
        <v>0</v>
      </c>
      <c r="O17" s="48" t="n">
        <f aca="false">IF(O$6&gt;=$H17,$I17,0)</f>
        <v>0</v>
      </c>
      <c r="P17" s="48" t="n">
        <f aca="false">IF(P$6&gt;=$H17,$I17,0)</f>
        <v>0</v>
      </c>
      <c r="Q17" s="48" t="n">
        <f aca="false">IF(Q$6&gt;=$H17,$I17,0)</f>
        <v>0</v>
      </c>
      <c r="R17" s="48" t="n">
        <f aca="false">IF(R$6&gt;=$H17,$I17,0)</f>
        <v>0</v>
      </c>
      <c r="S17" s="48" t="n">
        <f aca="false">IF(S$6&gt;=$H17,$I17,0)</f>
        <v>0</v>
      </c>
      <c r="T17" s="48" t="n">
        <f aca="false">IF(T$6&gt;=$H17,$I17,0)</f>
        <v>0</v>
      </c>
      <c r="U17" s="48" t="n">
        <f aca="false">IF(U$6&gt;=$H17,$I17,0)</f>
        <v>0</v>
      </c>
      <c r="V17" s="48" t="n">
        <f aca="false">IF(V$6&gt;=$H17,$I17,0)</f>
        <v>0</v>
      </c>
      <c r="W17" s="48" t="n">
        <f aca="false">IF(W$6&gt;=$H17,$I17,0)</f>
        <v>0</v>
      </c>
      <c r="X17" s="48" t="n">
        <f aca="false">IF(X$6&gt;=$H17,$I17,0)</f>
        <v>0</v>
      </c>
      <c r="Y17" s="48" t="n">
        <f aca="false">IF(Y$6&gt;=$H17,$I17,0)</f>
        <v>0</v>
      </c>
      <c r="Z17" s="48" t="n">
        <f aca="false">IF(Z$6&gt;=$H17,$I17,0)</f>
        <v>12.5</v>
      </c>
      <c r="AA17" s="48" t="n">
        <f aca="false">IF(AA$6&gt;=$H17,$I17,0)</f>
        <v>12.5</v>
      </c>
      <c r="AB17" s="48" t="n">
        <f aca="false">IF(AB$6&gt;=$H17,$I17,0)</f>
        <v>12.5</v>
      </c>
      <c r="AC17" s="48" t="n">
        <f aca="false">IF(AC$6&gt;=$H17,$I17,0)</f>
        <v>12.5</v>
      </c>
      <c r="AD17" s="48" t="n">
        <f aca="false">IF(AD$6&gt;=$H17,$I17,0)</f>
        <v>12.5</v>
      </c>
      <c r="AE17" s="48" t="n">
        <f aca="false">IF(AE$6&gt;=$H17,$I17,0)</f>
        <v>12.5</v>
      </c>
      <c r="AF17" s="48" t="n">
        <f aca="false">IF(AF$6&gt;=$H17,$I17,0)</f>
        <v>12.5</v>
      </c>
      <c r="AG17" s="48" t="n">
        <f aca="false">IF(AG$6&gt;=$H17,$I17,0)</f>
        <v>12.5</v>
      </c>
      <c r="AH17" s="48" t="n">
        <f aca="false">IF(AH$6&gt;=$H17,$I17,0)</f>
        <v>12.5</v>
      </c>
      <c r="AI17" s="48" t="n">
        <f aca="false">IF(AI$6&gt;=$H17,$I17,0)</f>
        <v>12.5</v>
      </c>
      <c r="AJ17" s="48" t="n">
        <f aca="false">IF(AJ$6&gt;=$H17,$I17,0)</f>
        <v>12.5</v>
      </c>
      <c r="AK17" s="48" t="n">
        <f aca="false">IF(AK$6&gt;=$H17,$I17,0)</f>
        <v>12.5</v>
      </c>
    </row>
    <row r="18" customFormat="false" ht="26.85" hidden="false" customHeight="true" outlineLevel="0" collapsed="false">
      <c r="A18" s="49" t="n">
        <v>12</v>
      </c>
      <c r="B18" s="84" t="s">
        <v>567</v>
      </c>
      <c r="C18" s="10" t="s">
        <v>576</v>
      </c>
      <c r="D18" s="49" t="s">
        <v>558</v>
      </c>
      <c r="E18" s="85" t="n">
        <v>0</v>
      </c>
      <c r="F18" s="49" t="s">
        <v>237</v>
      </c>
      <c r="G18" s="49" t="s">
        <v>550</v>
      </c>
      <c r="H18" s="86"/>
      <c r="I18" s="31"/>
      <c r="J18" s="35" t="s">
        <v>577</v>
      </c>
      <c r="K18" s="35"/>
      <c r="L18" s="35"/>
      <c r="M18" s="35"/>
      <c r="N18" s="22"/>
      <c r="O18" s="22"/>
      <c r="P18" s="22"/>
      <c r="Q18" s="22"/>
      <c r="R18" s="22"/>
      <c r="S18" s="22"/>
      <c r="T18" s="22"/>
      <c r="U18" s="22"/>
      <c r="V18" s="22"/>
      <c r="W18" s="22"/>
      <c r="X18" s="22"/>
      <c r="Y18" s="22"/>
      <c r="Z18" s="22"/>
      <c r="AA18" s="22"/>
      <c r="AB18" s="22"/>
      <c r="AC18" s="22"/>
      <c r="AD18" s="22"/>
      <c r="AE18" s="22"/>
      <c r="AF18" s="22"/>
      <c r="AG18" s="22"/>
      <c r="AH18" s="22"/>
      <c r="AI18" s="22"/>
      <c r="AJ18" s="22"/>
      <c r="AK18" s="22"/>
    </row>
    <row r="19" customFormat="false" ht="26.85" hidden="false" customHeight="true" outlineLevel="0" collapsed="false">
      <c r="A19" s="26" t="n">
        <v>13</v>
      </c>
      <c r="B19" s="32" t="s">
        <v>567</v>
      </c>
      <c r="C19" s="4" t="s">
        <v>578</v>
      </c>
      <c r="D19" s="26" t="s">
        <v>555</v>
      </c>
      <c r="E19" s="40" t="n">
        <v>1000</v>
      </c>
      <c r="F19" s="26" t="s">
        <v>549</v>
      </c>
      <c r="G19" s="26" t="s">
        <v>550</v>
      </c>
      <c r="H19" s="87" t="n">
        <v>5</v>
      </c>
      <c r="I19" s="48" t="n">
        <f aca="false">IF(F19="€/Monat",E19,IF(F19="€/Jahr",E19/12,IF(F19="USD/Monat",E19*'Plan-Annahmen'!$B$53,IF(F19="USD einmalig",E19*'Plan-Annahmen'!$B$53,E19))))</f>
        <v>1000</v>
      </c>
      <c r="J19" s="35" t="s">
        <v>579</v>
      </c>
      <c r="K19" s="35"/>
      <c r="L19" s="35"/>
      <c r="M19" s="35"/>
      <c r="N19" s="48" t="n">
        <f aca="false">IF(N$6=$H19,$I19,0)</f>
        <v>0</v>
      </c>
      <c r="O19" s="48" t="n">
        <f aca="false">IF(O$6=$H19,$I19,0)</f>
        <v>0</v>
      </c>
      <c r="P19" s="48" t="n">
        <f aca="false">IF(P$6=$H19,$I19,0)</f>
        <v>0</v>
      </c>
      <c r="Q19" s="48" t="n">
        <f aca="false">IF(Q$6=$H19,$I19,0)</f>
        <v>0</v>
      </c>
      <c r="R19" s="48" t="n">
        <f aca="false">IF(R$6=$H19,$I19,0)</f>
        <v>1000</v>
      </c>
      <c r="S19" s="48" t="n">
        <f aca="false">IF(S$6=$H19,$I19,0)</f>
        <v>0</v>
      </c>
      <c r="T19" s="48" t="n">
        <f aca="false">IF(T$6=$H19,$I19,0)</f>
        <v>0</v>
      </c>
      <c r="U19" s="48" t="n">
        <f aca="false">IF(U$6=$H19,$I19,0)</f>
        <v>0</v>
      </c>
      <c r="V19" s="48" t="n">
        <f aca="false">IF(V$6=$H19,$I19,0)</f>
        <v>0</v>
      </c>
      <c r="W19" s="48" t="n">
        <f aca="false">IF(W$6=$H19,$I19,0)</f>
        <v>0</v>
      </c>
      <c r="X19" s="48" t="n">
        <f aca="false">IF(X$6=$H19,$I19,0)</f>
        <v>0</v>
      </c>
      <c r="Y19" s="48" t="n">
        <f aca="false">IF(Y$6=$H19,$I19,0)</f>
        <v>0</v>
      </c>
      <c r="Z19" s="48" t="n">
        <f aca="false">IF(Z$6=$H19,$I19,0)</f>
        <v>0</v>
      </c>
      <c r="AA19" s="48" t="n">
        <f aca="false">IF(AA$6=$H19,$I19,0)</f>
        <v>0</v>
      </c>
      <c r="AB19" s="48" t="n">
        <f aca="false">IF(AB$6=$H19,$I19,0)</f>
        <v>0</v>
      </c>
      <c r="AC19" s="48" t="n">
        <f aca="false">IF(AC$6=$H19,$I19,0)</f>
        <v>0</v>
      </c>
      <c r="AD19" s="48" t="n">
        <f aca="false">IF(AD$6=$H19,$I19,0)</f>
        <v>0</v>
      </c>
      <c r="AE19" s="48" t="n">
        <f aca="false">IF(AE$6=$H19,$I19,0)</f>
        <v>0</v>
      </c>
      <c r="AF19" s="48" t="n">
        <f aca="false">IF(AF$6=$H19,$I19,0)</f>
        <v>0</v>
      </c>
      <c r="AG19" s="48" t="n">
        <f aca="false">IF(AG$6=$H19,$I19,0)</f>
        <v>0</v>
      </c>
      <c r="AH19" s="48" t="n">
        <f aca="false">IF(AH$6=$H19,$I19,0)</f>
        <v>0</v>
      </c>
      <c r="AI19" s="48" t="n">
        <f aca="false">IF(AI$6=$H19,$I19,0)</f>
        <v>0</v>
      </c>
      <c r="AJ19" s="48" t="n">
        <f aca="false">IF(AJ$6=$H19,$I19,0)</f>
        <v>0</v>
      </c>
      <c r="AK19" s="48" t="n">
        <f aca="false">IF(AK$6=$H19,$I19,0)</f>
        <v>0</v>
      </c>
    </row>
    <row r="20" customFormat="false" ht="39.55" hidden="false" customHeight="true" outlineLevel="0" collapsed="false">
      <c r="A20" s="43" t="n">
        <v>14</v>
      </c>
      <c r="B20" s="88" t="s">
        <v>580</v>
      </c>
      <c r="C20" s="20" t="s">
        <v>581</v>
      </c>
      <c r="D20" s="43" t="s">
        <v>563</v>
      </c>
      <c r="E20" s="89" t="n">
        <v>300</v>
      </c>
      <c r="F20" s="43" t="s">
        <v>464</v>
      </c>
      <c r="G20" s="43" t="s">
        <v>550</v>
      </c>
      <c r="H20" s="90" t="n">
        <v>3</v>
      </c>
      <c r="I20" s="91" t="n">
        <f aca="false">IF(F20="€/Monat",E20,IF(F20="€/Jahr",E20/12,IF(F20="USD/Monat",E20*'Plan-Annahmen'!$B$53,IF(F20="USD einmalig",E20*'Plan-Annahmen'!$B$53,E20))))</f>
        <v>25</v>
      </c>
      <c r="J20" s="35" t="s">
        <v>582</v>
      </c>
      <c r="K20" s="35"/>
      <c r="L20" s="35"/>
      <c r="M20" s="35"/>
      <c r="N20" s="48" t="n">
        <f aca="false">IF(N$6&gt;=$H20,$I20,0)</f>
        <v>0</v>
      </c>
      <c r="O20" s="48" t="n">
        <f aca="false">IF(O$6&gt;=$H20,$I20,0)</f>
        <v>0</v>
      </c>
      <c r="P20" s="48" t="n">
        <f aca="false">IF(P$6&gt;=$H20,$I20,0)</f>
        <v>25</v>
      </c>
      <c r="Q20" s="48" t="n">
        <f aca="false">IF(Q$6&gt;=$H20,$I20,0)</f>
        <v>25</v>
      </c>
      <c r="R20" s="48" t="n">
        <f aca="false">IF(R$6&gt;=$H20,$I20,0)</f>
        <v>25</v>
      </c>
      <c r="S20" s="48" t="n">
        <f aca="false">IF(S$6&gt;=$H20,$I20,0)</f>
        <v>25</v>
      </c>
      <c r="T20" s="48" t="n">
        <f aca="false">IF(T$6&gt;=$H20,$I20,0)</f>
        <v>25</v>
      </c>
      <c r="U20" s="48" t="n">
        <f aca="false">IF(U$6&gt;=$H20,$I20,0)</f>
        <v>25</v>
      </c>
      <c r="V20" s="48" t="n">
        <f aca="false">IF(V$6&gt;=$H20,$I20,0)</f>
        <v>25</v>
      </c>
      <c r="W20" s="48" t="n">
        <f aca="false">IF(W$6&gt;=$H20,$I20,0)</f>
        <v>25</v>
      </c>
      <c r="X20" s="48" t="n">
        <f aca="false">IF(X$6&gt;=$H20,$I20,0)</f>
        <v>25</v>
      </c>
      <c r="Y20" s="48" t="n">
        <f aca="false">IF(Y$6&gt;=$H20,$I20,0)</f>
        <v>25</v>
      </c>
      <c r="Z20" s="48" t="n">
        <f aca="false">IF(Z$6&gt;=$H20,$I20,0)</f>
        <v>25</v>
      </c>
      <c r="AA20" s="48" t="n">
        <f aca="false">IF(AA$6&gt;=$H20,$I20,0)</f>
        <v>25</v>
      </c>
      <c r="AB20" s="48" t="n">
        <f aca="false">IF(AB$6&gt;=$H20,$I20,0)</f>
        <v>25</v>
      </c>
      <c r="AC20" s="48" t="n">
        <f aca="false">IF(AC$6&gt;=$H20,$I20,0)</f>
        <v>25</v>
      </c>
      <c r="AD20" s="48" t="n">
        <f aca="false">IF(AD$6&gt;=$H20,$I20,0)</f>
        <v>25</v>
      </c>
      <c r="AE20" s="48" t="n">
        <f aca="false">IF(AE$6&gt;=$H20,$I20,0)</f>
        <v>25</v>
      </c>
      <c r="AF20" s="48" t="n">
        <f aca="false">IF(AF$6&gt;=$H20,$I20,0)</f>
        <v>25</v>
      </c>
      <c r="AG20" s="48" t="n">
        <f aca="false">IF(AG$6&gt;=$H20,$I20,0)</f>
        <v>25</v>
      </c>
      <c r="AH20" s="48" t="n">
        <f aca="false">IF(AH$6&gt;=$H20,$I20,0)</f>
        <v>25</v>
      </c>
      <c r="AI20" s="48" t="n">
        <f aca="false">IF(AI$6&gt;=$H20,$I20,0)</f>
        <v>25</v>
      </c>
      <c r="AJ20" s="48" t="n">
        <f aca="false">IF(AJ$6&gt;=$H20,$I20,0)</f>
        <v>25</v>
      </c>
      <c r="AK20" s="48" t="n">
        <f aca="false">IF(AK$6&gt;=$H20,$I20,0)</f>
        <v>25</v>
      </c>
    </row>
    <row r="21" customFormat="false" ht="15" hidden="false" customHeight="true" outlineLevel="0" collapsed="false">
      <c r="A21" s="26" t="n">
        <v>15</v>
      </c>
      <c r="B21" s="32" t="s">
        <v>580</v>
      </c>
      <c r="C21" s="4" t="s">
        <v>583</v>
      </c>
      <c r="D21" s="26" t="s">
        <v>563</v>
      </c>
      <c r="E21" s="40" t="n">
        <v>100</v>
      </c>
      <c r="F21" s="26" t="s">
        <v>464</v>
      </c>
      <c r="G21" s="26" t="s">
        <v>550</v>
      </c>
      <c r="H21" s="87" t="n">
        <v>3</v>
      </c>
      <c r="I21" s="48" t="n">
        <f aca="false">IF(F21="€/Monat",E21,IF(F21="€/Jahr",E21/12,IF(F21="USD/Monat",E21*'Plan-Annahmen'!$B$53,IF(F21="USD einmalig",E21*'Plan-Annahmen'!$B$53,E21))))</f>
        <v>8.33333333333333</v>
      </c>
      <c r="J21" s="35" t="s">
        <v>584</v>
      </c>
      <c r="K21" s="35"/>
      <c r="L21" s="35"/>
      <c r="M21" s="35"/>
      <c r="N21" s="48" t="n">
        <f aca="false">IF(N$6&gt;=$H21,$I21,0)</f>
        <v>0</v>
      </c>
      <c r="O21" s="48" t="n">
        <f aca="false">IF(O$6&gt;=$H21,$I21,0)</f>
        <v>0</v>
      </c>
      <c r="P21" s="48" t="n">
        <f aca="false">IF(P$6&gt;=$H21,$I21,0)</f>
        <v>8.33333333333333</v>
      </c>
      <c r="Q21" s="48" t="n">
        <f aca="false">IF(Q$6&gt;=$H21,$I21,0)</f>
        <v>8.33333333333333</v>
      </c>
      <c r="R21" s="48" t="n">
        <f aca="false">IF(R$6&gt;=$H21,$I21,0)</f>
        <v>8.33333333333333</v>
      </c>
      <c r="S21" s="48" t="n">
        <f aca="false">IF(S$6&gt;=$H21,$I21,0)</f>
        <v>8.33333333333333</v>
      </c>
      <c r="T21" s="48" t="n">
        <f aca="false">IF(T$6&gt;=$H21,$I21,0)</f>
        <v>8.33333333333333</v>
      </c>
      <c r="U21" s="48" t="n">
        <f aca="false">IF(U$6&gt;=$H21,$I21,0)</f>
        <v>8.33333333333333</v>
      </c>
      <c r="V21" s="48" t="n">
        <f aca="false">IF(V$6&gt;=$H21,$I21,0)</f>
        <v>8.33333333333333</v>
      </c>
      <c r="W21" s="48" t="n">
        <f aca="false">IF(W$6&gt;=$H21,$I21,0)</f>
        <v>8.33333333333333</v>
      </c>
      <c r="X21" s="48" t="n">
        <f aca="false">IF(X$6&gt;=$H21,$I21,0)</f>
        <v>8.33333333333333</v>
      </c>
      <c r="Y21" s="48" t="n">
        <f aca="false">IF(Y$6&gt;=$H21,$I21,0)</f>
        <v>8.33333333333333</v>
      </c>
      <c r="Z21" s="48" t="n">
        <f aca="false">IF(Z$6&gt;=$H21,$I21,0)</f>
        <v>8.33333333333333</v>
      </c>
      <c r="AA21" s="48" t="n">
        <f aca="false">IF(AA$6&gt;=$H21,$I21,0)</f>
        <v>8.33333333333333</v>
      </c>
      <c r="AB21" s="48" t="n">
        <f aca="false">IF(AB$6&gt;=$H21,$I21,0)</f>
        <v>8.33333333333333</v>
      </c>
      <c r="AC21" s="48" t="n">
        <f aca="false">IF(AC$6&gt;=$H21,$I21,0)</f>
        <v>8.33333333333333</v>
      </c>
      <c r="AD21" s="48" t="n">
        <f aca="false">IF(AD$6&gt;=$H21,$I21,0)</f>
        <v>8.33333333333333</v>
      </c>
      <c r="AE21" s="48" t="n">
        <f aca="false">IF(AE$6&gt;=$H21,$I21,0)</f>
        <v>8.33333333333333</v>
      </c>
      <c r="AF21" s="48" t="n">
        <f aca="false">IF(AF$6&gt;=$H21,$I21,0)</f>
        <v>8.33333333333333</v>
      </c>
      <c r="AG21" s="48" t="n">
        <f aca="false">IF(AG$6&gt;=$H21,$I21,0)</f>
        <v>8.33333333333333</v>
      </c>
      <c r="AH21" s="48" t="n">
        <f aca="false">IF(AH$6&gt;=$H21,$I21,0)</f>
        <v>8.33333333333333</v>
      </c>
      <c r="AI21" s="48" t="n">
        <f aca="false">IF(AI$6&gt;=$H21,$I21,0)</f>
        <v>8.33333333333333</v>
      </c>
      <c r="AJ21" s="48" t="n">
        <f aca="false">IF(AJ$6&gt;=$H21,$I21,0)</f>
        <v>8.33333333333333</v>
      </c>
      <c r="AK21" s="48" t="n">
        <f aca="false">IF(AK$6&gt;=$H21,$I21,0)</f>
        <v>8.33333333333333</v>
      </c>
    </row>
    <row r="22" customFormat="false" ht="39.55" hidden="false" customHeight="true" outlineLevel="0" collapsed="false">
      <c r="A22" s="49" t="n">
        <v>16</v>
      </c>
      <c r="B22" s="84" t="s">
        <v>580</v>
      </c>
      <c r="C22" s="10" t="s">
        <v>585</v>
      </c>
      <c r="D22" s="49" t="s">
        <v>558</v>
      </c>
      <c r="E22" s="85" t="n">
        <v>0</v>
      </c>
      <c r="F22" s="49" t="s">
        <v>464</v>
      </c>
      <c r="G22" s="49" t="s">
        <v>550</v>
      </c>
      <c r="H22" s="86"/>
      <c r="I22" s="31"/>
      <c r="J22" s="35" t="s">
        <v>586</v>
      </c>
      <c r="K22" s="35"/>
      <c r="L22" s="35"/>
      <c r="M22" s="35"/>
      <c r="N22" s="22"/>
      <c r="O22" s="22"/>
      <c r="P22" s="22"/>
      <c r="Q22" s="22"/>
      <c r="R22" s="22"/>
      <c r="S22" s="22"/>
      <c r="T22" s="22"/>
      <c r="U22" s="22"/>
      <c r="V22" s="22"/>
      <c r="W22" s="22"/>
      <c r="X22" s="22"/>
      <c r="Y22" s="22"/>
      <c r="Z22" s="22"/>
      <c r="AA22" s="22"/>
      <c r="AB22" s="22"/>
      <c r="AC22" s="22"/>
      <c r="AD22" s="22"/>
      <c r="AE22" s="22"/>
      <c r="AF22" s="22"/>
      <c r="AG22" s="22"/>
      <c r="AH22" s="22"/>
      <c r="AI22" s="22"/>
      <c r="AJ22" s="22"/>
      <c r="AK22" s="22"/>
    </row>
    <row r="23" customFormat="false" ht="90.25" hidden="false" customHeight="true" outlineLevel="0" collapsed="false">
      <c r="A23" s="43" t="n">
        <v>17</v>
      </c>
      <c r="B23" s="88" t="s">
        <v>587</v>
      </c>
      <c r="C23" s="20" t="s">
        <v>588</v>
      </c>
      <c r="D23" s="43" t="s">
        <v>563</v>
      </c>
      <c r="E23" s="89" t="n">
        <v>3000</v>
      </c>
      <c r="F23" s="43" t="s">
        <v>464</v>
      </c>
      <c r="G23" s="43" t="s">
        <v>550</v>
      </c>
      <c r="H23" s="92" t="n">
        <f aca="false">'Plan-Annahmen'!$B$57</f>
        <v>2</v>
      </c>
      <c r="I23" s="91" t="n">
        <f aca="false">IF(F23="€/Monat",E23,IF(F23="€/Jahr",E23/12,IF(F23="USD/Monat",E23*'Plan-Annahmen'!$B$53,IF(F23="USD einmalig",E23*'Plan-Annahmen'!$B$53,E23))))</f>
        <v>250</v>
      </c>
      <c r="J23" s="35" t="s">
        <v>589</v>
      </c>
      <c r="K23" s="35"/>
      <c r="L23" s="35"/>
      <c r="M23" s="35"/>
      <c r="N23" s="48" t="n">
        <f aca="false">IF(N$6&gt;=$H23,$I23,0)</f>
        <v>0</v>
      </c>
      <c r="O23" s="48" t="n">
        <f aca="false">IF(O$6&gt;=$H23,$I23,0)</f>
        <v>250</v>
      </c>
      <c r="P23" s="48" t="n">
        <f aca="false">IF(P$6&gt;=$H23,$I23,0)</f>
        <v>250</v>
      </c>
      <c r="Q23" s="48" t="n">
        <f aca="false">IF(Q$6&gt;=$H23,$I23,0)</f>
        <v>250</v>
      </c>
      <c r="R23" s="48" t="n">
        <f aca="false">IF(R$6&gt;=$H23,$I23,0)</f>
        <v>250</v>
      </c>
      <c r="S23" s="48" t="n">
        <f aca="false">IF(S$6&gt;=$H23,$I23,0)</f>
        <v>250</v>
      </c>
      <c r="T23" s="48" t="n">
        <f aca="false">IF(T$6&gt;=$H23,$I23,0)</f>
        <v>250</v>
      </c>
      <c r="U23" s="48" t="n">
        <f aca="false">IF(U$6&gt;=$H23,$I23,0)</f>
        <v>250</v>
      </c>
      <c r="V23" s="48" t="n">
        <f aca="false">IF(V$6&gt;=$H23,$I23,0)</f>
        <v>250</v>
      </c>
      <c r="W23" s="48" t="n">
        <f aca="false">IF(W$6&gt;=$H23,$I23,0)</f>
        <v>250</v>
      </c>
      <c r="X23" s="48" t="n">
        <f aca="false">IF(X$6&gt;=$H23,$I23,0)</f>
        <v>250</v>
      </c>
      <c r="Y23" s="48" t="n">
        <f aca="false">IF(Y$6&gt;=$H23,$I23,0)</f>
        <v>250</v>
      </c>
      <c r="Z23" s="48" t="n">
        <f aca="false">IF(Z$6&gt;=$H23,$I23,0)</f>
        <v>250</v>
      </c>
      <c r="AA23" s="48" t="n">
        <f aca="false">IF(AA$6&gt;=$H23,$I23,0)</f>
        <v>250</v>
      </c>
      <c r="AB23" s="48" t="n">
        <f aca="false">IF(AB$6&gt;=$H23,$I23,0)</f>
        <v>250</v>
      </c>
      <c r="AC23" s="48" t="n">
        <f aca="false">IF(AC$6&gt;=$H23,$I23,0)</f>
        <v>250</v>
      </c>
      <c r="AD23" s="48" t="n">
        <f aca="false">IF(AD$6&gt;=$H23,$I23,0)</f>
        <v>250</v>
      </c>
      <c r="AE23" s="48" t="n">
        <f aca="false">IF(AE$6&gt;=$H23,$I23,0)</f>
        <v>250</v>
      </c>
      <c r="AF23" s="48" t="n">
        <f aca="false">IF(AF$6&gt;=$H23,$I23,0)</f>
        <v>250</v>
      </c>
      <c r="AG23" s="48" t="n">
        <f aca="false">IF(AG$6&gt;=$H23,$I23,0)</f>
        <v>250</v>
      </c>
      <c r="AH23" s="48" t="n">
        <f aca="false">IF(AH$6&gt;=$H23,$I23,0)</f>
        <v>250</v>
      </c>
      <c r="AI23" s="48" t="n">
        <f aca="false">IF(AI$6&gt;=$H23,$I23,0)</f>
        <v>250</v>
      </c>
      <c r="AJ23" s="48" t="n">
        <f aca="false">IF(AJ$6&gt;=$H23,$I23,0)</f>
        <v>250</v>
      </c>
      <c r="AK23" s="48" t="n">
        <f aca="false">IF(AK$6&gt;=$H23,$I23,0)</f>
        <v>250</v>
      </c>
    </row>
    <row r="24" customFormat="false" ht="26.85" hidden="false" customHeight="true" outlineLevel="0" collapsed="false">
      <c r="A24" s="26" t="n">
        <v>18</v>
      </c>
      <c r="B24" s="32" t="s">
        <v>587</v>
      </c>
      <c r="C24" s="4" t="s">
        <v>590</v>
      </c>
      <c r="D24" s="26" t="s">
        <v>563</v>
      </c>
      <c r="E24" s="40" t="n">
        <v>14.16</v>
      </c>
      <c r="F24" s="26" t="s">
        <v>237</v>
      </c>
      <c r="G24" s="26" t="s">
        <v>550</v>
      </c>
      <c r="H24" s="61" t="n">
        <f aca="false">'Plan-Annahmen'!$B$57</f>
        <v>2</v>
      </c>
      <c r="I24" s="48" t="n">
        <f aca="false">IF(F24="€/Monat",E24,IF(F24="€/Jahr",E24/12,IF(F24="USD/Monat",E24*'Plan-Annahmen'!$B$53,IF(F24="USD einmalig",E24*'Plan-Annahmen'!$B$53,E24))))</f>
        <v>14.16</v>
      </c>
      <c r="J24" s="35" t="s">
        <v>591</v>
      </c>
      <c r="K24" s="35"/>
      <c r="L24" s="35"/>
      <c r="M24" s="35"/>
      <c r="N24" s="48" t="n">
        <f aca="false">IF(N$6&gt;=$H24,$I24,0)</f>
        <v>0</v>
      </c>
      <c r="O24" s="48" t="n">
        <f aca="false">IF(O$6&gt;=$H24,$I24,0)</f>
        <v>14.16</v>
      </c>
      <c r="P24" s="48" t="n">
        <f aca="false">IF(P$6&gt;=$H24,$I24,0)</f>
        <v>14.16</v>
      </c>
      <c r="Q24" s="48" t="n">
        <f aca="false">IF(Q$6&gt;=$H24,$I24,0)</f>
        <v>14.16</v>
      </c>
      <c r="R24" s="48" t="n">
        <f aca="false">IF(R$6&gt;=$H24,$I24,0)</f>
        <v>14.16</v>
      </c>
      <c r="S24" s="48" t="n">
        <f aca="false">IF(S$6&gt;=$H24,$I24,0)</f>
        <v>14.16</v>
      </c>
      <c r="T24" s="48" t="n">
        <f aca="false">IF(T$6&gt;=$H24,$I24,0)</f>
        <v>14.16</v>
      </c>
      <c r="U24" s="48" t="n">
        <f aca="false">IF(U$6&gt;=$H24,$I24,0)</f>
        <v>14.16</v>
      </c>
      <c r="V24" s="48" t="n">
        <f aca="false">IF(V$6&gt;=$H24,$I24,0)</f>
        <v>14.16</v>
      </c>
      <c r="W24" s="48" t="n">
        <f aca="false">IF(W$6&gt;=$H24,$I24,0)</f>
        <v>14.16</v>
      </c>
      <c r="X24" s="48" t="n">
        <f aca="false">IF(X$6&gt;=$H24,$I24,0)</f>
        <v>14.16</v>
      </c>
      <c r="Y24" s="48" t="n">
        <f aca="false">IF(Y$6&gt;=$H24,$I24,0)</f>
        <v>14.16</v>
      </c>
      <c r="Z24" s="48" t="n">
        <f aca="false">IF(Z$6&gt;=$H24,$I24,0)</f>
        <v>14.16</v>
      </c>
      <c r="AA24" s="48" t="n">
        <f aca="false">IF(AA$6&gt;=$H24,$I24,0)</f>
        <v>14.16</v>
      </c>
      <c r="AB24" s="48" t="n">
        <f aca="false">IF(AB$6&gt;=$H24,$I24,0)</f>
        <v>14.16</v>
      </c>
      <c r="AC24" s="48" t="n">
        <f aca="false">IF(AC$6&gt;=$H24,$I24,0)</f>
        <v>14.16</v>
      </c>
      <c r="AD24" s="48" t="n">
        <f aca="false">IF(AD$6&gt;=$H24,$I24,0)</f>
        <v>14.16</v>
      </c>
      <c r="AE24" s="48" t="n">
        <f aca="false">IF(AE$6&gt;=$H24,$I24,0)</f>
        <v>14.16</v>
      </c>
      <c r="AF24" s="48" t="n">
        <f aca="false">IF(AF$6&gt;=$H24,$I24,0)</f>
        <v>14.16</v>
      </c>
      <c r="AG24" s="48" t="n">
        <f aca="false">IF(AG$6&gt;=$H24,$I24,0)</f>
        <v>14.16</v>
      </c>
      <c r="AH24" s="48" t="n">
        <f aca="false">IF(AH$6&gt;=$H24,$I24,0)</f>
        <v>14.16</v>
      </c>
      <c r="AI24" s="48" t="n">
        <f aca="false">IF(AI$6&gt;=$H24,$I24,0)</f>
        <v>14.16</v>
      </c>
      <c r="AJ24" s="48" t="n">
        <f aca="false">IF(AJ$6&gt;=$H24,$I24,0)</f>
        <v>14.16</v>
      </c>
      <c r="AK24" s="48" t="n">
        <f aca="false">IF(AK$6&gt;=$H24,$I24,0)</f>
        <v>14.16</v>
      </c>
    </row>
    <row r="25" customFormat="false" ht="77.6" hidden="false" customHeight="true" outlineLevel="0" collapsed="false">
      <c r="A25" s="43" t="n">
        <v>19</v>
      </c>
      <c r="B25" s="88" t="s">
        <v>587</v>
      </c>
      <c r="C25" s="20" t="s">
        <v>592</v>
      </c>
      <c r="D25" s="43" t="s">
        <v>460</v>
      </c>
      <c r="E25" s="89" t="n">
        <v>0</v>
      </c>
      <c r="F25" s="43" t="s">
        <v>124</v>
      </c>
      <c r="G25" s="43" t="s">
        <v>550</v>
      </c>
      <c r="H25" s="90"/>
      <c r="I25" s="93"/>
      <c r="J25" s="35" t="s">
        <v>593</v>
      </c>
      <c r="K25" s="35"/>
      <c r="L25" s="35"/>
      <c r="M25" s="35"/>
      <c r="N25" s="22"/>
      <c r="O25" s="22"/>
      <c r="P25" s="22"/>
      <c r="Q25" s="22"/>
      <c r="R25" s="22"/>
      <c r="S25" s="22"/>
      <c r="T25" s="22"/>
      <c r="U25" s="22"/>
      <c r="V25" s="22"/>
      <c r="W25" s="22"/>
      <c r="X25" s="22"/>
      <c r="Y25" s="22"/>
      <c r="Z25" s="22"/>
      <c r="AA25" s="22"/>
      <c r="AB25" s="22"/>
      <c r="AC25" s="22"/>
      <c r="AD25" s="22"/>
      <c r="AE25" s="22"/>
      <c r="AF25" s="22"/>
      <c r="AG25" s="22"/>
      <c r="AH25" s="22"/>
      <c r="AI25" s="22"/>
      <c r="AJ25" s="22"/>
      <c r="AK25" s="22"/>
    </row>
    <row r="26" customFormat="false" ht="52.2" hidden="false" customHeight="true" outlineLevel="0" collapsed="false">
      <c r="A26" s="26" t="n">
        <v>20</v>
      </c>
      <c r="B26" s="32" t="s">
        <v>587</v>
      </c>
      <c r="C26" s="4" t="s">
        <v>594</v>
      </c>
      <c r="D26" s="26" t="s">
        <v>595</v>
      </c>
      <c r="E26" s="75" t="n">
        <f aca="false">'Plan-Annahmen'!$B$69</f>
        <v>0.30836877</v>
      </c>
      <c r="F26" s="26" t="s">
        <v>596</v>
      </c>
      <c r="G26" s="26" t="s">
        <v>550</v>
      </c>
      <c r="H26" s="87"/>
      <c r="I26" s="22"/>
      <c r="J26" s="35" t="s">
        <v>597</v>
      </c>
      <c r="K26" s="35"/>
      <c r="L26" s="35"/>
      <c r="M26" s="35"/>
      <c r="N26" s="22"/>
      <c r="O26" s="22"/>
      <c r="P26" s="22"/>
      <c r="Q26" s="22"/>
      <c r="R26" s="22"/>
      <c r="S26" s="22"/>
      <c r="T26" s="22"/>
      <c r="U26" s="22"/>
      <c r="V26" s="22"/>
      <c r="W26" s="22"/>
      <c r="X26" s="22"/>
      <c r="Y26" s="22"/>
      <c r="Z26" s="22"/>
      <c r="AA26" s="22"/>
      <c r="AB26" s="22"/>
      <c r="AC26" s="22"/>
      <c r="AD26" s="22"/>
      <c r="AE26" s="22"/>
      <c r="AF26" s="22"/>
      <c r="AG26" s="22"/>
      <c r="AH26" s="22"/>
      <c r="AI26" s="22"/>
      <c r="AJ26" s="22"/>
      <c r="AK26" s="22"/>
    </row>
    <row r="27" customFormat="false" ht="39.55" hidden="false" customHeight="true" outlineLevel="0" collapsed="false">
      <c r="A27" s="49" t="n">
        <v>21</v>
      </c>
      <c r="B27" s="84" t="s">
        <v>587</v>
      </c>
      <c r="C27" s="10" t="s">
        <v>598</v>
      </c>
      <c r="D27" s="49" t="s">
        <v>558</v>
      </c>
      <c r="E27" s="85" t="n">
        <v>0</v>
      </c>
      <c r="F27" s="49" t="s">
        <v>464</v>
      </c>
      <c r="G27" s="49" t="s">
        <v>550</v>
      </c>
      <c r="H27" s="86"/>
      <c r="I27" s="31"/>
      <c r="J27" s="35" t="s">
        <v>599</v>
      </c>
      <c r="K27" s="35"/>
      <c r="L27" s="35"/>
      <c r="M27" s="35"/>
      <c r="N27" s="22"/>
      <c r="O27" s="22"/>
      <c r="P27" s="22"/>
      <c r="Q27" s="22"/>
      <c r="R27" s="22"/>
      <c r="S27" s="22"/>
      <c r="T27" s="22"/>
      <c r="U27" s="22"/>
      <c r="V27" s="22"/>
      <c r="W27" s="22"/>
      <c r="X27" s="22"/>
      <c r="Y27" s="22"/>
      <c r="Z27" s="22"/>
      <c r="AA27" s="22"/>
      <c r="AB27" s="22"/>
      <c r="AC27" s="22"/>
      <c r="AD27" s="22"/>
      <c r="AE27" s="22"/>
      <c r="AF27" s="22"/>
      <c r="AG27" s="22"/>
      <c r="AH27" s="22"/>
      <c r="AI27" s="22"/>
      <c r="AJ27" s="22"/>
      <c r="AK27" s="22"/>
    </row>
    <row r="28" customFormat="false" ht="64.9" hidden="false" customHeight="true" outlineLevel="0" collapsed="false">
      <c r="A28" s="26" t="n">
        <v>22</v>
      </c>
      <c r="B28" s="32" t="s">
        <v>587</v>
      </c>
      <c r="C28" s="4" t="s">
        <v>600</v>
      </c>
      <c r="D28" s="26" t="s">
        <v>595</v>
      </c>
      <c r="E28" s="61" t="n">
        <f aca="false">'Plan-Annahmen'!$B$58</f>
        <v>0</v>
      </c>
      <c r="F28" s="26" t="s">
        <v>412</v>
      </c>
      <c r="G28" s="26" t="s">
        <v>550</v>
      </c>
      <c r="H28" s="87"/>
      <c r="I28" s="22"/>
      <c r="J28" s="35" t="s">
        <v>601</v>
      </c>
      <c r="K28" s="35"/>
      <c r="L28" s="35"/>
      <c r="M28" s="35"/>
      <c r="N28" s="22"/>
      <c r="O28" s="22"/>
      <c r="P28" s="22"/>
      <c r="Q28" s="22"/>
      <c r="R28" s="22"/>
      <c r="S28" s="22"/>
      <c r="T28" s="22"/>
      <c r="U28" s="22"/>
      <c r="V28" s="22"/>
      <c r="W28" s="22"/>
      <c r="X28" s="22"/>
      <c r="Y28" s="22"/>
      <c r="Z28" s="22"/>
      <c r="AA28" s="22"/>
      <c r="AB28" s="22"/>
      <c r="AC28" s="22"/>
      <c r="AD28" s="22"/>
      <c r="AE28" s="22"/>
      <c r="AF28" s="22"/>
      <c r="AG28" s="22"/>
      <c r="AH28" s="22"/>
      <c r="AI28" s="22"/>
      <c r="AJ28" s="22"/>
      <c r="AK28" s="22"/>
    </row>
    <row r="29" customFormat="false" ht="39.55" hidden="false" customHeight="true" outlineLevel="0" collapsed="false">
      <c r="A29" s="26" t="n">
        <v>23</v>
      </c>
      <c r="B29" s="32" t="s">
        <v>587</v>
      </c>
      <c r="C29" s="4" t="s">
        <v>602</v>
      </c>
      <c r="D29" s="26" t="s">
        <v>595</v>
      </c>
      <c r="E29" s="40" t="n">
        <v>0</v>
      </c>
      <c r="F29" s="26" t="s">
        <v>234</v>
      </c>
      <c r="G29" s="26" t="s">
        <v>550</v>
      </c>
      <c r="H29" s="87"/>
      <c r="I29" s="22"/>
      <c r="J29" s="35" t="s">
        <v>603</v>
      </c>
      <c r="K29" s="35"/>
      <c r="L29" s="35"/>
      <c r="M29" s="35"/>
      <c r="N29" s="22"/>
      <c r="O29" s="22"/>
      <c r="P29" s="22"/>
      <c r="Q29" s="22"/>
      <c r="R29" s="22"/>
      <c r="S29" s="22"/>
      <c r="T29" s="22"/>
      <c r="U29" s="22"/>
      <c r="V29" s="22"/>
      <c r="W29" s="22"/>
      <c r="X29" s="22"/>
      <c r="Y29" s="22"/>
      <c r="Z29" s="22"/>
      <c r="AA29" s="22"/>
      <c r="AB29" s="22"/>
      <c r="AC29" s="22"/>
      <c r="AD29" s="22"/>
      <c r="AE29" s="22"/>
      <c r="AF29" s="22"/>
      <c r="AG29" s="22"/>
      <c r="AH29" s="22"/>
      <c r="AI29" s="22"/>
      <c r="AJ29" s="22"/>
      <c r="AK29" s="22"/>
    </row>
    <row r="30" customFormat="false" ht="39.55" hidden="false" customHeight="true" outlineLevel="0" collapsed="false">
      <c r="A30" s="26" t="n">
        <v>24</v>
      </c>
      <c r="B30" s="32" t="s">
        <v>604</v>
      </c>
      <c r="C30" s="4" t="s">
        <v>605</v>
      </c>
      <c r="D30" s="26" t="s">
        <v>563</v>
      </c>
      <c r="E30" s="61" t="n">
        <f aca="false">'Marge &amp; Tragfähigkeit'!$D$19</f>
        <v>43</v>
      </c>
      <c r="F30" s="26" t="s">
        <v>237</v>
      </c>
      <c r="G30" s="26" t="s">
        <v>550</v>
      </c>
      <c r="H30" s="87" t="n">
        <v>1</v>
      </c>
      <c r="I30" s="48" t="n">
        <f aca="false">IF(F30="€/Monat",E30,IF(F30="€/Jahr",E30/12,IF(F30="USD/Monat",E30*'Plan-Annahmen'!$B$53,IF(F30="USD einmalig",E30*'Plan-Annahmen'!$B$53,E30))))</f>
        <v>43</v>
      </c>
      <c r="J30" s="35" t="s">
        <v>606</v>
      </c>
      <c r="K30" s="35"/>
      <c r="L30" s="35"/>
      <c r="M30" s="35"/>
      <c r="N30" s="48" t="n">
        <f aca="false">IF(N$6&gt;=$H30,$I30,0)</f>
        <v>43</v>
      </c>
      <c r="O30" s="48" t="n">
        <f aca="false">IF(O$6&gt;=$H30,$I30,0)</f>
        <v>43</v>
      </c>
      <c r="P30" s="48" t="n">
        <f aca="false">IF(P$6&gt;=$H30,$I30,0)</f>
        <v>43</v>
      </c>
      <c r="Q30" s="48" t="n">
        <f aca="false">IF(Q$6&gt;=$H30,$I30,0)</f>
        <v>43</v>
      </c>
      <c r="R30" s="48" t="n">
        <f aca="false">IF(R$6&gt;=$H30,$I30,0)</f>
        <v>43</v>
      </c>
      <c r="S30" s="48" t="n">
        <f aca="false">IF(S$6&gt;=$H30,$I30,0)</f>
        <v>43</v>
      </c>
      <c r="T30" s="48" t="n">
        <f aca="false">IF(T$6&gt;=$H30,$I30,0)</f>
        <v>43</v>
      </c>
      <c r="U30" s="48" t="n">
        <f aca="false">IF(U$6&gt;=$H30,$I30,0)</f>
        <v>43</v>
      </c>
      <c r="V30" s="48" t="n">
        <f aca="false">IF(V$6&gt;=$H30,$I30,0)</f>
        <v>43</v>
      </c>
      <c r="W30" s="48" t="n">
        <f aca="false">IF(W$6&gt;=$H30,$I30,0)</f>
        <v>43</v>
      </c>
      <c r="X30" s="48" t="n">
        <f aca="false">IF(X$6&gt;=$H30,$I30,0)</f>
        <v>43</v>
      </c>
      <c r="Y30" s="48" t="n">
        <f aca="false">IF(Y$6&gt;=$H30,$I30,0)</f>
        <v>43</v>
      </c>
      <c r="Z30" s="48" t="n">
        <f aca="false">IF(Z$6&gt;=$H30,$I30,0)</f>
        <v>43</v>
      </c>
      <c r="AA30" s="48" t="n">
        <f aca="false">IF(AA$6&gt;=$H30,$I30,0)</f>
        <v>43</v>
      </c>
      <c r="AB30" s="48" t="n">
        <f aca="false">IF(AB$6&gt;=$H30,$I30,0)</f>
        <v>43</v>
      </c>
      <c r="AC30" s="48" t="n">
        <f aca="false">IF(AC$6&gt;=$H30,$I30,0)</f>
        <v>43</v>
      </c>
      <c r="AD30" s="48" t="n">
        <f aca="false">IF(AD$6&gt;=$H30,$I30,0)</f>
        <v>43</v>
      </c>
      <c r="AE30" s="48" t="n">
        <f aca="false">IF(AE$6&gt;=$H30,$I30,0)</f>
        <v>43</v>
      </c>
      <c r="AF30" s="48" t="n">
        <f aca="false">IF(AF$6&gt;=$H30,$I30,0)</f>
        <v>43</v>
      </c>
      <c r="AG30" s="48" t="n">
        <f aca="false">IF(AG$6&gt;=$H30,$I30,0)</f>
        <v>43</v>
      </c>
      <c r="AH30" s="48" t="n">
        <f aca="false">IF(AH$6&gt;=$H30,$I30,0)</f>
        <v>43</v>
      </c>
      <c r="AI30" s="48" t="n">
        <f aca="false">IF(AI$6&gt;=$H30,$I30,0)</f>
        <v>43</v>
      </c>
      <c r="AJ30" s="48" t="n">
        <f aca="false">IF(AJ$6&gt;=$H30,$I30,0)</f>
        <v>43</v>
      </c>
      <c r="AK30" s="48" t="n">
        <f aca="false">IF(AK$6&gt;=$H30,$I30,0)</f>
        <v>43</v>
      </c>
    </row>
    <row r="31" customFormat="false" ht="26.85" hidden="false" customHeight="true" outlineLevel="0" collapsed="false">
      <c r="A31" s="26" t="n">
        <v>25</v>
      </c>
      <c r="B31" s="32" t="s">
        <v>604</v>
      </c>
      <c r="C31" s="4" t="s">
        <v>607</v>
      </c>
      <c r="D31" s="26" t="s">
        <v>563</v>
      </c>
      <c r="E31" s="61" t="n">
        <f aca="false">'Marge &amp; Tragfähigkeit'!$D$20</f>
        <v>20.468</v>
      </c>
      <c r="F31" s="26" t="s">
        <v>237</v>
      </c>
      <c r="G31" s="26" t="s">
        <v>550</v>
      </c>
      <c r="H31" s="87" t="n">
        <v>1</v>
      </c>
      <c r="I31" s="48" t="n">
        <f aca="false">IF(F31="€/Monat",E31,IF(F31="€/Jahr",E31/12,IF(F31="USD/Monat",E31*'Plan-Annahmen'!$B$53,IF(F31="USD einmalig",E31*'Plan-Annahmen'!$B$53,E31))))</f>
        <v>20.468</v>
      </c>
      <c r="J31" s="35" t="s">
        <v>608</v>
      </c>
      <c r="K31" s="35"/>
      <c r="L31" s="35"/>
      <c r="M31" s="35"/>
      <c r="N31" s="48" t="n">
        <f aca="false">IF(N$6&gt;=$H31,$I31,0)</f>
        <v>20.468</v>
      </c>
      <c r="O31" s="48" t="n">
        <f aca="false">IF(O$6&gt;=$H31,$I31,0)</f>
        <v>20.468</v>
      </c>
      <c r="P31" s="48" t="n">
        <f aca="false">IF(P$6&gt;=$H31,$I31,0)</f>
        <v>20.468</v>
      </c>
      <c r="Q31" s="48" t="n">
        <f aca="false">IF(Q$6&gt;=$H31,$I31,0)</f>
        <v>20.468</v>
      </c>
      <c r="R31" s="48" t="n">
        <f aca="false">IF(R$6&gt;=$H31,$I31,0)</f>
        <v>20.468</v>
      </c>
      <c r="S31" s="48" t="n">
        <f aca="false">IF(S$6&gt;=$H31,$I31,0)</f>
        <v>20.468</v>
      </c>
      <c r="T31" s="48" t="n">
        <f aca="false">IF(T$6&gt;=$H31,$I31,0)</f>
        <v>20.468</v>
      </c>
      <c r="U31" s="48" t="n">
        <f aca="false">IF(U$6&gt;=$H31,$I31,0)</f>
        <v>20.468</v>
      </c>
      <c r="V31" s="48" t="n">
        <f aca="false">IF(V$6&gt;=$H31,$I31,0)</f>
        <v>20.468</v>
      </c>
      <c r="W31" s="48" t="n">
        <f aca="false">IF(W$6&gt;=$H31,$I31,0)</f>
        <v>20.468</v>
      </c>
      <c r="X31" s="48" t="n">
        <f aca="false">IF(X$6&gt;=$H31,$I31,0)</f>
        <v>20.468</v>
      </c>
      <c r="Y31" s="48" t="n">
        <f aca="false">IF(Y$6&gt;=$H31,$I31,0)</f>
        <v>20.468</v>
      </c>
      <c r="Z31" s="48" t="n">
        <f aca="false">IF(Z$6&gt;=$H31,$I31,0)</f>
        <v>20.468</v>
      </c>
      <c r="AA31" s="48" t="n">
        <f aca="false">IF(AA$6&gt;=$H31,$I31,0)</f>
        <v>20.468</v>
      </c>
      <c r="AB31" s="48" t="n">
        <f aca="false">IF(AB$6&gt;=$H31,$I31,0)</f>
        <v>20.468</v>
      </c>
      <c r="AC31" s="48" t="n">
        <f aca="false">IF(AC$6&gt;=$H31,$I31,0)</f>
        <v>20.468</v>
      </c>
      <c r="AD31" s="48" t="n">
        <f aca="false">IF(AD$6&gt;=$H31,$I31,0)</f>
        <v>20.468</v>
      </c>
      <c r="AE31" s="48" t="n">
        <f aca="false">IF(AE$6&gt;=$H31,$I31,0)</f>
        <v>20.468</v>
      </c>
      <c r="AF31" s="48" t="n">
        <f aca="false">IF(AF$6&gt;=$H31,$I31,0)</f>
        <v>20.468</v>
      </c>
      <c r="AG31" s="48" t="n">
        <f aca="false">IF(AG$6&gt;=$H31,$I31,0)</f>
        <v>20.468</v>
      </c>
      <c r="AH31" s="48" t="n">
        <f aca="false">IF(AH$6&gt;=$H31,$I31,0)</f>
        <v>20.468</v>
      </c>
      <c r="AI31" s="48" t="n">
        <f aca="false">IF(AI$6&gt;=$H31,$I31,0)</f>
        <v>20.468</v>
      </c>
      <c r="AJ31" s="48" t="n">
        <f aca="false">IF(AJ$6&gt;=$H31,$I31,0)</f>
        <v>20.468</v>
      </c>
      <c r="AK31" s="48" t="n">
        <f aca="false">IF(AK$6&gt;=$H31,$I31,0)</f>
        <v>20.468</v>
      </c>
    </row>
    <row r="32" customFormat="false" ht="39.55" hidden="false" customHeight="true" outlineLevel="0" collapsed="false">
      <c r="A32" s="43" t="n">
        <v>26</v>
      </c>
      <c r="B32" s="88" t="s">
        <v>604</v>
      </c>
      <c r="C32" s="20" t="s">
        <v>609</v>
      </c>
      <c r="D32" s="43" t="s">
        <v>563</v>
      </c>
      <c r="E32" s="92" t="n">
        <f aca="false">'Marge &amp; Tragfähigkeit'!$D$21</f>
        <v>46.053</v>
      </c>
      <c r="F32" s="43" t="s">
        <v>237</v>
      </c>
      <c r="G32" s="43" t="s">
        <v>550</v>
      </c>
      <c r="H32" s="90" t="n">
        <v>1</v>
      </c>
      <c r="I32" s="91" t="n">
        <f aca="false">IF(F32="€/Monat",E32,IF(F32="€/Jahr",E32/12,IF(F32="USD/Monat",E32*'Plan-Annahmen'!$B$53,IF(F32="USD einmalig",E32*'Plan-Annahmen'!$B$53,E32))))</f>
        <v>46.053</v>
      </c>
      <c r="J32" s="35" t="s">
        <v>610</v>
      </c>
      <c r="K32" s="35"/>
      <c r="L32" s="35"/>
      <c r="M32" s="35"/>
      <c r="N32" s="48" t="n">
        <f aca="false">IF(N$6&gt;=$H32,$I32,0)</f>
        <v>46.053</v>
      </c>
      <c r="O32" s="48" t="n">
        <f aca="false">IF(O$6&gt;=$H32,$I32,0)</f>
        <v>46.053</v>
      </c>
      <c r="P32" s="48" t="n">
        <f aca="false">IF(P$6&gt;=$H32,$I32,0)</f>
        <v>46.053</v>
      </c>
      <c r="Q32" s="48" t="n">
        <f aca="false">IF(Q$6&gt;=$H32,$I32,0)</f>
        <v>46.053</v>
      </c>
      <c r="R32" s="48" t="n">
        <f aca="false">IF(R$6&gt;=$H32,$I32,0)</f>
        <v>46.053</v>
      </c>
      <c r="S32" s="48" t="n">
        <f aca="false">IF(S$6&gt;=$H32,$I32,0)</f>
        <v>46.053</v>
      </c>
      <c r="T32" s="48" t="n">
        <f aca="false">IF(T$6&gt;=$H32,$I32,0)</f>
        <v>46.053</v>
      </c>
      <c r="U32" s="48" t="n">
        <f aca="false">IF(U$6&gt;=$H32,$I32,0)</f>
        <v>46.053</v>
      </c>
      <c r="V32" s="48" t="n">
        <f aca="false">IF(V$6&gt;=$H32,$I32,0)</f>
        <v>46.053</v>
      </c>
      <c r="W32" s="48" t="n">
        <f aca="false">IF(W$6&gt;=$H32,$I32,0)</f>
        <v>46.053</v>
      </c>
      <c r="X32" s="48" t="n">
        <f aca="false">IF(X$6&gt;=$H32,$I32,0)</f>
        <v>46.053</v>
      </c>
      <c r="Y32" s="48" t="n">
        <f aca="false">IF(Y$6&gt;=$H32,$I32,0)</f>
        <v>46.053</v>
      </c>
      <c r="Z32" s="48" t="n">
        <f aca="false">IF(Z$6&gt;=$H32,$I32,0)</f>
        <v>46.053</v>
      </c>
      <c r="AA32" s="48" t="n">
        <f aca="false">IF(AA$6&gt;=$H32,$I32,0)</f>
        <v>46.053</v>
      </c>
      <c r="AB32" s="48" t="n">
        <f aca="false">IF(AB$6&gt;=$H32,$I32,0)</f>
        <v>46.053</v>
      </c>
      <c r="AC32" s="48" t="n">
        <f aca="false">IF(AC$6&gt;=$H32,$I32,0)</f>
        <v>46.053</v>
      </c>
      <c r="AD32" s="48" t="n">
        <f aca="false">IF(AD$6&gt;=$H32,$I32,0)</f>
        <v>46.053</v>
      </c>
      <c r="AE32" s="48" t="n">
        <f aca="false">IF(AE$6&gt;=$H32,$I32,0)</f>
        <v>46.053</v>
      </c>
      <c r="AF32" s="48" t="n">
        <f aca="false">IF(AF$6&gt;=$H32,$I32,0)</f>
        <v>46.053</v>
      </c>
      <c r="AG32" s="48" t="n">
        <f aca="false">IF(AG$6&gt;=$H32,$I32,0)</f>
        <v>46.053</v>
      </c>
      <c r="AH32" s="48" t="n">
        <f aca="false">IF(AH$6&gt;=$H32,$I32,0)</f>
        <v>46.053</v>
      </c>
      <c r="AI32" s="48" t="n">
        <f aca="false">IF(AI$6&gt;=$H32,$I32,0)</f>
        <v>46.053</v>
      </c>
      <c r="AJ32" s="48" t="n">
        <f aca="false">IF(AJ$6&gt;=$H32,$I32,0)</f>
        <v>46.053</v>
      </c>
      <c r="AK32" s="48" t="n">
        <f aca="false">IF(AK$6&gt;=$H32,$I32,0)</f>
        <v>46.053</v>
      </c>
    </row>
    <row r="33" customFormat="false" ht="15" hidden="false" customHeight="true" outlineLevel="0" collapsed="false">
      <c r="A33" s="26" t="n">
        <v>27</v>
      </c>
      <c r="B33" s="32" t="s">
        <v>604</v>
      </c>
      <c r="C33" s="4" t="s">
        <v>33</v>
      </c>
      <c r="D33" s="26" t="s">
        <v>563</v>
      </c>
      <c r="E33" s="61" t="n">
        <f aca="false">'Marge &amp; Tragfähigkeit'!$D$22</f>
        <v>22</v>
      </c>
      <c r="F33" s="26" t="s">
        <v>237</v>
      </c>
      <c r="G33" s="26" t="s">
        <v>550</v>
      </c>
      <c r="H33" s="87" t="n">
        <v>1</v>
      </c>
      <c r="I33" s="48" t="n">
        <f aca="false">IF(F33="€/Monat",E33,IF(F33="€/Jahr",E33/12,IF(F33="USD/Monat",E33*'Plan-Annahmen'!$B$53,IF(F33="USD einmalig",E33*'Plan-Annahmen'!$B$53,E33))))</f>
        <v>22</v>
      </c>
      <c r="J33" s="35" t="s">
        <v>611</v>
      </c>
      <c r="K33" s="35"/>
      <c r="L33" s="35"/>
      <c r="M33" s="35"/>
      <c r="N33" s="48" t="n">
        <f aca="false">IF(N$6&gt;=$H33,$I33,0)</f>
        <v>22</v>
      </c>
      <c r="O33" s="48" t="n">
        <f aca="false">IF(O$6&gt;=$H33,$I33,0)</f>
        <v>22</v>
      </c>
      <c r="P33" s="48" t="n">
        <f aca="false">IF(P$6&gt;=$H33,$I33,0)</f>
        <v>22</v>
      </c>
      <c r="Q33" s="48" t="n">
        <f aca="false">IF(Q$6&gt;=$H33,$I33,0)</f>
        <v>22</v>
      </c>
      <c r="R33" s="48" t="n">
        <f aca="false">IF(R$6&gt;=$H33,$I33,0)</f>
        <v>22</v>
      </c>
      <c r="S33" s="48" t="n">
        <f aca="false">IF(S$6&gt;=$H33,$I33,0)</f>
        <v>22</v>
      </c>
      <c r="T33" s="48" t="n">
        <f aca="false">IF(T$6&gt;=$H33,$I33,0)</f>
        <v>22</v>
      </c>
      <c r="U33" s="48" t="n">
        <f aca="false">IF(U$6&gt;=$H33,$I33,0)</f>
        <v>22</v>
      </c>
      <c r="V33" s="48" t="n">
        <f aca="false">IF(V$6&gt;=$H33,$I33,0)</f>
        <v>22</v>
      </c>
      <c r="W33" s="48" t="n">
        <f aca="false">IF(W$6&gt;=$H33,$I33,0)</f>
        <v>22</v>
      </c>
      <c r="X33" s="48" t="n">
        <f aca="false">IF(X$6&gt;=$H33,$I33,0)</f>
        <v>22</v>
      </c>
      <c r="Y33" s="48" t="n">
        <f aca="false">IF(Y$6&gt;=$H33,$I33,0)</f>
        <v>22</v>
      </c>
      <c r="Z33" s="48" t="n">
        <f aca="false">IF(Z$6&gt;=$H33,$I33,0)</f>
        <v>22</v>
      </c>
      <c r="AA33" s="48" t="n">
        <f aca="false">IF(AA$6&gt;=$H33,$I33,0)</f>
        <v>22</v>
      </c>
      <c r="AB33" s="48" t="n">
        <f aca="false">IF(AB$6&gt;=$H33,$I33,0)</f>
        <v>22</v>
      </c>
      <c r="AC33" s="48" t="n">
        <f aca="false">IF(AC$6&gt;=$H33,$I33,0)</f>
        <v>22</v>
      </c>
      <c r="AD33" s="48" t="n">
        <f aca="false">IF(AD$6&gt;=$H33,$I33,0)</f>
        <v>22</v>
      </c>
      <c r="AE33" s="48" t="n">
        <f aca="false">IF(AE$6&gt;=$H33,$I33,0)</f>
        <v>22</v>
      </c>
      <c r="AF33" s="48" t="n">
        <f aca="false">IF(AF$6&gt;=$H33,$I33,0)</f>
        <v>22</v>
      </c>
      <c r="AG33" s="48" t="n">
        <f aca="false">IF(AG$6&gt;=$H33,$I33,0)</f>
        <v>22</v>
      </c>
      <c r="AH33" s="48" t="n">
        <f aca="false">IF(AH$6&gt;=$H33,$I33,0)</f>
        <v>22</v>
      </c>
      <c r="AI33" s="48" t="n">
        <f aca="false">IF(AI$6&gt;=$H33,$I33,0)</f>
        <v>22</v>
      </c>
      <c r="AJ33" s="48" t="n">
        <f aca="false">IF(AJ$6&gt;=$H33,$I33,0)</f>
        <v>22</v>
      </c>
      <c r="AK33" s="48" t="n">
        <f aca="false">IF(AK$6&gt;=$H33,$I33,0)</f>
        <v>22</v>
      </c>
    </row>
    <row r="34" customFormat="false" ht="26.85" hidden="false" customHeight="true" outlineLevel="0" collapsed="false">
      <c r="A34" s="26" t="n">
        <v>28</v>
      </c>
      <c r="B34" s="32" t="s">
        <v>604</v>
      </c>
      <c r="C34" s="4" t="s">
        <v>612</v>
      </c>
      <c r="D34" s="26" t="s">
        <v>563</v>
      </c>
      <c r="E34" s="61" t="n">
        <f aca="false">'Marge &amp; Tragfähigkeit'!$D$23</f>
        <v>3.58333333333333</v>
      </c>
      <c r="F34" s="26" t="s">
        <v>237</v>
      </c>
      <c r="G34" s="26" t="s">
        <v>550</v>
      </c>
      <c r="H34" s="87" t="n">
        <v>1</v>
      </c>
      <c r="I34" s="48" t="n">
        <f aca="false">IF(F34="€/Monat",E34,IF(F34="€/Jahr",E34/12,IF(F34="USD/Monat",E34*'Plan-Annahmen'!$B$53,IF(F34="USD einmalig",E34*'Plan-Annahmen'!$B$53,E34))))</f>
        <v>3.58333333333333</v>
      </c>
      <c r="J34" s="35" t="s">
        <v>613</v>
      </c>
      <c r="K34" s="35"/>
      <c r="L34" s="35"/>
      <c r="M34" s="35"/>
      <c r="N34" s="48" t="n">
        <f aca="false">IF(N$6&gt;=$H34,$I34,0)</f>
        <v>3.58333333333333</v>
      </c>
      <c r="O34" s="48" t="n">
        <f aca="false">IF(O$6&gt;=$H34,$I34,0)</f>
        <v>3.58333333333333</v>
      </c>
      <c r="P34" s="48" t="n">
        <f aca="false">IF(P$6&gt;=$H34,$I34,0)</f>
        <v>3.58333333333333</v>
      </c>
      <c r="Q34" s="48" t="n">
        <f aca="false">IF(Q$6&gt;=$H34,$I34,0)</f>
        <v>3.58333333333333</v>
      </c>
      <c r="R34" s="48" t="n">
        <f aca="false">IF(R$6&gt;=$H34,$I34,0)</f>
        <v>3.58333333333333</v>
      </c>
      <c r="S34" s="48" t="n">
        <f aca="false">IF(S$6&gt;=$H34,$I34,0)</f>
        <v>3.58333333333333</v>
      </c>
      <c r="T34" s="48" t="n">
        <f aca="false">IF(T$6&gt;=$H34,$I34,0)</f>
        <v>3.58333333333333</v>
      </c>
      <c r="U34" s="48" t="n">
        <f aca="false">IF(U$6&gt;=$H34,$I34,0)</f>
        <v>3.58333333333333</v>
      </c>
      <c r="V34" s="48" t="n">
        <f aca="false">IF(V$6&gt;=$H34,$I34,0)</f>
        <v>3.58333333333333</v>
      </c>
      <c r="W34" s="48" t="n">
        <f aca="false">IF(W$6&gt;=$H34,$I34,0)</f>
        <v>3.58333333333333</v>
      </c>
      <c r="X34" s="48" t="n">
        <f aca="false">IF(X$6&gt;=$H34,$I34,0)</f>
        <v>3.58333333333333</v>
      </c>
      <c r="Y34" s="48" t="n">
        <f aca="false">IF(Y$6&gt;=$H34,$I34,0)</f>
        <v>3.58333333333333</v>
      </c>
      <c r="Z34" s="48" t="n">
        <f aca="false">IF(Z$6&gt;=$H34,$I34,0)</f>
        <v>3.58333333333333</v>
      </c>
      <c r="AA34" s="48" t="n">
        <f aca="false">IF(AA$6&gt;=$H34,$I34,0)</f>
        <v>3.58333333333333</v>
      </c>
      <c r="AB34" s="48" t="n">
        <f aca="false">IF(AB$6&gt;=$H34,$I34,0)</f>
        <v>3.58333333333333</v>
      </c>
      <c r="AC34" s="48" t="n">
        <f aca="false">IF(AC$6&gt;=$H34,$I34,0)</f>
        <v>3.58333333333333</v>
      </c>
      <c r="AD34" s="48" t="n">
        <f aca="false">IF(AD$6&gt;=$H34,$I34,0)</f>
        <v>3.58333333333333</v>
      </c>
      <c r="AE34" s="48" t="n">
        <f aca="false">IF(AE$6&gt;=$H34,$I34,0)</f>
        <v>3.58333333333333</v>
      </c>
      <c r="AF34" s="48" t="n">
        <f aca="false">IF(AF$6&gt;=$H34,$I34,0)</f>
        <v>3.58333333333333</v>
      </c>
      <c r="AG34" s="48" t="n">
        <f aca="false">IF(AG$6&gt;=$H34,$I34,0)</f>
        <v>3.58333333333333</v>
      </c>
      <c r="AH34" s="48" t="n">
        <f aca="false">IF(AH$6&gt;=$H34,$I34,0)</f>
        <v>3.58333333333333</v>
      </c>
      <c r="AI34" s="48" t="n">
        <f aca="false">IF(AI$6&gt;=$H34,$I34,0)</f>
        <v>3.58333333333333</v>
      </c>
      <c r="AJ34" s="48" t="n">
        <f aca="false">IF(AJ$6&gt;=$H34,$I34,0)</f>
        <v>3.58333333333333</v>
      </c>
      <c r="AK34" s="48" t="n">
        <f aca="false">IF(AK$6&gt;=$H34,$I34,0)</f>
        <v>3.58333333333333</v>
      </c>
    </row>
    <row r="35" customFormat="false" ht="15" hidden="false" customHeight="true" outlineLevel="0" collapsed="false">
      <c r="A35" s="26" t="n">
        <v>29</v>
      </c>
      <c r="B35" s="32" t="s">
        <v>604</v>
      </c>
      <c r="C35" s="4" t="s">
        <v>614</v>
      </c>
      <c r="D35" s="26" t="s">
        <v>563</v>
      </c>
      <c r="E35" s="61" t="n">
        <f aca="false">'Marge &amp; Tragfähigkeit'!$D$24</f>
        <v>0</v>
      </c>
      <c r="F35" s="26" t="s">
        <v>237</v>
      </c>
      <c r="G35" s="26" t="s">
        <v>550</v>
      </c>
      <c r="H35" s="87" t="n">
        <v>1</v>
      </c>
      <c r="I35" s="48" t="n">
        <f aca="false">IF(F35="€/Monat",E35,IF(F35="€/Jahr",E35/12,IF(F35="USD/Monat",E35*'Plan-Annahmen'!$B$53,IF(F35="USD einmalig",E35*'Plan-Annahmen'!$B$53,E35))))</f>
        <v>0</v>
      </c>
      <c r="J35" s="35" t="s">
        <v>615</v>
      </c>
      <c r="K35" s="35"/>
      <c r="L35" s="35"/>
      <c r="M35" s="35"/>
      <c r="N35" s="48" t="n">
        <f aca="false">IF(N$6&gt;=$H35,$I35,0)</f>
        <v>0</v>
      </c>
      <c r="O35" s="48" t="n">
        <f aca="false">IF(O$6&gt;=$H35,$I35,0)</f>
        <v>0</v>
      </c>
      <c r="P35" s="48" t="n">
        <f aca="false">IF(P$6&gt;=$H35,$I35,0)</f>
        <v>0</v>
      </c>
      <c r="Q35" s="48" t="n">
        <f aca="false">IF(Q$6&gt;=$H35,$I35,0)</f>
        <v>0</v>
      </c>
      <c r="R35" s="48" t="n">
        <f aca="false">IF(R$6&gt;=$H35,$I35,0)</f>
        <v>0</v>
      </c>
      <c r="S35" s="48" t="n">
        <f aca="false">IF(S$6&gt;=$H35,$I35,0)</f>
        <v>0</v>
      </c>
      <c r="T35" s="48" t="n">
        <f aca="false">IF(T$6&gt;=$H35,$I35,0)</f>
        <v>0</v>
      </c>
      <c r="U35" s="48" t="n">
        <f aca="false">IF(U$6&gt;=$H35,$I35,0)</f>
        <v>0</v>
      </c>
      <c r="V35" s="48" t="n">
        <f aca="false">IF(V$6&gt;=$H35,$I35,0)</f>
        <v>0</v>
      </c>
      <c r="W35" s="48" t="n">
        <f aca="false">IF(W$6&gt;=$H35,$I35,0)</f>
        <v>0</v>
      </c>
      <c r="X35" s="48" t="n">
        <f aca="false">IF(X$6&gt;=$H35,$I35,0)</f>
        <v>0</v>
      </c>
      <c r="Y35" s="48" t="n">
        <f aca="false">IF(Y$6&gt;=$H35,$I35,0)</f>
        <v>0</v>
      </c>
      <c r="Z35" s="48" t="n">
        <f aca="false">IF(Z$6&gt;=$H35,$I35,0)</f>
        <v>0</v>
      </c>
      <c r="AA35" s="48" t="n">
        <f aca="false">IF(AA$6&gt;=$H35,$I35,0)</f>
        <v>0</v>
      </c>
      <c r="AB35" s="48" t="n">
        <f aca="false">IF(AB$6&gt;=$H35,$I35,0)</f>
        <v>0</v>
      </c>
      <c r="AC35" s="48" t="n">
        <f aca="false">IF(AC$6&gt;=$H35,$I35,0)</f>
        <v>0</v>
      </c>
      <c r="AD35" s="48" t="n">
        <f aca="false">IF(AD$6&gt;=$H35,$I35,0)</f>
        <v>0</v>
      </c>
      <c r="AE35" s="48" t="n">
        <f aca="false">IF(AE$6&gt;=$H35,$I35,0)</f>
        <v>0</v>
      </c>
      <c r="AF35" s="48" t="n">
        <f aca="false">IF(AF$6&gt;=$H35,$I35,0)</f>
        <v>0</v>
      </c>
      <c r="AG35" s="48" t="n">
        <f aca="false">IF(AG$6&gt;=$H35,$I35,0)</f>
        <v>0</v>
      </c>
      <c r="AH35" s="48" t="n">
        <f aca="false">IF(AH$6&gt;=$H35,$I35,0)</f>
        <v>0</v>
      </c>
      <c r="AI35" s="48" t="n">
        <f aca="false">IF(AI$6&gt;=$H35,$I35,0)</f>
        <v>0</v>
      </c>
      <c r="AJ35" s="48" t="n">
        <f aca="false">IF(AJ$6&gt;=$H35,$I35,0)</f>
        <v>0</v>
      </c>
      <c r="AK35" s="48" t="n">
        <f aca="false">IF(AK$6&gt;=$H35,$I35,0)</f>
        <v>0</v>
      </c>
    </row>
    <row r="36" customFormat="false" ht="39.55" hidden="false" customHeight="true" outlineLevel="0" collapsed="false">
      <c r="A36" s="49" t="n">
        <v>30</v>
      </c>
      <c r="B36" s="84" t="s">
        <v>604</v>
      </c>
      <c r="C36" s="10" t="s">
        <v>616</v>
      </c>
      <c r="D36" s="49" t="s">
        <v>558</v>
      </c>
      <c r="E36" s="85" t="n">
        <v>0</v>
      </c>
      <c r="F36" s="49" t="s">
        <v>617</v>
      </c>
      <c r="G36" s="49" t="s">
        <v>550</v>
      </c>
      <c r="H36" s="86"/>
      <c r="I36" s="31"/>
      <c r="J36" s="35" t="s">
        <v>618</v>
      </c>
      <c r="K36" s="35"/>
      <c r="L36" s="35"/>
      <c r="M36" s="35"/>
      <c r="N36" s="22"/>
      <c r="O36" s="22"/>
      <c r="P36" s="22"/>
      <c r="Q36" s="22"/>
      <c r="R36" s="22"/>
      <c r="S36" s="22"/>
      <c r="T36" s="22"/>
      <c r="U36" s="22"/>
      <c r="V36" s="22"/>
      <c r="W36" s="22"/>
      <c r="X36" s="22"/>
      <c r="Y36" s="22"/>
      <c r="Z36" s="22"/>
      <c r="AA36" s="22"/>
      <c r="AB36" s="22"/>
      <c r="AC36" s="22"/>
      <c r="AD36" s="22"/>
      <c r="AE36" s="22"/>
      <c r="AF36" s="22"/>
      <c r="AG36" s="22"/>
      <c r="AH36" s="22"/>
      <c r="AI36" s="22"/>
      <c r="AJ36" s="22"/>
      <c r="AK36" s="22"/>
    </row>
    <row r="37" customFormat="false" ht="26.85" hidden="false" customHeight="true" outlineLevel="0" collapsed="false">
      <c r="A37" s="26" t="n">
        <v>31</v>
      </c>
      <c r="B37" s="32" t="s">
        <v>604</v>
      </c>
      <c r="C37" s="4" t="s">
        <v>619</v>
      </c>
      <c r="D37" s="26" t="s">
        <v>595</v>
      </c>
      <c r="E37" s="61" t="n">
        <f aca="false">'Plan-Annahmen'!$B$50</f>
        <v>2.5</v>
      </c>
      <c r="F37" s="26" t="s">
        <v>620</v>
      </c>
      <c r="G37" s="26" t="s">
        <v>550</v>
      </c>
      <c r="H37" s="87"/>
      <c r="I37" s="22"/>
      <c r="J37" s="35" t="s">
        <v>621</v>
      </c>
      <c r="K37" s="35"/>
      <c r="L37" s="35"/>
      <c r="M37" s="35"/>
      <c r="N37" s="22"/>
      <c r="O37" s="22"/>
      <c r="P37" s="22"/>
      <c r="Q37" s="22"/>
      <c r="R37" s="22"/>
      <c r="S37" s="22"/>
      <c r="T37" s="22"/>
      <c r="U37" s="22"/>
      <c r="V37" s="22"/>
      <c r="W37" s="22"/>
      <c r="X37" s="22"/>
      <c r="Y37" s="22"/>
      <c r="Z37" s="22"/>
      <c r="AA37" s="22"/>
      <c r="AB37" s="22"/>
      <c r="AC37" s="22"/>
      <c r="AD37" s="22"/>
      <c r="AE37" s="22"/>
      <c r="AF37" s="22"/>
      <c r="AG37" s="22"/>
      <c r="AH37" s="22"/>
      <c r="AI37" s="22"/>
      <c r="AJ37" s="22"/>
      <c r="AK37" s="22"/>
    </row>
    <row r="38" customFormat="false" ht="15" hidden="false" customHeight="true" outlineLevel="0" collapsed="false">
      <c r="A38" s="26" t="n">
        <v>32</v>
      </c>
      <c r="B38" s="32" t="s">
        <v>604</v>
      </c>
      <c r="C38" s="4" t="s">
        <v>622</v>
      </c>
      <c r="D38" s="26" t="s">
        <v>595</v>
      </c>
      <c r="E38" s="75" t="n">
        <f aca="false">'Plan-Annahmen'!$B$51</f>
        <v>0.015</v>
      </c>
      <c r="F38" s="26" t="s">
        <v>623</v>
      </c>
      <c r="G38" s="26" t="s">
        <v>550</v>
      </c>
      <c r="H38" s="87"/>
      <c r="I38" s="22"/>
      <c r="J38" s="35" t="s">
        <v>624</v>
      </c>
      <c r="K38" s="35"/>
      <c r="L38" s="35"/>
      <c r="M38" s="35"/>
      <c r="N38" s="22"/>
      <c r="O38" s="22"/>
      <c r="P38" s="22"/>
      <c r="Q38" s="22"/>
      <c r="R38" s="22"/>
      <c r="S38" s="22"/>
      <c r="T38" s="22"/>
      <c r="U38" s="22"/>
      <c r="V38" s="22"/>
      <c r="W38" s="22"/>
      <c r="X38" s="22"/>
      <c r="Y38" s="22"/>
      <c r="Z38" s="22"/>
      <c r="AA38" s="22"/>
      <c r="AB38" s="22"/>
      <c r="AC38" s="22"/>
      <c r="AD38" s="22"/>
      <c r="AE38" s="22"/>
      <c r="AF38" s="22"/>
      <c r="AG38" s="22"/>
      <c r="AH38" s="22"/>
      <c r="AI38" s="22"/>
      <c r="AJ38" s="22"/>
      <c r="AK38" s="22"/>
    </row>
    <row r="39" customFormat="false" ht="52.2" hidden="false" customHeight="true" outlineLevel="0" collapsed="false">
      <c r="A39" s="49" t="n">
        <v>33</v>
      </c>
      <c r="B39" s="84" t="s">
        <v>604</v>
      </c>
      <c r="C39" s="10" t="s">
        <v>625</v>
      </c>
      <c r="D39" s="49" t="s">
        <v>558</v>
      </c>
      <c r="E39" s="85" t="n">
        <v>0</v>
      </c>
      <c r="F39" s="49" t="s">
        <v>237</v>
      </c>
      <c r="G39" s="49" t="s">
        <v>550</v>
      </c>
      <c r="H39" s="86"/>
      <c r="I39" s="31"/>
      <c r="J39" s="35" t="s">
        <v>626</v>
      </c>
      <c r="K39" s="35"/>
      <c r="L39" s="35"/>
      <c r="M39" s="35"/>
      <c r="N39" s="22"/>
      <c r="O39" s="22"/>
      <c r="P39" s="22"/>
      <c r="Q39" s="22"/>
      <c r="R39" s="22"/>
      <c r="S39" s="22"/>
      <c r="T39" s="22"/>
      <c r="U39" s="22"/>
      <c r="V39" s="22"/>
      <c r="W39" s="22"/>
      <c r="X39" s="22"/>
      <c r="Y39" s="22"/>
      <c r="Z39" s="22"/>
      <c r="AA39" s="22"/>
      <c r="AB39" s="22"/>
      <c r="AC39" s="22"/>
      <c r="AD39" s="22"/>
      <c r="AE39" s="22"/>
      <c r="AF39" s="22"/>
      <c r="AG39" s="22"/>
      <c r="AH39" s="22"/>
      <c r="AI39" s="22"/>
      <c r="AJ39" s="22"/>
      <c r="AK39" s="22"/>
    </row>
    <row r="40" customFormat="false" ht="26.85" hidden="false" customHeight="true" outlineLevel="0" collapsed="false">
      <c r="A40" s="26" t="n">
        <v>34</v>
      </c>
      <c r="B40" s="32" t="s">
        <v>604</v>
      </c>
      <c r="C40" s="4" t="s">
        <v>627</v>
      </c>
      <c r="D40" s="26" t="s">
        <v>563</v>
      </c>
      <c r="E40" s="40" t="n">
        <v>99</v>
      </c>
      <c r="F40" s="26" t="s">
        <v>464</v>
      </c>
      <c r="G40" s="26" t="s">
        <v>550</v>
      </c>
      <c r="H40" s="87" t="n">
        <v>10</v>
      </c>
      <c r="I40" s="48" t="n">
        <f aca="false">IF(F40="€/Monat",E40,IF(F40="€/Jahr",E40/12,IF(F40="USD/Monat",E40*'Plan-Annahmen'!$B$53,IF(F40="USD einmalig",E40*'Plan-Annahmen'!$B$53,E40))))</f>
        <v>8.25</v>
      </c>
      <c r="J40" s="35" t="s">
        <v>628</v>
      </c>
      <c r="K40" s="35"/>
      <c r="L40" s="35"/>
      <c r="M40" s="35"/>
      <c r="N40" s="48" t="n">
        <f aca="false">IF(N$6&gt;=$H40,$I40,0)</f>
        <v>0</v>
      </c>
      <c r="O40" s="48" t="n">
        <f aca="false">IF(O$6&gt;=$H40,$I40,0)</f>
        <v>0</v>
      </c>
      <c r="P40" s="48" t="n">
        <f aca="false">IF(P$6&gt;=$H40,$I40,0)</f>
        <v>0</v>
      </c>
      <c r="Q40" s="48" t="n">
        <f aca="false">IF(Q$6&gt;=$H40,$I40,0)</f>
        <v>0</v>
      </c>
      <c r="R40" s="48" t="n">
        <f aca="false">IF(R$6&gt;=$H40,$I40,0)</f>
        <v>0</v>
      </c>
      <c r="S40" s="48" t="n">
        <f aca="false">IF(S$6&gt;=$H40,$I40,0)</f>
        <v>0</v>
      </c>
      <c r="T40" s="48" t="n">
        <f aca="false">IF(T$6&gt;=$H40,$I40,0)</f>
        <v>0</v>
      </c>
      <c r="U40" s="48" t="n">
        <f aca="false">IF(U$6&gt;=$H40,$I40,0)</f>
        <v>0</v>
      </c>
      <c r="V40" s="48" t="n">
        <f aca="false">IF(V$6&gt;=$H40,$I40,0)</f>
        <v>0</v>
      </c>
      <c r="W40" s="48" t="n">
        <f aca="false">IF(W$6&gt;=$H40,$I40,0)</f>
        <v>8.25</v>
      </c>
      <c r="X40" s="48" t="n">
        <f aca="false">IF(X$6&gt;=$H40,$I40,0)</f>
        <v>8.25</v>
      </c>
      <c r="Y40" s="48" t="n">
        <f aca="false">IF(Y$6&gt;=$H40,$I40,0)</f>
        <v>8.25</v>
      </c>
      <c r="Z40" s="48" t="n">
        <f aca="false">IF(Z$6&gt;=$H40,$I40,0)</f>
        <v>8.25</v>
      </c>
      <c r="AA40" s="48" t="n">
        <f aca="false">IF(AA$6&gt;=$H40,$I40,0)</f>
        <v>8.25</v>
      </c>
      <c r="AB40" s="48" t="n">
        <f aca="false">IF(AB$6&gt;=$H40,$I40,0)</f>
        <v>8.25</v>
      </c>
      <c r="AC40" s="48" t="n">
        <f aca="false">IF(AC$6&gt;=$H40,$I40,0)</f>
        <v>8.25</v>
      </c>
      <c r="AD40" s="48" t="n">
        <f aca="false">IF(AD$6&gt;=$H40,$I40,0)</f>
        <v>8.25</v>
      </c>
      <c r="AE40" s="48" t="n">
        <f aca="false">IF(AE$6&gt;=$H40,$I40,0)</f>
        <v>8.25</v>
      </c>
      <c r="AF40" s="48" t="n">
        <f aca="false">IF(AF$6&gt;=$H40,$I40,0)</f>
        <v>8.25</v>
      </c>
      <c r="AG40" s="48" t="n">
        <f aca="false">IF(AG$6&gt;=$H40,$I40,0)</f>
        <v>8.25</v>
      </c>
      <c r="AH40" s="48" t="n">
        <f aca="false">IF(AH$6&gt;=$H40,$I40,0)</f>
        <v>8.25</v>
      </c>
      <c r="AI40" s="48" t="n">
        <f aca="false">IF(AI$6&gt;=$H40,$I40,0)</f>
        <v>8.25</v>
      </c>
      <c r="AJ40" s="48" t="n">
        <f aca="false">IF(AJ$6&gt;=$H40,$I40,0)</f>
        <v>8.25</v>
      </c>
      <c r="AK40" s="48" t="n">
        <f aca="false">IF(AK$6&gt;=$H40,$I40,0)</f>
        <v>8.25</v>
      </c>
    </row>
    <row r="41" customFormat="false" ht="26.85" hidden="false" customHeight="true" outlineLevel="0" collapsed="false">
      <c r="A41" s="26" t="n">
        <v>35</v>
      </c>
      <c r="B41" s="32" t="s">
        <v>604</v>
      </c>
      <c r="C41" s="4" t="s">
        <v>629</v>
      </c>
      <c r="D41" s="26" t="s">
        <v>548</v>
      </c>
      <c r="E41" s="40" t="n">
        <v>25</v>
      </c>
      <c r="F41" s="26" t="s">
        <v>630</v>
      </c>
      <c r="G41" s="26" t="s">
        <v>550</v>
      </c>
      <c r="H41" s="87" t="n">
        <v>10</v>
      </c>
      <c r="I41" s="48" t="n">
        <f aca="false">IF(F41="€/Monat",E41,IF(F41="€/Jahr",E41/12,IF(F41="USD/Monat",E41*'Plan-Annahmen'!$B$53,IF(F41="USD einmalig",E41*'Plan-Annahmen'!$B$53,E41))))</f>
        <v>21.5</v>
      </c>
      <c r="J41" s="35" t="s">
        <v>631</v>
      </c>
      <c r="K41" s="35"/>
      <c r="L41" s="35"/>
      <c r="M41" s="35"/>
      <c r="N41" s="48" t="n">
        <f aca="false">IF(N$6=$H41,$I41,0)</f>
        <v>0</v>
      </c>
      <c r="O41" s="48" t="n">
        <f aca="false">IF(O$6=$H41,$I41,0)</f>
        <v>0</v>
      </c>
      <c r="P41" s="48" t="n">
        <f aca="false">IF(P$6=$H41,$I41,0)</f>
        <v>0</v>
      </c>
      <c r="Q41" s="48" t="n">
        <f aca="false">IF(Q$6=$H41,$I41,0)</f>
        <v>0</v>
      </c>
      <c r="R41" s="48" t="n">
        <f aca="false">IF(R$6=$H41,$I41,0)</f>
        <v>0</v>
      </c>
      <c r="S41" s="48" t="n">
        <f aca="false">IF(S$6=$H41,$I41,0)</f>
        <v>0</v>
      </c>
      <c r="T41" s="48" t="n">
        <f aca="false">IF(T$6=$H41,$I41,0)</f>
        <v>0</v>
      </c>
      <c r="U41" s="48" t="n">
        <f aca="false">IF(U$6=$H41,$I41,0)</f>
        <v>0</v>
      </c>
      <c r="V41" s="48" t="n">
        <f aca="false">IF(V$6=$H41,$I41,0)</f>
        <v>0</v>
      </c>
      <c r="W41" s="48" t="n">
        <f aca="false">IF(W$6=$H41,$I41,0)</f>
        <v>21.5</v>
      </c>
      <c r="X41" s="48" t="n">
        <f aca="false">IF(X$6=$H41,$I41,0)</f>
        <v>0</v>
      </c>
      <c r="Y41" s="48" t="n">
        <f aca="false">IF(Y$6=$H41,$I41,0)</f>
        <v>0</v>
      </c>
      <c r="Z41" s="48" t="n">
        <f aca="false">IF(Z$6=$H41,$I41,0)</f>
        <v>0</v>
      </c>
      <c r="AA41" s="48" t="n">
        <f aca="false">IF(AA$6=$H41,$I41,0)</f>
        <v>0</v>
      </c>
      <c r="AB41" s="48" t="n">
        <f aca="false">IF(AB$6=$H41,$I41,0)</f>
        <v>0</v>
      </c>
      <c r="AC41" s="48" t="n">
        <f aca="false">IF(AC$6=$H41,$I41,0)</f>
        <v>0</v>
      </c>
      <c r="AD41" s="48" t="n">
        <f aca="false">IF(AD$6=$H41,$I41,0)</f>
        <v>0</v>
      </c>
      <c r="AE41" s="48" t="n">
        <f aca="false">IF(AE$6=$H41,$I41,0)</f>
        <v>0</v>
      </c>
      <c r="AF41" s="48" t="n">
        <f aca="false">IF(AF$6=$H41,$I41,0)</f>
        <v>0</v>
      </c>
      <c r="AG41" s="48" t="n">
        <f aca="false">IF(AG$6=$H41,$I41,0)</f>
        <v>0</v>
      </c>
      <c r="AH41" s="48" t="n">
        <f aca="false">IF(AH$6=$H41,$I41,0)</f>
        <v>0</v>
      </c>
      <c r="AI41" s="48" t="n">
        <f aca="false">IF(AI$6=$H41,$I41,0)</f>
        <v>0</v>
      </c>
      <c r="AJ41" s="48" t="n">
        <f aca="false">IF(AJ$6=$H41,$I41,0)</f>
        <v>0</v>
      </c>
      <c r="AK41" s="48" t="n">
        <f aca="false">IF(AK$6=$H41,$I41,0)</f>
        <v>0</v>
      </c>
    </row>
    <row r="42" customFormat="false" ht="39.55" hidden="false" customHeight="true" outlineLevel="0" collapsed="false">
      <c r="A42" s="26" t="n">
        <v>36</v>
      </c>
      <c r="B42" s="32" t="s">
        <v>604</v>
      </c>
      <c r="C42" s="4" t="s">
        <v>632</v>
      </c>
      <c r="D42" s="26" t="s">
        <v>563</v>
      </c>
      <c r="E42" s="40" t="n">
        <v>50</v>
      </c>
      <c r="F42" s="26" t="s">
        <v>617</v>
      </c>
      <c r="G42" s="26" t="s">
        <v>550</v>
      </c>
      <c r="H42" s="87" t="n">
        <v>7</v>
      </c>
      <c r="I42" s="48" t="n">
        <f aca="false">IF(F42="€/Monat",E42,IF(F42="€/Jahr",E42/12,IF(F42="USD/Monat",E42*'Plan-Annahmen'!$B$53,IF(F42="USD einmalig",E42*'Plan-Annahmen'!$B$53,E42))))</f>
        <v>43</v>
      </c>
      <c r="J42" s="35" t="s">
        <v>633</v>
      </c>
      <c r="K42" s="35"/>
      <c r="L42" s="35"/>
      <c r="M42" s="35"/>
      <c r="N42" s="48" t="n">
        <f aca="false">IF(N$6&gt;=$H42,$I42,0)</f>
        <v>0</v>
      </c>
      <c r="O42" s="48" t="n">
        <f aca="false">IF(O$6&gt;=$H42,$I42,0)</f>
        <v>0</v>
      </c>
      <c r="P42" s="48" t="n">
        <f aca="false">IF(P$6&gt;=$H42,$I42,0)</f>
        <v>0</v>
      </c>
      <c r="Q42" s="48" t="n">
        <f aca="false">IF(Q$6&gt;=$H42,$I42,0)</f>
        <v>0</v>
      </c>
      <c r="R42" s="48" t="n">
        <f aca="false">IF(R$6&gt;=$H42,$I42,0)</f>
        <v>0</v>
      </c>
      <c r="S42" s="48" t="n">
        <f aca="false">IF(S$6&gt;=$H42,$I42,0)</f>
        <v>0</v>
      </c>
      <c r="T42" s="48" t="n">
        <f aca="false">IF(T$6&gt;=$H42,$I42,0)</f>
        <v>43</v>
      </c>
      <c r="U42" s="48" t="n">
        <f aca="false">IF(U$6&gt;=$H42,$I42,0)</f>
        <v>43</v>
      </c>
      <c r="V42" s="48" t="n">
        <f aca="false">IF(V$6&gt;=$H42,$I42,0)</f>
        <v>43</v>
      </c>
      <c r="W42" s="48" t="n">
        <f aca="false">IF(W$6&gt;=$H42,$I42,0)</f>
        <v>43</v>
      </c>
      <c r="X42" s="48" t="n">
        <f aca="false">IF(X$6&gt;=$H42,$I42,0)</f>
        <v>43</v>
      </c>
      <c r="Y42" s="48" t="n">
        <f aca="false">IF(Y$6&gt;=$H42,$I42,0)</f>
        <v>43</v>
      </c>
      <c r="Z42" s="48" t="n">
        <f aca="false">IF(Z$6&gt;=$H42,$I42,0)</f>
        <v>43</v>
      </c>
      <c r="AA42" s="48" t="n">
        <f aca="false">IF(AA$6&gt;=$H42,$I42,0)</f>
        <v>43</v>
      </c>
      <c r="AB42" s="48" t="n">
        <f aca="false">IF(AB$6&gt;=$H42,$I42,0)</f>
        <v>43</v>
      </c>
      <c r="AC42" s="48" t="n">
        <f aca="false">IF(AC$6&gt;=$H42,$I42,0)</f>
        <v>43</v>
      </c>
      <c r="AD42" s="48" t="n">
        <f aca="false">IF(AD$6&gt;=$H42,$I42,0)</f>
        <v>43</v>
      </c>
      <c r="AE42" s="48" t="n">
        <f aca="false">IF(AE$6&gt;=$H42,$I42,0)</f>
        <v>43</v>
      </c>
      <c r="AF42" s="48" t="n">
        <f aca="false">IF(AF$6&gt;=$H42,$I42,0)</f>
        <v>43</v>
      </c>
      <c r="AG42" s="48" t="n">
        <f aca="false">IF(AG$6&gt;=$H42,$I42,0)</f>
        <v>43</v>
      </c>
      <c r="AH42" s="48" t="n">
        <f aca="false">IF(AH$6&gt;=$H42,$I42,0)</f>
        <v>43</v>
      </c>
      <c r="AI42" s="48" t="n">
        <f aca="false">IF(AI$6&gt;=$H42,$I42,0)</f>
        <v>43</v>
      </c>
      <c r="AJ42" s="48" t="n">
        <f aca="false">IF(AJ$6&gt;=$H42,$I42,0)</f>
        <v>43</v>
      </c>
      <c r="AK42" s="48" t="n">
        <f aca="false">IF(AK$6&gt;=$H42,$I42,0)</f>
        <v>43</v>
      </c>
    </row>
    <row r="43" customFormat="false" ht="26.85" hidden="false" customHeight="true" outlineLevel="0" collapsed="false">
      <c r="A43" s="49" t="n">
        <v>37</v>
      </c>
      <c r="B43" s="84" t="s">
        <v>634</v>
      </c>
      <c r="C43" s="10" t="s">
        <v>635</v>
      </c>
      <c r="D43" s="49" t="s">
        <v>558</v>
      </c>
      <c r="E43" s="85" t="n">
        <v>0</v>
      </c>
      <c r="F43" s="49" t="s">
        <v>237</v>
      </c>
      <c r="G43" s="49" t="s">
        <v>550</v>
      </c>
      <c r="H43" s="86"/>
      <c r="I43" s="31"/>
      <c r="J43" s="35" t="s">
        <v>636</v>
      </c>
      <c r="K43" s="35"/>
      <c r="L43" s="35"/>
      <c r="M43" s="35"/>
      <c r="N43" s="22"/>
      <c r="O43" s="22"/>
      <c r="P43" s="22"/>
      <c r="Q43" s="22"/>
      <c r="R43" s="22"/>
      <c r="S43" s="22"/>
      <c r="T43" s="22"/>
      <c r="U43" s="22"/>
      <c r="V43" s="22"/>
      <c r="W43" s="22"/>
      <c r="X43" s="22"/>
      <c r="Y43" s="22"/>
      <c r="Z43" s="22"/>
      <c r="AA43" s="22"/>
      <c r="AB43" s="22"/>
      <c r="AC43" s="22"/>
      <c r="AD43" s="22"/>
      <c r="AE43" s="22"/>
      <c r="AF43" s="22"/>
      <c r="AG43" s="22"/>
      <c r="AH43" s="22"/>
      <c r="AI43" s="22"/>
      <c r="AJ43" s="22"/>
      <c r="AK43" s="22"/>
    </row>
    <row r="44" customFormat="false" ht="64.9" hidden="false" customHeight="true" outlineLevel="0" collapsed="false">
      <c r="A44" s="26" t="n">
        <v>38</v>
      </c>
      <c r="B44" s="32" t="s">
        <v>634</v>
      </c>
      <c r="C44" s="4" t="s">
        <v>637</v>
      </c>
      <c r="D44" s="26" t="s">
        <v>638</v>
      </c>
      <c r="E44" s="40" t="n">
        <v>1430</v>
      </c>
      <c r="F44" s="26" t="s">
        <v>639</v>
      </c>
      <c r="G44" s="26" t="s">
        <v>550</v>
      </c>
      <c r="H44" s="87"/>
      <c r="I44" s="22"/>
      <c r="J44" s="35" t="s">
        <v>640</v>
      </c>
      <c r="K44" s="35"/>
      <c r="L44" s="35"/>
      <c r="M44" s="35"/>
      <c r="N44" s="47" t="n">
        <v>0</v>
      </c>
      <c r="O44" s="47" t="n">
        <v>260</v>
      </c>
      <c r="P44" s="47" t="n">
        <v>0</v>
      </c>
      <c r="Q44" s="47" t="n">
        <v>20</v>
      </c>
      <c r="R44" s="47" t="n">
        <v>20</v>
      </c>
      <c r="S44" s="47" t="n">
        <v>20</v>
      </c>
      <c r="T44" s="47" t="n">
        <v>20</v>
      </c>
      <c r="U44" s="47" t="n">
        <v>120</v>
      </c>
      <c r="V44" s="47" t="n">
        <v>20</v>
      </c>
      <c r="W44" s="47" t="n">
        <v>110</v>
      </c>
      <c r="X44" s="47" t="n">
        <v>10</v>
      </c>
      <c r="Y44" s="47" t="n">
        <v>110</v>
      </c>
      <c r="Z44" s="47" t="n">
        <v>10</v>
      </c>
      <c r="AA44" s="47" t="n">
        <v>110</v>
      </c>
      <c r="AB44" s="47" t="n">
        <v>10</v>
      </c>
      <c r="AC44" s="47" t="n">
        <v>110</v>
      </c>
      <c r="AD44" s="47" t="n">
        <v>10</v>
      </c>
      <c r="AE44" s="47" t="n">
        <v>110</v>
      </c>
      <c r="AF44" s="47" t="n">
        <v>10</v>
      </c>
      <c r="AG44" s="47" t="n">
        <v>110</v>
      </c>
      <c r="AH44" s="47" t="n">
        <v>10</v>
      </c>
      <c r="AI44" s="47" t="n">
        <v>110</v>
      </c>
      <c r="AJ44" s="47" t="n">
        <v>10</v>
      </c>
      <c r="AK44" s="47" t="n">
        <v>110</v>
      </c>
    </row>
    <row r="45" customFormat="false" ht="26.85" hidden="false" customHeight="true" outlineLevel="0" collapsed="false">
      <c r="A45" s="49" t="n">
        <v>39</v>
      </c>
      <c r="B45" s="84" t="s">
        <v>634</v>
      </c>
      <c r="C45" s="10" t="s">
        <v>641</v>
      </c>
      <c r="D45" s="49" t="s">
        <v>558</v>
      </c>
      <c r="E45" s="85" t="n">
        <v>0</v>
      </c>
      <c r="F45" s="49" t="s">
        <v>237</v>
      </c>
      <c r="G45" s="49" t="s">
        <v>550</v>
      </c>
      <c r="H45" s="86"/>
      <c r="I45" s="31"/>
      <c r="J45" s="35" t="s">
        <v>642</v>
      </c>
      <c r="K45" s="35"/>
      <c r="L45" s="35"/>
      <c r="M45" s="35"/>
      <c r="N45" s="22"/>
      <c r="O45" s="22"/>
      <c r="P45" s="22"/>
      <c r="Q45" s="22"/>
      <c r="R45" s="22"/>
      <c r="S45" s="22"/>
      <c r="T45" s="22"/>
      <c r="U45" s="22"/>
      <c r="V45" s="22"/>
      <c r="W45" s="22"/>
      <c r="X45" s="22"/>
      <c r="Y45" s="22"/>
      <c r="Z45" s="22"/>
      <c r="AA45" s="22"/>
      <c r="AB45" s="22"/>
      <c r="AC45" s="22"/>
      <c r="AD45" s="22"/>
      <c r="AE45" s="22"/>
      <c r="AF45" s="22"/>
      <c r="AG45" s="22"/>
      <c r="AH45" s="22"/>
      <c r="AI45" s="22"/>
      <c r="AJ45" s="22"/>
      <c r="AK45" s="22"/>
    </row>
    <row r="46" customFormat="false" ht="39.55" hidden="false" customHeight="true" outlineLevel="0" collapsed="false">
      <c r="A46" s="49" t="n">
        <v>40</v>
      </c>
      <c r="B46" s="84" t="s">
        <v>634</v>
      </c>
      <c r="C46" s="10" t="s">
        <v>643</v>
      </c>
      <c r="D46" s="49" t="s">
        <v>558</v>
      </c>
      <c r="E46" s="85" t="n">
        <v>0</v>
      </c>
      <c r="F46" s="49" t="s">
        <v>464</v>
      </c>
      <c r="G46" s="49" t="s">
        <v>550</v>
      </c>
      <c r="H46" s="86"/>
      <c r="I46" s="31"/>
      <c r="J46" s="35" t="s">
        <v>644</v>
      </c>
      <c r="K46" s="35"/>
      <c r="L46" s="35"/>
      <c r="M46" s="35"/>
      <c r="N46" s="22"/>
      <c r="O46" s="22"/>
      <c r="P46" s="22"/>
      <c r="Q46" s="22"/>
      <c r="R46" s="22"/>
      <c r="S46" s="22"/>
      <c r="T46" s="22"/>
      <c r="U46" s="22"/>
      <c r="V46" s="22"/>
      <c r="W46" s="22"/>
      <c r="X46" s="22"/>
      <c r="Y46" s="22"/>
      <c r="Z46" s="22"/>
      <c r="AA46" s="22"/>
      <c r="AB46" s="22"/>
      <c r="AC46" s="22"/>
      <c r="AD46" s="22"/>
      <c r="AE46" s="22"/>
      <c r="AF46" s="22"/>
      <c r="AG46" s="22"/>
      <c r="AH46" s="22"/>
      <c r="AI46" s="22"/>
      <c r="AJ46" s="22"/>
      <c r="AK46" s="22"/>
    </row>
    <row r="47" customFormat="false" ht="39.55" hidden="false" customHeight="true" outlineLevel="0" collapsed="false">
      <c r="A47" s="49" t="n">
        <v>41</v>
      </c>
      <c r="B47" s="84" t="s">
        <v>634</v>
      </c>
      <c r="C47" s="10" t="s">
        <v>645</v>
      </c>
      <c r="D47" s="49" t="s">
        <v>558</v>
      </c>
      <c r="E47" s="85" t="n">
        <v>0</v>
      </c>
      <c r="F47" s="49" t="s">
        <v>234</v>
      </c>
      <c r="G47" s="49" t="s">
        <v>550</v>
      </c>
      <c r="H47" s="86"/>
      <c r="I47" s="31"/>
      <c r="J47" s="35" t="s">
        <v>646</v>
      </c>
      <c r="K47" s="35"/>
      <c r="L47" s="35"/>
      <c r="M47" s="35"/>
      <c r="N47" s="22"/>
      <c r="O47" s="22"/>
      <c r="P47" s="22"/>
      <c r="Q47" s="22"/>
      <c r="R47" s="22"/>
      <c r="S47" s="22"/>
      <c r="T47" s="22"/>
      <c r="U47" s="22"/>
      <c r="V47" s="22"/>
      <c r="W47" s="22"/>
      <c r="X47" s="22"/>
      <c r="Y47" s="22"/>
      <c r="Z47" s="22"/>
      <c r="AA47" s="22"/>
      <c r="AB47" s="22"/>
      <c r="AC47" s="22"/>
      <c r="AD47" s="22"/>
      <c r="AE47" s="22"/>
      <c r="AF47" s="22"/>
      <c r="AG47" s="22"/>
      <c r="AH47" s="22"/>
      <c r="AI47" s="22"/>
      <c r="AJ47" s="22"/>
      <c r="AK47" s="22"/>
    </row>
    <row r="48" customFormat="false" ht="15" hidden="false" customHeight="true" outlineLevel="0" collapsed="false">
      <c r="A48" s="26" t="n">
        <v>42</v>
      </c>
      <c r="B48" s="32" t="s">
        <v>647</v>
      </c>
      <c r="C48" s="4" t="s">
        <v>420</v>
      </c>
      <c r="D48" s="26" t="s">
        <v>595</v>
      </c>
      <c r="E48" s="75" t="n">
        <f aca="false">'Plan-Annahmen'!$B$33</f>
        <v>0.02</v>
      </c>
      <c r="F48" s="26" t="s">
        <v>421</v>
      </c>
      <c r="G48" s="26" t="s">
        <v>550</v>
      </c>
      <c r="H48" s="87"/>
      <c r="I48" s="22"/>
      <c r="J48" s="35" t="s">
        <v>648</v>
      </c>
      <c r="K48" s="35"/>
      <c r="L48" s="35"/>
      <c r="M48" s="35"/>
      <c r="N48" s="22"/>
      <c r="O48" s="22"/>
      <c r="P48" s="22"/>
      <c r="Q48" s="22"/>
      <c r="R48" s="22"/>
      <c r="S48" s="22"/>
      <c r="T48" s="22"/>
      <c r="U48" s="22"/>
      <c r="V48" s="22"/>
      <c r="W48" s="22"/>
      <c r="X48" s="22"/>
      <c r="Y48" s="22"/>
      <c r="Z48" s="22"/>
      <c r="AA48" s="22"/>
      <c r="AB48" s="22"/>
      <c r="AC48" s="22"/>
      <c r="AD48" s="22"/>
      <c r="AE48" s="22"/>
      <c r="AF48" s="22"/>
      <c r="AG48" s="22"/>
      <c r="AH48" s="22"/>
      <c r="AI48" s="22"/>
      <c r="AJ48" s="22"/>
      <c r="AK48" s="22"/>
    </row>
    <row r="49" customFormat="false" ht="15" hidden="false" customHeight="true" outlineLevel="0" collapsed="false">
      <c r="A49" s="26" t="n">
        <v>43</v>
      </c>
      <c r="B49" s="32" t="s">
        <v>647</v>
      </c>
      <c r="C49" s="4" t="s">
        <v>423</v>
      </c>
      <c r="D49" s="26" t="s">
        <v>595</v>
      </c>
      <c r="E49" s="75" t="n">
        <f aca="false">'Plan-Annahmen'!$B$34</f>
        <v>0.01</v>
      </c>
      <c r="F49" s="26" t="s">
        <v>421</v>
      </c>
      <c r="G49" s="26" t="s">
        <v>550</v>
      </c>
      <c r="H49" s="87"/>
      <c r="I49" s="22"/>
      <c r="J49" s="35" t="s">
        <v>648</v>
      </c>
      <c r="K49" s="35"/>
      <c r="L49" s="35"/>
      <c r="M49" s="35"/>
      <c r="N49" s="22"/>
      <c r="O49" s="22"/>
      <c r="P49" s="22"/>
      <c r="Q49" s="22"/>
      <c r="R49" s="22"/>
      <c r="S49" s="22"/>
      <c r="T49" s="22"/>
      <c r="U49" s="22"/>
      <c r="V49" s="22"/>
      <c r="W49" s="22"/>
      <c r="X49" s="22"/>
      <c r="Y49" s="22"/>
      <c r="Z49" s="22"/>
      <c r="AA49" s="22"/>
      <c r="AB49" s="22"/>
      <c r="AC49" s="22"/>
      <c r="AD49" s="22"/>
      <c r="AE49" s="22"/>
      <c r="AF49" s="22"/>
      <c r="AG49" s="22"/>
      <c r="AH49" s="22"/>
      <c r="AI49" s="22"/>
      <c r="AJ49" s="22"/>
      <c r="AK49" s="22"/>
    </row>
    <row r="50" customFormat="false" ht="52.2" hidden="false" customHeight="true" outlineLevel="0" collapsed="false">
      <c r="A50" s="26" t="n">
        <v>44</v>
      </c>
      <c r="B50" s="32" t="s">
        <v>647</v>
      </c>
      <c r="C50" s="4" t="s">
        <v>649</v>
      </c>
      <c r="D50" s="26" t="s">
        <v>595</v>
      </c>
      <c r="E50" s="61" t="n">
        <f aca="false">'Plan-Annahmen'!$B$49</f>
        <v>25</v>
      </c>
      <c r="F50" s="26" t="s">
        <v>241</v>
      </c>
      <c r="G50" s="26" t="s">
        <v>550</v>
      </c>
      <c r="H50" s="87"/>
      <c r="I50" s="22"/>
      <c r="J50" s="35" t="s">
        <v>650</v>
      </c>
      <c r="K50" s="35"/>
      <c r="L50" s="35"/>
      <c r="M50" s="35"/>
      <c r="N50" s="22"/>
      <c r="O50" s="22"/>
      <c r="P50" s="22"/>
      <c r="Q50" s="22"/>
      <c r="R50" s="22"/>
      <c r="S50" s="22"/>
      <c r="T50" s="22"/>
      <c r="U50" s="22"/>
      <c r="V50" s="22"/>
      <c r="W50" s="22"/>
      <c r="X50" s="22"/>
      <c r="Y50" s="22"/>
      <c r="Z50" s="22"/>
      <c r="AA50" s="22"/>
      <c r="AB50" s="22"/>
      <c r="AC50" s="22"/>
      <c r="AD50" s="22"/>
      <c r="AE50" s="22"/>
      <c r="AF50" s="22"/>
      <c r="AG50" s="22"/>
      <c r="AH50" s="22"/>
      <c r="AI50" s="22"/>
      <c r="AJ50" s="22"/>
      <c r="AK50" s="22"/>
    </row>
    <row r="51" customFormat="false" ht="52.2" hidden="false" customHeight="true" outlineLevel="0" collapsed="false">
      <c r="A51" s="26" t="n">
        <v>45</v>
      </c>
      <c r="B51" s="32" t="s">
        <v>647</v>
      </c>
      <c r="C51" s="4" t="s">
        <v>651</v>
      </c>
      <c r="D51" s="26" t="s">
        <v>595</v>
      </c>
      <c r="E51" s="61" t="n">
        <f aca="false">'Plan-Annahmen'!$B$30</f>
        <v>0</v>
      </c>
      <c r="F51" s="26" t="s">
        <v>412</v>
      </c>
      <c r="G51" s="26" t="s">
        <v>550</v>
      </c>
      <c r="H51" s="87"/>
      <c r="I51" s="22"/>
      <c r="J51" s="35" t="s">
        <v>652</v>
      </c>
      <c r="K51" s="35"/>
      <c r="L51" s="35"/>
      <c r="M51" s="35"/>
      <c r="N51" s="22"/>
      <c r="O51" s="22"/>
      <c r="P51" s="22"/>
      <c r="Q51" s="22"/>
      <c r="R51" s="22"/>
      <c r="S51" s="22"/>
      <c r="T51" s="22"/>
      <c r="U51" s="22"/>
      <c r="V51" s="22"/>
      <c r="W51" s="22"/>
      <c r="X51" s="22"/>
      <c r="Y51" s="22"/>
      <c r="Z51" s="22"/>
      <c r="AA51" s="22"/>
      <c r="AB51" s="22"/>
      <c r="AC51" s="22"/>
      <c r="AD51" s="22"/>
      <c r="AE51" s="22"/>
      <c r="AF51" s="22"/>
      <c r="AG51" s="22"/>
      <c r="AH51" s="22"/>
      <c r="AI51" s="22"/>
      <c r="AJ51" s="22"/>
      <c r="AK51" s="22"/>
    </row>
    <row r="52" customFormat="false" ht="26.85" hidden="false" customHeight="true" outlineLevel="0" collapsed="false">
      <c r="A52" s="49" t="n">
        <v>46</v>
      </c>
      <c r="B52" s="84" t="s">
        <v>653</v>
      </c>
      <c r="C52" s="10" t="s">
        <v>654</v>
      </c>
      <c r="D52" s="49" t="s">
        <v>558</v>
      </c>
      <c r="E52" s="85" t="n">
        <v>0</v>
      </c>
      <c r="F52" s="49" t="s">
        <v>234</v>
      </c>
      <c r="G52" s="49" t="s">
        <v>550</v>
      </c>
      <c r="H52" s="86"/>
      <c r="I52" s="31"/>
      <c r="J52" s="35" t="s">
        <v>655</v>
      </c>
      <c r="K52" s="35"/>
      <c r="L52" s="35"/>
      <c r="M52" s="35"/>
      <c r="N52" s="22"/>
      <c r="O52" s="22"/>
      <c r="P52" s="22"/>
      <c r="Q52" s="22"/>
      <c r="R52" s="22"/>
      <c r="S52" s="22"/>
      <c r="T52" s="22"/>
      <c r="U52" s="22"/>
      <c r="V52" s="22"/>
      <c r="W52" s="22"/>
      <c r="X52" s="22"/>
      <c r="Y52" s="22"/>
      <c r="Z52" s="22"/>
      <c r="AA52" s="22"/>
      <c r="AB52" s="22"/>
      <c r="AC52" s="22"/>
      <c r="AD52" s="22"/>
      <c r="AE52" s="22"/>
      <c r="AF52" s="22"/>
      <c r="AG52" s="22"/>
      <c r="AH52" s="22"/>
      <c r="AI52" s="22"/>
      <c r="AJ52" s="22"/>
      <c r="AK52" s="22"/>
    </row>
    <row r="54" customFormat="false" ht="15" hidden="false" customHeight="false" outlineLevel="0" collapsed="false">
      <c r="A54" s="14"/>
      <c r="B54" s="14"/>
      <c r="C54" s="13" t="s">
        <v>656</v>
      </c>
      <c r="D54" s="14"/>
      <c r="E54" s="14"/>
      <c r="F54" s="14"/>
      <c r="G54" s="14"/>
      <c r="H54" s="14"/>
      <c r="I54" s="14"/>
      <c r="J54" s="14"/>
      <c r="K54" s="14"/>
      <c r="L54" s="14"/>
      <c r="M54" s="14"/>
      <c r="N54" s="16" t="n">
        <f aca="false">SUMIF($D$7:$D$52,"laufend",N7:N52)+SUMIF($D$7:$D$52,"Monatsvektor",N7:N52)</f>
        <v>135.104333333333</v>
      </c>
      <c r="O54" s="16" t="n">
        <f aca="false">SUMIF($D$7:$D$52,"laufend",O7:O52)+SUMIF($D$7:$D$52,"Monatsvektor",O7:O52)</f>
        <v>685.931</v>
      </c>
      <c r="P54" s="16" t="n">
        <f aca="false">SUMIF($D$7:$D$52,"laufend",P7:P52)+SUMIF($D$7:$D$52,"Monatsvektor",P7:P52)</f>
        <v>459.264333333333</v>
      </c>
      <c r="Q54" s="16" t="n">
        <f aca="false">SUMIF($D$7:$D$52,"laufend",Q7:Q52)+SUMIF($D$7:$D$52,"Monatsvektor",Q7:Q52)</f>
        <v>479.264333333333</v>
      </c>
      <c r="R54" s="16" t="n">
        <f aca="false">SUMIF($D$7:$D$52,"laufend",R7:R52)+SUMIF($D$7:$D$52,"Monatsvektor",R7:R52)</f>
        <v>479.264333333333</v>
      </c>
      <c r="S54" s="16" t="n">
        <f aca="false">SUMIF($D$7:$D$52,"laufend",S7:S52)+SUMIF($D$7:$D$52,"Monatsvektor",S7:S52)</f>
        <v>479.264333333333</v>
      </c>
      <c r="T54" s="16" t="n">
        <f aca="false">SUMIF($D$7:$D$52,"laufend",T7:T52)+SUMIF($D$7:$D$52,"Monatsvektor",T7:T52)</f>
        <v>522.264333333333</v>
      </c>
      <c r="U54" s="16" t="n">
        <f aca="false">SUMIF($D$7:$D$52,"laufend",U7:U52)+SUMIF($D$7:$D$52,"Monatsvektor",U7:U52)</f>
        <v>622.264333333333</v>
      </c>
      <c r="V54" s="16" t="n">
        <f aca="false">SUMIF($D$7:$D$52,"laufend",V7:V52)+SUMIF($D$7:$D$52,"Monatsvektor",V7:V52)</f>
        <v>522.264333333333</v>
      </c>
      <c r="W54" s="16" t="n">
        <f aca="false">SUMIF($D$7:$D$52,"laufend",W7:W52)+SUMIF($D$7:$D$52,"Monatsvektor",W7:W52)</f>
        <v>620.514333333333</v>
      </c>
      <c r="X54" s="16" t="n">
        <f aca="false">SUMIF($D$7:$D$52,"laufend",X7:X52)+SUMIF($D$7:$D$52,"Monatsvektor",X7:X52)</f>
        <v>520.514333333333</v>
      </c>
      <c r="Y54" s="16" t="n">
        <f aca="false">SUMIF($D$7:$D$52,"laufend",Y7:Y52)+SUMIF($D$7:$D$52,"Monatsvektor",Y7:Y52)</f>
        <v>620.514333333333</v>
      </c>
      <c r="Z54" s="16" t="n">
        <f aca="false">SUMIF($D$7:$D$52,"laufend",Z7:Z52)+SUMIF($D$7:$D$52,"Monatsvektor",Z7:Z52)</f>
        <v>533.014333333333</v>
      </c>
      <c r="AA54" s="16" t="n">
        <f aca="false">SUMIF($D$7:$D$52,"laufend",AA7:AA52)+SUMIF($D$7:$D$52,"Monatsvektor",AA7:AA52)</f>
        <v>633.014333333333</v>
      </c>
      <c r="AB54" s="16" t="n">
        <f aca="false">SUMIF($D$7:$D$52,"laufend",AB7:AB52)+SUMIF($D$7:$D$52,"Monatsvektor",AB7:AB52)</f>
        <v>533.014333333333</v>
      </c>
      <c r="AC54" s="16" t="n">
        <f aca="false">SUMIF($D$7:$D$52,"laufend",AC7:AC52)+SUMIF($D$7:$D$52,"Monatsvektor",AC7:AC52)</f>
        <v>633.014333333333</v>
      </c>
      <c r="AD54" s="16" t="n">
        <f aca="false">SUMIF($D$7:$D$52,"laufend",AD7:AD52)+SUMIF($D$7:$D$52,"Monatsvektor",AD7:AD52)</f>
        <v>533.014333333333</v>
      </c>
      <c r="AE54" s="16" t="n">
        <f aca="false">SUMIF($D$7:$D$52,"laufend",AE7:AE52)+SUMIF($D$7:$D$52,"Monatsvektor",AE7:AE52)</f>
        <v>633.014333333333</v>
      </c>
      <c r="AF54" s="16" t="n">
        <f aca="false">SUMIF($D$7:$D$52,"laufend",AF7:AF52)+SUMIF($D$7:$D$52,"Monatsvektor",AF7:AF52)</f>
        <v>533.014333333333</v>
      </c>
      <c r="AG54" s="16" t="n">
        <f aca="false">SUMIF($D$7:$D$52,"laufend",AG7:AG52)+SUMIF($D$7:$D$52,"Monatsvektor",AG7:AG52)</f>
        <v>633.014333333333</v>
      </c>
      <c r="AH54" s="16" t="n">
        <f aca="false">SUMIF($D$7:$D$52,"laufend",AH7:AH52)+SUMIF($D$7:$D$52,"Monatsvektor",AH7:AH52)</f>
        <v>533.014333333333</v>
      </c>
      <c r="AI54" s="16" t="n">
        <f aca="false">SUMIF($D$7:$D$52,"laufend",AI7:AI52)+SUMIF($D$7:$D$52,"Monatsvektor",AI7:AI52)</f>
        <v>633.014333333333</v>
      </c>
      <c r="AJ54" s="16" t="n">
        <f aca="false">SUMIF($D$7:$D$52,"laufend",AJ7:AJ52)+SUMIF($D$7:$D$52,"Monatsvektor",AJ7:AJ52)</f>
        <v>533.014333333333</v>
      </c>
      <c r="AK54" s="16" t="n">
        <f aca="false">SUMIF($D$7:$D$52,"laufend",AK7:AK52)+SUMIF($D$7:$D$52,"Monatsvektor",AK7:AK52)</f>
        <v>633.014333333333</v>
      </c>
    </row>
    <row r="55" customFormat="false" ht="15" hidden="false" customHeight="false" outlineLevel="0" collapsed="false">
      <c r="A55" s="14"/>
      <c r="B55" s="14"/>
      <c r="C55" s="13" t="s">
        <v>657</v>
      </c>
      <c r="D55" s="14"/>
      <c r="E55" s="14"/>
      <c r="F55" s="14"/>
      <c r="G55" s="14"/>
      <c r="H55" s="14"/>
      <c r="I55" s="14"/>
      <c r="J55" s="14"/>
      <c r="K55" s="14"/>
      <c r="L55" s="14"/>
      <c r="M55" s="14"/>
      <c r="N55" s="16" t="n">
        <f aca="false">SUMIF($D$7:$D$52,"einmalig",N7:N52)</f>
        <v>150</v>
      </c>
      <c r="O55" s="16" t="n">
        <f aca="false">SUMIF($D$7:$D$52,"einmalig",O7:O52)</f>
        <v>1006</v>
      </c>
      <c r="P55" s="16" t="n">
        <f aca="false">SUMIF($D$7:$D$52,"einmalig",P7:P52)</f>
        <v>1500</v>
      </c>
      <c r="Q55" s="16" t="n">
        <f aca="false">SUMIF($D$7:$D$52,"einmalig",Q7:Q52)</f>
        <v>290</v>
      </c>
      <c r="R55" s="16" t="n">
        <f aca="false">SUMIF($D$7:$D$52,"einmalig",R7:R52)</f>
        <v>0</v>
      </c>
      <c r="S55" s="16" t="n">
        <f aca="false">SUMIF($D$7:$D$52,"einmalig",S7:S52)</f>
        <v>0</v>
      </c>
      <c r="T55" s="16" t="n">
        <f aca="false">SUMIF($D$7:$D$52,"einmalig",T7:T52)</f>
        <v>0</v>
      </c>
      <c r="U55" s="16" t="n">
        <f aca="false">SUMIF($D$7:$D$52,"einmalig",U7:U52)</f>
        <v>0</v>
      </c>
      <c r="V55" s="16" t="n">
        <f aca="false">SUMIF($D$7:$D$52,"einmalig",V7:V52)</f>
        <v>0</v>
      </c>
      <c r="W55" s="16" t="n">
        <f aca="false">SUMIF($D$7:$D$52,"einmalig",W7:W52)</f>
        <v>21.5</v>
      </c>
      <c r="X55" s="16" t="n">
        <f aca="false">SUMIF($D$7:$D$52,"einmalig",X7:X52)</f>
        <v>0</v>
      </c>
      <c r="Y55" s="16" t="n">
        <f aca="false">SUMIF($D$7:$D$52,"einmalig",Y7:Y52)</f>
        <v>0</v>
      </c>
      <c r="Z55" s="16" t="n">
        <f aca="false">SUMIF($D$7:$D$52,"einmalig",Z7:Z52)</f>
        <v>0</v>
      </c>
      <c r="AA55" s="16" t="n">
        <f aca="false">SUMIF($D$7:$D$52,"einmalig",AA7:AA52)</f>
        <v>0</v>
      </c>
      <c r="AB55" s="16" t="n">
        <f aca="false">SUMIF($D$7:$D$52,"einmalig",AB7:AB52)</f>
        <v>0</v>
      </c>
      <c r="AC55" s="16" t="n">
        <f aca="false">SUMIF($D$7:$D$52,"einmalig",AC7:AC52)</f>
        <v>0</v>
      </c>
      <c r="AD55" s="16" t="n">
        <f aca="false">SUMIF($D$7:$D$52,"einmalig",AD7:AD52)</f>
        <v>0</v>
      </c>
      <c r="AE55" s="16" t="n">
        <f aca="false">SUMIF($D$7:$D$52,"einmalig",AE7:AE52)</f>
        <v>0</v>
      </c>
      <c r="AF55" s="16" t="n">
        <f aca="false">SUMIF($D$7:$D$52,"einmalig",AF7:AF52)</f>
        <v>0</v>
      </c>
      <c r="AG55" s="16" t="n">
        <f aca="false">SUMIF($D$7:$D$52,"einmalig",AG7:AG52)</f>
        <v>0</v>
      </c>
      <c r="AH55" s="16" t="n">
        <f aca="false">SUMIF($D$7:$D$52,"einmalig",AH7:AH52)</f>
        <v>0</v>
      </c>
      <c r="AI55" s="16" t="n">
        <f aca="false">SUMIF($D$7:$D$52,"einmalig",AI7:AI52)</f>
        <v>0</v>
      </c>
      <c r="AJ55" s="16" t="n">
        <f aca="false">SUMIF($D$7:$D$52,"einmalig",AJ7:AJ52)</f>
        <v>0</v>
      </c>
      <c r="AK55" s="16" t="n">
        <f aca="false">SUMIF($D$7:$D$52,"einmalig",AK7:AK52)</f>
        <v>0</v>
      </c>
    </row>
    <row r="56" customFormat="false" ht="15" hidden="false" customHeight="false" outlineLevel="0" collapsed="false">
      <c r="A56" s="14"/>
      <c r="B56" s="14"/>
      <c r="C56" s="13" t="s">
        <v>658</v>
      </c>
      <c r="D56" s="14"/>
      <c r="E56" s="14"/>
      <c r="F56" s="14"/>
      <c r="G56" s="14"/>
      <c r="H56" s="14"/>
      <c r="I56" s="14"/>
      <c r="J56" s="14"/>
      <c r="K56" s="14"/>
      <c r="L56" s="14"/>
      <c r="M56" s="14"/>
      <c r="N56" s="16" t="n">
        <f aca="false">SUMIF($D$7:$D$52,"Reserve",N7:N52)</f>
        <v>0</v>
      </c>
      <c r="O56" s="16" t="n">
        <f aca="false">SUMIF($D$7:$D$52,"Reserve",O7:O52)</f>
        <v>1000</v>
      </c>
      <c r="P56" s="16" t="n">
        <f aca="false">SUMIF($D$7:$D$52,"Reserve",P7:P52)</f>
        <v>0</v>
      </c>
      <c r="Q56" s="16" t="n">
        <f aca="false">SUMIF($D$7:$D$52,"Reserve",Q7:Q52)</f>
        <v>0</v>
      </c>
      <c r="R56" s="16" t="n">
        <f aca="false">SUMIF($D$7:$D$52,"Reserve",R7:R52)</f>
        <v>1000</v>
      </c>
      <c r="S56" s="16" t="n">
        <f aca="false">SUMIF($D$7:$D$52,"Reserve",S7:S52)</f>
        <v>0</v>
      </c>
      <c r="T56" s="16" t="n">
        <f aca="false">SUMIF($D$7:$D$52,"Reserve",T7:T52)</f>
        <v>0</v>
      </c>
      <c r="U56" s="16" t="n">
        <f aca="false">SUMIF($D$7:$D$52,"Reserve",U7:U52)</f>
        <v>0</v>
      </c>
      <c r="V56" s="16" t="n">
        <f aca="false">SUMIF($D$7:$D$52,"Reserve",V7:V52)</f>
        <v>0</v>
      </c>
      <c r="W56" s="16" t="n">
        <f aca="false">SUMIF($D$7:$D$52,"Reserve",W7:W52)</f>
        <v>0</v>
      </c>
      <c r="X56" s="16" t="n">
        <f aca="false">SUMIF($D$7:$D$52,"Reserve",X7:X52)</f>
        <v>0</v>
      </c>
      <c r="Y56" s="16" t="n">
        <f aca="false">SUMIF($D$7:$D$52,"Reserve",Y7:Y52)</f>
        <v>0</v>
      </c>
      <c r="Z56" s="16" t="n">
        <f aca="false">SUMIF($D$7:$D$52,"Reserve",Z7:Z52)</f>
        <v>0</v>
      </c>
      <c r="AA56" s="16" t="n">
        <f aca="false">SUMIF($D$7:$D$52,"Reserve",AA7:AA52)</f>
        <v>0</v>
      </c>
      <c r="AB56" s="16" t="n">
        <f aca="false">SUMIF($D$7:$D$52,"Reserve",AB7:AB52)</f>
        <v>0</v>
      </c>
      <c r="AC56" s="16" t="n">
        <f aca="false">SUMIF($D$7:$D$52,"Reserve",AC7:AC52)</f>
        <v>0</v>
      </c>
      <c r="AD56" s="16" t="n">
        <f aca="false">SUMIF($D$7:$D$52,"Reserve",AD7:AD52)</f>
        <v>0</v>
      </c>
      <c r="AE56" s="16" t="n">
        <f aca="false">SUMIF($D$7:$D$52,"Reserve",AE7:AE52)</f>
        <v>0</v>
      </c>
      <c r="AF56" s="16" t="n">
        <f aca="false">SUMIF($D$7:$D$52,"Reserve",AF7:AF52)</f>
        <v>0</v>
      </c>
      <c r="AG56" s="16" t="n">
        <f aca="false">SUMIF($D$7:$D$52,"Reserve",AG7:AG52)</f>
        <v>0</v>
      </c>
      <c r="AH56" s="16" t="n">
        <f aca="false">SUMIF($D$7:$D$52,"Reserve",AH7:AH52)</f>
        <v>0</v>
      </c>
      <c r="AI56" s="16" t="n">
        <f aca="false">SUMIF($D$7:$D$52,"Reserve",AI7:AI52)</f>
        <v>0</v>
      </c>
      <c r="AJ56" s="16" t="n">
        <f aca="false">SUMIF($D$7:$D$52,"Reserve",AJ7:AJ52)</f>
        <v>0</v>
      </c>
      <c r="AK56" s="16" t="n">
        <f aca="false">SUMIF($D$7:$D$52,"Reserve",AK7:AK52)</f>
        <v>0</v>
      </c>
    </row>
    <row r="57" customFormat="false" ht="15" hidden="false" customHeight="false" outlineLevel="0" collapsed="false">
      <c r="C57" s="36" t="s">
        <v>659</v>
      </c>
      <c r="N57" s="42" t="n">
        <f aca="false">-(N54+N55)*'Plan-Annahmen'!$B$59*19/119*'Plan-Annahmen'!$B$58</f>
        <v>-0</v>
      </c>
      <c r="O57" s="42" t="n">
        <f aca="false">-(O54+O55)*'Plan-Annahmen'!$B$59*19/119*'Plan-Annahmen'!$B$58</f>
        <v>-0</v>
      </c>
      <c r="P57" s="42" t="n">
        <f aca="false">-(P54+P55)*'Plan-Annahmen'!$B$59*19/119*'Plan-Annahmen'!$B$58</f>
        <v>-0</v>
      </c>
      <c r="Q57" s="42" t="n">
        <f aca="false">-(Q54+Q55)*'Plan-Annahmen'!$B$59*19/119*'Plan-Annahmen'!$B$58</f>
        <v>-0</v>
      </c>
      <c r="R57" s="42" t="n">
        <f aca="false">-(R54+R55)*'Plan-Annahmen'!$B$59*19/119*'Plan-Annahmen'!$B$58</f>
        <v>-0</v>
      </c>
      <c r="S57" s="42" t="n">
        <f aca="false">-(S54+S55)*'Plan-Annahmen'!$B$59*19/119*'Plan-Annahmen'!$B$58</f>
        <v>-0</v>
      </c>
      <c r="T57" s="42" t="n">
        <f aca="false">-(T54+T55)*'Plan-Annahmen'!$B$59*19/119*'Plan-Annahmen'!$B$58</f>
        <v>-0</v>
      </c>
      <c r="U57" s="42" t="n">
        <f aca="false">-(U54+U55)*'Plan-Annahmen'!$B$59*19/119*'Plan-Annahmen'!$B$58</f>
        <v>-0</v>
      </c>
      <c r="V57" s="42" t="n">
        <f aca="false">-(V54+V55)*'Plan-Annahmen'!$B$59*19/119*'Plan-Annahmen'!$B$58</f>
        <v>-0</v>
      </c>
      <c r="W57" s="42" t="n">
        <f aca="false">-(W54+W55)*'Plan-Annahmen'!$B$59*19/119*'Plan-Annahmen'!$B$58</f>
        <v>-0</v>
      </c>
      <c r="X57" s="42" t="n">
        <f aca="false">-(X54+X55)*'Plan-Annahmen'!$B$59*19/119*'Plan-Annahmen'!$B$58</f>
        <v>-0</v>
      </c>
      <c r="Y57" s="42" t="n">
        <f aca="false">-(Y54+Y55)*'Plan-Annahmen'!$B$59*19/119*'Plan-Annahmen'!$B$58</f>
        <v>-0</v>
      </c>
      <c r="Z57" s="42" t="n">
        <f aca="false">-(Z54+Z55)*'Plan-Annahmen'!$B$59*19/119*'Plan-Annahmen'!$B$58</f>
        <v>-0</v>
      </c>
      <c r="AA57" s="42" t="n">
        <f aca="false">-(AA54+AA55)*'Plan-Annahmen'!$B$59*19/119*'Plan-Annahmen'!$B$58</f>
        <v>-0</v>
      </c>
      <c r="AB57" s="42" t="n">
        <f aca="false">-(AB54+AB55)*'Plan-Annahmen'!$B$59*19/119*'Plan-Annahmen'!$B$58</f>
        <v>-0</v>
      </c>
      <c r="AC57" s="42" t="n">
        <f aca="false">-(AC54+AC55)*'Plan-Annahmen'!$B$59*19/119*'Plan-Annahmen'!$B$58</f>
        <v>-0</v>
      </c>
      <c r="AD57" s="42" t="n">
        <f aca="false">-(AD54+AD55)*'Plan-Annahmen'!$B$59*19/119*'Plan-Annahmen'!$B$58</f>
        <v>-0</v>
      </c>
      <c r="AE57" s="42" t="n">
        <f aca="false">-(AE54+AE55)*'Plan-Annahmen'!$B$59*19/119*'Plan-Annahmen'!$B$58</f>
        <v>-0</v>
      </c>
      <c r="AF57" s="42" t="n">
        <f aca="false">-(AF54+AF55)*'Plan-Annahmen'!$B$59*19/119*'Plan-Annahmen'!$B$58</f>
        <v>-0</v>
      </c>
      <c r="AG57" s="42" t="n">
        <f aca="false">-(AG54+AG55)*'Plan-Annahmen'!$B$59*19/119*'Plan-Annahmen'!$B$58</f>
        <v>-0</v>
      </c>
      <c r="AH57" s="42" t="n">
        <f aca="false">-(AH54+AH55)*'Plan-Annahmen'!$B$59*19/119*'Plan-Annahmen'!$B$58</f>
        <v>-0</v>
      </c>
      <c r="AI57" s="42" t="n">
        <f aca="false">-(AI54+AI55)*'Plan-Annahmen'!$B$59*19/119*'Plan-Annahmen'!$B$58</f>
        <v>-0</v>
      </c>
      <c r="AJ57" s="42" t="n">
        <f aca="false">-(AJ54+AJ55)*'Plan-Annahmen'!$B$59*19/119*'Plan-Annahmen'!$B$58</f>
        <v>-0</v>
      </c>
      <c r="AK57" s="42" t="n">
        <f aca="false">-(AK54+AK55)*'Plan-Annahmen'!$B$59*19/119*'Plan-Annahmen'!$B$58</f>
        <v>-0</v>
      </c>
    </row>
    <row r="58" customFormat="false" ht="15" hidden="false" customHeight="false" outlineLevel="0" collapsed="false">
      <c r="A58" s="14"/>
      <c r="B58" s="14"/>
      <c r="C58" s="13" t="s">
        <v>660</v>
      </c>
      <c r="D58" s="14"/>
      <c r="E58" s="14"/>
      <c r="F58" s="14"/>
      <c r="G58" s="14"/>
      <c r="H58" s="14"/>
      <c r="I58" s="14"/>
      <c r="J58" s="14"/>
      <c r="K58" s="14"/>
      <c r="L58" s="14"/>
      <c r="M58" s="14"/>
      <c r="N58" s="16" t="n">
        <f aca="false">N54+N57</f>
        <v>135.104333333333</v>
      </c>
      <c r="O58" s="16" t="n">
        <f aca="false">O54+O57</f>
        <v>685.931</v>
      </c>
      <c r="P58" s="16" t="n">
        <f aca="false">P54+P57</f>
        <v>459.264333333333</v>
      </c>
      <c r="Q58" s="16" t="n">
        <f aca="false">Q54+Q57</f>
        <v>479.264333333333</v>
      </c>
      <c r="R58" s="16" t="n">
        <f aca="false">R54+R57</f>
        <v>479.264333333333</v>
      </c>
      <c r="S58" s="16" t="n">
        <f aca="false">S54+S57</f>
        <v>479.264333333333</v>
      </c>
      <c r="T58" s="16" t="n">
        <f aca="false">T54+T57</f>
        <v>522.264333333333</v>
      </c>
      <c r="U58" s="16" t="n">
        <f aca="false">U54+U57</f>
        <v>622.264333333333</v>
      </c>
      <c r="V58" s="16" t="n">
        <f aca="false">V54+V57</f>
        <v>522.264333333333</v>
      </c>
      <c r="W58" s="16" t="n">
        <f aca="false">W54+W57</f>
        <v>620.514333333333</v>
      </c>
      <c r="X58" s="16" t="n">
        <f aca="false">X54+X57</f>
        <v>520.514333333333</v>
      </c>
      <c r="Y58" s="16" t="n">
        <f aca="false">Y54+Y57</f>
        <v>620.514333333333</v>
      </c>
      <c r="Z58" s="16" t="n">
        <f aca="false">Z54+Z57</f>
        <v>533.014333333333</v>
      </c>
      <c r="AA58" s="16" t="n">
        <f aca="false">AA54+AA57</f>
        <v>633.014333333333</v>
      </c>
      <c r="AB58" s="16" t="n">
        <f aca="false">AB54+AB57</f>
        <v>533.014333333333</v>
      </c>
      <c r="AC58" s="16" t="n">
        <f aca="false">AC54+AC57</f>
        <v>633.014333333333</v>
      </c>
      <c r="AD58" s="16" t="n">
        <f aca="false">AD54+AD57</f>
        <v>533.014333333333</v>
      </c>
      <c r="AE58" s="16" t="n">
        <f aca="false">AE54+AE57</f>
        <v>633.014333333333</v>
      </c>
      <c r="AF58" s="16" t="n">
        <f aca="false">AF54+AF57</f>
        <v>533.014333333333</v>
      </c>
      <c r="AG58" s="16" t="n">
        <f aca="false">AG54+AG57</f>
        <v>633.014333333333</v>
      </c>
      <c r="AH58" s="16" t="n">
        <f aca="false">AH54+AH57</f>
        <v>533.014333333333</v>
      </c>
      <c r="AI58" s="16" t="n">
        <f aca="false">AI54+AI57</f>
        <v>633.014333333333</v>
      </c>
      <c r="AJ58" s="16" t="n">
        <f aca="false">AJ54+AJ57</f>
        <v>533.014333333333</v>
      </c>
      <c r="AK58" s="16" t="n">
        <f aca="false">AK54+AK57</f>
        <v>633.014333333333</v>
      </c>
    </row>
    <row r="60" customFormat="false" ht="39.55" hidden="false" customHeight="true" outlineLevel="0" collapsed="false">
      <c r="A60" s="35" t="s">
        <v>661</v>
      </c>
      <c r="B60" s="35"/>
      <c r="C60" s="35"/>
      <c r="D60" s="35"/>
      <c r="E60" s="35"/>
      <c r="F60" s="35"/>
      <c r="G60" s="35"/>
      <c r="H60" s="35"/>
      <c r="I60" s="35"/>
      <c r="J60" s="35"/>
      <c r="K60" s="35"/>
      <c r="L60" s="35"/>
      <c r="M60" s="35"/>
    </row>
  </sheetData>
  <mergeCells count="49">
    <mergeCell ref="A2:M4"/>
    <mergeCell ref="J6:M6"/>
    <mergeCell ref="J7:M7"/>
    <mergeCell ref="J8:M8"/>
    <mergeCell ref="J9:M9"/>
    <mergeCell ref="J10:M10"/>
    <mergeCell ref="J11:M11"/>
    <mergeCell ref="J12:M12"/>
    <mergeCell ref="J13:M13"/>
    <mergeCell ref="J14:M14"/>
    <mergeCell ref="J15:M15"/>
    <mergeCell ref="J16:M16"/>
    <mergeCell ref="J17:M17"/>
    <mergeCell ref="J18:M18"/>
    <mergeCell ref="J19:M19"/>
    <mergeCell ref="J20:M20"/>
    <mergeCell ref="J21:M21"/>
    <mergeCell ref="J22:M22"/>
    <mergeCell ref="J23:M23"/>
    <mergeCell ref="J24:M24"/>
    <mergeCell ref="J25:M25"/>
    <mergeCell ref="J26:M26"/>
    <mergeCell ref="J27:M27"/>
    <mergeCell ref="J28:M28"/>
    <mergeCell ref="J29:M29"/>
    <mergeCell ref="J30:M30"/>
    <mergeCell ref="J31:M31"/>
    <mergeCell ref="J32:M32"/>
    <mergeCell ref="J33:M33"/>
    <mergeCell ref="J34:M34"/>
    <mergeCell ref="J35:M35"/>
    <mergeCell ref="J36:M36"/>
    <mergeCell ref="J37:M37"/>
    <mergeCell ref="J38:M38"/>
    <mergeCell ref="J39:M39"/>
    <mergeCell ref="J40:M40"/>
    <mergeCell ref="J41:M41"/>
    <mergeCell ref="J42:M42"/>
    <mergeCell ref="J43:M43"/>
    <mergeCell ref="J44:M44"/>
    <mergeCell ref="J45:M45"/>
    <mergeCell ref="J46:M46"/>
    <mergeCell ref="J47:M47"/>
    <mergeCell ref="J48:M48"/>
    <mergeCell ref="J49:M49"/>
    <mergeCell ref="J50:M50"/>
    <mergeCell ref="J51:M51"/>
    <mergeCell ref="J52:M52"/>
    <mergeCell ref="A60:M6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2"/>
    <col collapsed="false" customWidth="true" hidden="false" outlineLevel="0" max="7" min="3" style="0" width="10"/>
    <col collapsed="false" customWidth="true" hidden="false" outlineLevel="0" max="8" min="8" style="0" width="12"/>
    <col collapsed="false" customWidth="true" hidden="false" outlineLevel="0" max="10" min="9" style="0" width="11"/>
    <col collapsed="false" customWidth="true" hidden="false" outlineLevel="0" max="11" min="11" style="0" width="10"/>
    <col collapsed="false" customWidth="true" hidden="false" outlineLevel="0" max="13" min="12" style="0" width="12"/>
    <col collapsed="false" customWidth="true" hidden="false" outlineLevel="0" max="14" min="14" style="0" width="11"/>
    <col collapsed="false" customWidth="true" hidden="false" outlineLevel="0" max="15" min="15" style="0" width="12"/>
    <col collapsed="false" customWidth="true" hidden="false" outlineLevel="0" max="16" min="16" style="0" width="13"/>
    <col collapsed="false" customWidth="true" hidden="false" outlineLevel="0" max="17" min="17" style="0" width="11"/>
    <col collapsed="false" customWidth="true" hidden="false" outlineLevel="0" max="19" min="18" style="0" width="12"/>
    <col collapsed="false" customWidth="true" hidden="false" outlineLevel="0" max="20" min="20" style="0" width="11"/>
    <col collapsed="false" customWidth="true" hidden="false" outlineLevel="0" max="21" min="21" style="0" width="12"/>
    <col collapsed="false" customWidth="true" hidden="false" outlineLevel="0" max="22" min="22" style="0" width="9"/>
    <col collapsed="false" customWidth="true" hidden="false" outlineLevel="0" max="23" min="23" style="0" width="10"/>
    <col collapsed="false" customWidth="true" hidden="false" outlineLevel="0" max="24" min="24" style="0" width="11"/>
    <col collapsed="false" customWidth="true" hidden="false" outlineLevel="0" max="26" min="25" style="0" width="12"/>
    <col collapsed="false" customWidth="true" hidden="false" outlineLevel="0" max="27" min="27" style="0" width="10"/>
    <col collapsed="false" customWidth="true" hidden="false" outlineLevel="0" max="28" min="28" style="0" width="13"/>
  </cols>
  <sheetData>
    <row r="1" customFormat="false" ht="17.35" hidden="false" customHeight="false" outlineLevel="0" collapsed="false">
      <c r="A1" s="34" t="s">
        <v>662</v>
      </c>
    </row>
    <row r="2" customFormat="false" ht="15" hidden="false" customHeight="true" outlineLevel="0" collapsed="false">
      <c r="A2" s="35" t="s">
        <v>663</v>
      </c>
      <c r="B2" s="35"/>
      <c r="C2" s="35"/>
      <c r="D2" s="35"/>
      <c r="E2" s="35"/>
      <c r="F2" s="35"/>
      <c r="G2" s="35"/>
      <c r="H2" s="35"/>
      <c r="I2" s="35"/>
      <c r="J2" s="35"/>
      <c r="K2" s="35"/>
      <c r="L2" s="35"/>
      <c r="M2" s="35"/>
      <c r="N2" s="35"/>
      <c r="O2" s="35"/>
      <c r="P2" s="35"/>
      <c r="Q2" s="35"/>
      <c r="R2" s="35"/>
      <c r="S2" s="35"/>
      <c r="T2" s="35"/>
      <c r="U2" s="35"/>
      <c r="V2" s="35"/>
      <c r="W2" s="35"/>
      <c r="X2" s="35"/>
      <c r="Y2" s="35"/>
      <c r="Z2" s="35"/>
      <c r="AA2" s="35"/>
      <c r="AB2" s="35"/>
    </row>
    <row r="3" customFormat="false" ht="15" hidden="false" customHeight="false" outlineLevel="0" collapsed="false">
      <c r="A3" s="35"/>
      <c r="B3" s="35"/>
      <c r="C3" s="35"/>
      <c r="D3" s="35"/>
      <c r="E3" s="35"/>
      <c r="F3" s="35"/>
      <c r="G3" s="35"/>
      <c r="H3" s="35"/>
      <c r="I3" s="35"/>
      <c r="J3" s="35"/>
      <c r="K3" s="35"/>
      <c r="L3" s="35"/>
      <c r="M3" s="35"/>
      <c r="N3" s="35"/>
      <c r="O3" s="35"/>
      <c r="P3" s="35"/>
      <c r="Q3" s="35"/>
      <c r="R3" s="35"/>
      <c r="S3" s="35"/>
      <c r="T3" s="35"/>
      <c r="U3" s="35"/>
      <c r="V3" s="35"/>
      <c r="W3" s="35"/>
      <c r="X3" s="35"/>
      <c r="Y3" s="35"/>
      <c r="Z3" s="35"/>
      <c r="AA3" s="35"/>
      <c r="AB3" s="35"/>
    </row>
    <row r="4" customFormat="false" ht="15" hidden="false" customHeight="false" outlineLevel="0" collapsed="false">
      <c r="A4" s="35"/>
      <c r="B4" s="35"/>
      <c r="C4" s="35"/>
      <c r="D4" s="35"/>
      <c r="E4" s="35"/>
      <c r="F4" s="35"/>
      <c r="G4" s="35"/>
      <c r="H4" s="35"/>
      <c r="I4" s="35"/>
      <c r="J4" s="35"/>
      <c r="K4" s="35"/>
      <c r="L4" s="35"/>
      <c r="M4" s="35"/>
      <c r="N4" s="35"/>
      <c r="O4" s="35"/>
      <c r="P4" s="35"/>
      <c r="Q4" s="35"/>
      <c r="R4" s="35"/>
      <c r="S4" s="35"/>
      <c r="T4" s="35"/>
      <c r="U4" s="35"/>
      <c r="V4" s="35"/>
      <c r="W4" s="35"/>
      <c r="X4" s="35"/>
      <c r="Y4" s="35"/>
      <c r="Z4" s="35"/>
      <c r="AA4" s="35"/>
      <c r="AB4" s="35"/>
    </row>
    <row r="6" customFormat="false" ht="15" hidden="false" customHeight="false" outlineLevel="0" collapsed="false">
      <c r="A6" s="36" t="s">
        <v>511</v>
      </c>
      <c r="H6" s="53" t="s">
        <v>664</v>
      </c>
      <c r="K6" s="36" t="n">
        <f aca="false">MATCH(MIN(U8:U31),U8:U31,0)</f>
        <v>24</v>
      </c>
    </row>
    <row r="7" customFormat="false" ht="39.55" hidden="false" customHeight="false" outlineLevel="0" collapsed="false">
      <c r="A7" s="3" t="s">
        <v>309</v>
      </c>
      <c r="B7" s="3" t="s">
        <v>513</v>
      </c>
      <c r="C7" s="3" t="s">
        <v>665</v>
      </c>
      <c r="D7" s="3" t="s">
        <v>666</v>
      </c>
      <c r="E7" s="3" t="s">
        <v>312</v>
      </c>
      <c r="F7" s="3" t="s">
        <v>313</v>
      </c>
      <c r="G7" s="3" t="s">
        <v>418</v>
      </c>
      <c r="H7" s="3" t="s">
        <v>667</v>
      </c>
      <c r="I7" s="3" t="s">
        <v>668</v>
      </c>
      <c r="J7" s="3" t="s">
        <v>669</v>
      </c>
      <c r="K7" s="3" t="s">
        <v>670</v>
      </c>
      <c r="L7" s="3" t="s">
        <v>671</v>
      </c>
      <c r="M7" s="3" t="s">
        <v>672</v>
      </c>
      <c r="N7" s="3" t="s">
        <v>673</v>
      </c>
      <c r="O7" s="3" t="s">
        <v>674</v>
      </c>
      <c r="P7" s="3" t="s">
        <v>675</v>
      </c>
      <c r="Q7" s="3" t="s">
        <v>676</v>
      </c>
      <c r="R7" s="3" t="s">
        <v>677</v>
      </c>
      <c r="S7" s="3" t="s">
        <v>678</v>
      </c>
      <c r="T7" s="3" t="s">
        <v>679</v>
      </c>
      <c r="U7" s="3" t="s">
        <v>680</v>
      </c>
      <c r="V7" s="3" t="s">
        <v>681</v>
      </c>
      <c r="W7" s="3" t="s">
        <v>527</v>
      </c>
      <c r="X7" s="3" t="s">
        <v>682</v>
      </c>
      <c r="Y7" s="3" t="s">
        <v>683</v>
      </c>
      <c r="Z7" s="3" t="s">
        <v>684</v>
      </c>
      <c r="AA7" s="3" t="s">
        <v>685</v>
      </c>
      <c r="AB7" s="3" t="s">
        <v>686</v>
      </c>
    </row>
    <row r="8" customFormat="false" ht="15" hidden="false" customHeight="false" outlineLevel="0" collapsed="false">
      <c r="A8" s="26" t="n">
        <v>1</v>
      </c>
      <c r="B8" s="78" t="n">
        <f aca="false">'Plan-Kunden'!B8</f>
        <v>46266</v>
      </c>
      <c r="C8" s="82" t="n">
        <f aca="false">'Plan-Kunden'!E8</f>
        <v>0</v>
      </c>
      <c r="D8" s="82" t="n">
        <f aca="false">'Plan-Kunden'!K8</f>
        <v>0</v>
      </c>
      <c r="E8" s="82" t="n">
        <f aca="false">'Plan-Kunden'!I8</f>
        <v>0</v>
      </c>
      <c r="F8" s="82" t="n">
        <f aca="false">'Plan-Kunden'!J8</f>
        <v>0</v>
      </c>
      <c r="G8" s="94" t="n">
        <f aca="false">D8*'Plan-Annahmen'!$B$32</f>
        <v>0</v>
      </c>
      <c r="H8" s="42" t="n">
        <f aca="false">E8*'Plan-Annahmen'!$B$47+F8*'Plan-Annahmen'!$B$48</f>
        <v>0</v>
      </c>
      <c r="I8" s="42" t="n">
        <f aca="false">H8*('Plan-Annahmen'!$B$33+'Plan-Annahmen'!$B$34)</f>
        <v>0</v>
      </c>
      <c r="J8" s="42" t="n">
        <f aca="false">E8*('Plan-Annahmen'!$B$47*'Plan-Annahmen'!$B$51+'Plan-Annahmen'!$B$52)+F8*('Plan-Annahmen'!$B$48*'Plan-Annahmen'!$B$51+'Plan-Annahmen'!$B$52)</f>
        <v>0</v>
      </c>
      <c r="K8" s="42" t="n">
        <f aca="false">G8*'Plan-Annahmen'!$B$50/100</f>
        <v>0</v>
      </c>
      <c r="L8" s="42" t="n">
        <f aca="false">'Plan-Kunden'!D8*'Plan-Annahmen'!$B$48*'Plan-Annahmen'!$B$30</f>
        <v>0</v>
      </c>
      <c r="M8" s="42" t="n">
        <f aca="false">'Plan-Kosten'!N$58</f>
        <v>135.104333333333</v>
      </c>
      <c r="N8" s="42" t="n">
        <f aca="false">'Plan-Kosten'!N$55</f>
        <v>150</v>
      </c>
      <c r="O8" s="48" t="n">
        <f aca="false">I8+J8+K8+L8+M8+N8</f>
        <v>285.104333333333</v>
      </c>
      <c r="P8" s="30" t="n">
        <f aca="false">H8-O8</f>
        <v>-285.104333333333</v>
      </c>
      <c r="Q8" s="42" t="n">
        <f aca="false">MAX(0,P8*'Plan-Annahmen'!$B$69)</f>
        <v>0</v>
      </c>
      <c r="R8" s="48" t="n">
        <f aca="false">P8-Q8</f>
        <v>-285.104333333333</v>
      </c>
      <c r="S8" s="48" t="n">
        <f aca="false">R8</f>
        <v>-285.104333333333</v>
      </c>
      <c r="T8" s="42" t="n">
        <f aca="false">'Plan-Kosten'!N$56</f>
        <v>0</v>
      </c>
      <c r="U8" s="30" t="n">
        <f aca="false">S8-T8</f>
        <v>-285.104333333333</v>
      </c>
      <c r="V8" s="26" t="n">
        <f aca="false">IF(P8&gt;0,1,0)</f>
        <v>0</v>
      </c>
      <c r="W8" s="82" t="n">
        <f aca="false">'Plan-Kunden'!P8</f>
        <v>29</v>
      </c>
      <c r="X8" s="95" t="n">
        <f aca="false">'Plan-Kunden'!Q8</f>
        <v>0</v>
      </c>
      <c r="Y8" s="95" t="n">
        <f aca="false">IF(D8&gt;='Plan-Phase B'!$C$21,1,0)</f>
        <v>0</v>
      </c>
      <c r="Z8" s="95" t="n">
        <f aca="false">IF(D8&gt;='Plan-Phase B'!$D$21,1,0)</f>
        <v>0</v>
      </c>
      <c r="AA8" s="95" t="n">
        <f aca="false">IF(D8&gt;='Plan-Phase B'!$E$21,1,0)</f>
        <v>0</v>
      </c>
      <c r="AB8" s="26" t="n">
        <f aca="false">IF(AND(U8&gt;=0,A8&gt;$K$6),1,0)</f>
        <v>0</v>
      </c>
    </row>
    <row r="9" customFormat="false" ht="15" hidden="false" customHeight="false" outlineLevel="0" collapsed="false">
      <c r="A9" s="26" t="n">
        <v>2</v>
      </c>
      <c r="B9" s="78" t="n">
        <f aca="false">'Plan-Kunden'!B9</f>
        <v>46296</v>
      </c>
      <c r="C9" s="82" t="n">
        <f aca="false">'Plan-Kunden'!E9</f>
        <v>0</v>
      </c>
      <c r="D9" s="82" t="n">
        <f aca="false">'Plan-Kunden'!K9</f>
        <v>0</v>
      </c>
      <c r="E9" s="82" t="n">
        <f aca="false">'Plan-Kunden'!I9</f>
        <v>0</v>
      </c>
      <c r="F9" s="82" t="n">
        <f aca="false">'Plan-Kunden'!J9</f>
        <v>0</v>
      </c>
      <c r="G9" s="94" t="n">
        <f aca="false">D9*'Plan-Annahmen'!$B$32</f>
        <v>0</v>
      </c>
      <c r="H9" s="42" t="n">
        <f aca="false">E9*'Plan-Annahmen'!$B$47+F9*'Plan-Annahmen'!$B$48</f>
        <v>0</v>
      </c>
      <c r="I9" s="42" t="n">
        <f aca="false">H9*('Plan-Annahmen'!$B$33+'Plan-Annahmen'!$B$34)</f>
        <v>0</v>
      </c>
      <c r="J9" s="42" t="n">
        <f aca="false">E9*('Plan-Annahmen'!$B$47*'Plan-Annahmen'!$B$51+'Plan-Annahmen'!$B$52)+F9*('Plan-Annahmen'!$B$48*'Plan-Annahmen'!$B$51+'Plan-Annahmen'!$B$52)</f>
        <v>0</v>
      </c>
      <c r="K9" s="42" t="n">
        <f aca="false">G9*'Plan-Annahmen'!$B$50/100</f>
        <v>0</v>
      </c>
      <c r="L9" s="42" t="n">
        <f aca="false">'Plan-Kunden'!D9*'Plan-Annahmen'!$B$48*'Plan-Annahmen'!$B$30</f>
        <v>0</v>
      </c>
      <c r="M9" s="42" t="n">
        <f aca="false">'Plan-Kosten'!O$58</f>
        <v>685.931</v>
      </c>
      <c r="N9" s="42" t="n">
        <f aca="false">'Plan-Kosten'!O$55</f>
        <v>1006</v>
      </c>
      <c r="O9" s="48" t="n">
        <f aca="false">I9+J9+K9+L9+M9+N9</f>
        <v>1691.931</v>
      </c>
      <c r="P9" s="30" t="n">
        <f aca="false">H9-O9</f>
        <v>-1691.931</v>
      </c>
      <c r="Q9" s="42" t="n">
        <f aca="false">MAX(0,P9*'Plan-Annahmen'!$B$69)</f>
        <v>0</v>
      </c>
      <c r="R9" s="48" t="n">
        <f aca="false">P9-Q9</f>
        <v>-1691.931</v>
      </c>
      <c r="S9" s="48" t="n">
        <f aca="false">S8+R9</f>
        <v>-1977.03533333333</v>
      </c>
      <c r="T9" s="42" t="n">
        <f aca="false">T8+'Plan-Kosten'!O$56</f>
        <v>1000</v>
      </c>
      <c r="U9" s="30" t="n">
        <f aca="false">S9-T9</f>
        <v>-2977.03533333333</v>
      </c>
      <c r="V9" s="26" t="n">
        <f aca="false">IF(P9&gt;0,1,0)</f>
        <v>0</v>
      </c>
      <c r="W9" s="82" t="n">
        <f aca="false">'Plan-Kunden'!P9</f>
        <v>43</v>
      </c>
      <c r="X9" s="95" t="n">
        <f aca="false">'Plan-Kunden'!Q9</f>
        <v>0</v>
      </c>
      <c r="Y9" s="95" t="n">
        <f aca="false">IF(D9&gt;='Plan-Phase B'!$C$21,1,0)</f>
        <v>0</v>
      </c>
      <c r="Z9" s="95" t="n">
        <f aca="false">IF(D9&gt;='Plan-Phase B'!$D$21,1,0)</f>
        <v>0</v>
      </c>
      <c r="AA9" s="95" t="n">
        <f aca="false">IF(D9&gt;='Plan-Phase B'!$E$21,1,0)</f>
        <v>0</v>
      </c>
      <c r="AB9" s="26" t="n">
        <f aca="false">IF(AND(U9&gt;=0,A9&gt;$K$6),1,0)</f>
        <v>0</v>
      </c>
    </row>
    <row r="10" customFormat="false" ht="15" hidden="false" customHeight="false" outlineLevel="0" collapsed="false">
      <c r="A10" s="26" t="n">
        <v>3</v>
      </c>
      <c r="B10" s="78" t="n">
        <f aca="false">'Plan-Kunden'!B10</f>
        <v>46327</v>
      </c>
      <c r="C10" s="82" t="n">
        <f aca="false">'Plan-Kunden'!E10</f>
        <v>0</v>
      </c>
      <c r="D10" s="82" t="n">
        <f aca="false">'Plan-Kunden'!K10</f>
        <v>0</v>
      </c>
      <c r="E10" s="82" t="n">
        <f aca="false">'Plan-Kunden'!I10</f>
        <v>0</v>
      </c>
      <c r="F10" s="82" t="n">
        <f aca="false">'Plan-Kunden'!J10</f>
        <v>0</v>
      </c>
      <c r="G10" s="94" t="n">
        <f aca="false">D10*'Plan-Annahmen'!$B$32</f>
        <v>0</v>
      </c>
      <c r="H10" s="42" t="n">
        <f aca="false">E10*'Plan-Annahmen'!$B$47+F10*'Plan-Annahmen'!$B$48</f>
        <v>0</v>
      </c>
      <c r="I10" s="42" t="n">
        <f aca="false">H10*('Plan-Annahmen'!$B$33+'Plan-Annahmen'!$B$34)</f>
        <v>0</v>
      </c>
      <c r="J10" s="42" t="n">
        <f aca="false">E10*('Plan-Annahmen'!$B$47*'Plan-Annahmen'!$B$51+'Plan-Annahmen'!$B$52)+F10*('Plan-Annahmen'!$B$48*'Plan-Annahmen'!$B$51+'Plan-Annahmen'!$B$52)</f>
        <v>0</v>
      </c>
      <c r="K10" s="42" t="n">
        <f aca="false">G10*'Plan-Annahmen'!$B$50/100</f>
        <v>0</v>
      </c>
      <c r="L10" s="42" t="n">
        <f aca="false">'Plan-Kunden'!D10*'Plan-Annahmen'!$B$48*'Plan-Annahmen'!$B$30</f>
        <v>0</v>
      </c>
      <c r="M10" s="42" t="n">
        <f aca="false">'Plan-Kosten'!P$58</f>
        <v>459.264333333333</v>
      </c>
      <c r="N10" s="42" t="n">
        <f aca="false">'Plan-Kosten'!P$55</f>
        <v>1500</v>
      </c>
      <c r="O10" s="48" t="n">
        <f aca="false">I10+J10+K10+L10+M10+N10</f>
        <v>1959.26433333333</v>
      </c>
      <c r="P10" s="30" t="n">
        <f aca="false">H10-O10</f>
        <v>-1959.26433333333</v>
      </c>
      <c r="Q10" s="42" t="n">
        <f aca="false">MAX(0,P10*'Plan-Annahmen'!$B$69)</f>
        <v>0</v>
      </c>
      <c r="R10" s="48" t="n">
        <f aca="false">P10-Q10</f>
        <v>-1959.26433333333</v>
      </c>
      <c r="S10" s="48" t="n">
        <f aca="false">S9+R10</f>
        <v>-3936.29966666667</v>
      </c>
      <c r="T10" s="42" t="n">
        <f aca="false">T9+'Plan-Kosten'!P$56</f>
        <v>1000</v>
      </c>
      <c r="U10" s="30" t="n">
        <f aca="false">S10-T10</f>
        <v>-4936.29966666667</v>
      </c>
      <c r="V10" s="26" t="n">
        <f aca="false">IF(P10&gt;0,1,0)</f>
        <v>0</v>
      </c>
      <c r="W10" s="82" t="n">
        <f aca="false">'Plan-Kunden'!P10</f>
        <v>30</v>
      </c>
      <c r="X10" s="95" t="n">
        <f aca="false">'Plan-Kunden'!Q10</f>
        <v>0</v>
      </c>
      <c r="Y10" s="95" t="n">
        <f aca="false">IF(D10&gt;='Plan-Phase B'!$C$21,1,0)</f>
        <v>0</v>
      </c>
      <c r="Z10" s="95" t="n">
        <f aca="false">IF(D10&gt;='Plan-Phase B'!$D$21,1,0)</f>
        <v>0</v>
      </c>
      <c r="AA10" s="95" t="n">
        <f aca="false">IF(D10&gt;='Plan-Phase B'!$E$21,1,0)</f>
        <v>0</v>
      </c>
      <c r="AB10" s="26" t="n">
        <f aca="false">IF(AND(U10&gt;=0,A10&gt;$K$6),1,0)</f>
        <v>0</v>
      </c>
    </row>
    <row r="11" customFormat="false" ht="15" hidden="false" customHeight="false" outlineLevel="0" collapsed="false">
      <c r="A11" s="26" t="n">
        <v>4</v>
      </c>
      <c r="B11" s="78" t="n">
        <f aca="false">'Plan-Kunden'!B11</f>
        <v>46357</v>
      </c>
      <c r="C11" s="82" t="n">
        <f aca="false">'Plan-Kunden'!E11</f>
        <v>0</v>
      </c>
      <c r="D11" s="82" t="n">
        <f aca="false">'Plan-Kunden'!K11</f>
        <v>0</v>
      </c>
      <c r="E11" s="82" t="n">
        <f aca="false">'Plan-Kunden'!I11</f>
        <v>0</v>
      </c>
      <c r="F11" s="82" t="n">
        <f aca="false">'Plan-Kunden'!J11</f>
        <v>0</v>
      </c>
      <c r="G11" s="94" t="n">
        <f aca="false">D11*'Plan-Annahmen'!$B$32</f>
        <v>0</v>
      </c>
      <c r="H11" s="42" t="n">
        <f aca="false">E11*'Plan-Annahmen'!$B$47+F11*'Plan-Annahmen'!$B$48</f>
        <v>0</v>
      </c>
      <c r="I11" s="42" t="n">
        <f aca="false">H11*('Plan-Annahmen'!$B$33+'Plan-Annahmen'!$B$34)</f>
        <v>0</v>
      </c>
      <c r="J11" s="42" t="n">
        <f aca="false">E11*('Plan-Annahmen'!$B$47*'Plan-Annahmen'!$B$51+'Plan-Annahmen'!$B$52)+F11*('Plan-Annahmen'!$B$48*'Plan-Annahmen'!$B$51+'Plan-Annahmen'!$B$52)</f>
        <v>0</v>
      </c>
      <c r="K11" s="42" t="n">
        <f aca="false">G11*'Plan-Annahmen'!$B$50/100</f>
        <v>0</v>
      </c>
      <c r="L11" s="42" t="n">
        <f aca="false">'Plan-Kunden'!D11*'Plan-Annahmen'!$B$48*'Plan-Annahmen'!$B$30</f>
        <v>0</v>
      </c>
      <c r="M11" s="42" t="n">
        <f aca="false">'Plan-Kosten'!Q$58</f>
        <v>479.264333333333</v>
      </c>
      <c r="N11" s="42" t="n">
        <f aca="false">'Plan-Kosten'!Q$55</f>
        <v>290</v>
      </c>
      <c r="O11" s="48" t="n">
        <f aca="false">I11+J11+K11+L11+M11+N11</f>
        <v>769.264333333333</v>
      </c>
      <c r="P11" s="30" t="n">
        <f aca="false">H11-O11</f>
        <v>-769.264333333333</v>
      </c>
      <c r="Q11" s="42" t="n">
        <f aca="false">MAX(0,P11*'Plan-Annahmen'!$B$69)</f>
        <v>0</v>
      </c>
      <c r="R11" s="48" t="n">
        <f aca="false">P11-Q11</f>
        <v>-769.264333333333</v>
      </c>
      <c r="S11" s="48" t="n">
        <f aca="false">S10+R11</f>
        <v>-4705.564</v>
      </c>
      <c r="T11" s="42" t="n">
        <f aca="false">T10+'Plan-Kosten'!Q$56</f>
        <v>1000</v>
      </c>
      <c r="U11" s="30" t="n">
        <f aca="false">S11-T11</f>
        <v>-5705.564</v>
      </c>
      <c r="V11" s="26" t="n">
        <f aca="false">IF(P11&gt;0,1,0)</f>
        <v>0</v>
      </c>
      <c r="W11" s="82" t="n">
        <f aca="false">'Plan-Kunden'!P11</f>
        <v>40</v>
      </c>
      <c r="X11" s="95" t="n">
        <f aca="false">'Plan-Kunden'!Q11</f>
        <v>0</v>
      </c>
      <c r="Y11" s="95" t="n">
        <f aca="false">IF(D11&gt;='Plan-Phase B'!$C$21,1,0)</f>
        <v>0</v>
      </c>
      <c r="Z11" s="95" t="n">
        <f aca="false">IF(D11&gt;='Plan-Phase B'!$D$21,1,0)</f>
        <v>0</v>
      </c>
      <c r="AA11" s="95" t="n">
        <f aca="false">IF(D11&gt;='Plan-Phase B'!$E$21,1,0)</f>
        <v>0</v>
      </c>
      <c r="AB11" s="26" t="n">
        <f aca="false">IF(AND(U11&gt;=0,A11&gt;$K$6),1,0)</f>
        <v>0</v>
      </c>
    </row>
    <row r="12" customFormat="false" ht="15" hidden="false" customHeight="false" outlineLevel="0" collapsed="false">
      <c r="A12" s="26" t="n">
        <v>5</v>
      </c>
      <c r="B12" s="78" t="n">
        <f aca="false">'Plan-Kunden'!B12</f>
        <v>46388</v>
      </c>
      <c r="C12" s="82" t="n">
        <f aca="false">'Plan-Kunden'!E12</f>
        <v>1</v>
      </c>
      <c r="D12" s="82" t="n">
        <f aca="false">'Plan-Kunden'!K12</f>
        <v>1</v>
      </c>
      <c r="E12" s="82" t="n">
        <f aca="false">'Plan-Kunden'!I12</f>
        <v>1</v>
      </c>
      <c r="F12" s="82" t="n">
        <f aca="false">'Plan-Kunden'!J12</f>
        <v>0</v>
      </c>
      <c r="G12" s="94" t="n">
        <f aca="false">D12*'Plan-Annahmen'!$B$32</f>
        <v>8</v>
      </c>
      <c r="H12" s="42" t="n">
        <f aca="false">E12*'Plan-Annahmen'!$B$47+F12*'Plan-Annahmen'!$B$48</f>
        <v>29</v>
      </c>
      <c r="I12" s="42" t="n">
        <f aca="false">H12*('Plan-Annahmen'!$B$33+'Plan-Annahmen'!$B$34)</f>
        <v>0.87</v>
      </c>
      <c r="J12" s="42" t="n">
        <f aca="false">E12*('Plan-Annahmen'!$B$47*'Plan-Annahmen'!$B$51+'Plan-Annahmen'!$B$52)+F12*('Plan-Annahmen'!$B$48*'Plan-Annahmen'!$B$51+'Plan-Annahmen'!$B$52)</f>
        <v>0.685</v>
      </c>
      <c r="K12" s="42" t="n">
        <f aca="false">G12*'Plan-Annahmen'!$B$50/100</f>
        <v>0.2</v>
      </c>
      <c r="L12" s="42" t="n">
        <f aca="false">'Plan-Kunden'!D12*'Plan-Annahmen'!$B$48*'Plan-Annahmen'!$B$30</f>
        <v>0</v>
      </c>
      <c r="M12" s="42" t="n">
        <f aca="false">'Plan-Kosten'!R$58</f>
        <v>479.264333333333</v>
      </c>
      <c r="N12" s="42" t="n">
        <f aca="false">'Plan-Kosten'!R$55</f>
        <v>0</v>
      </c>
      <c r="O12" s="48" t="n">
        <f aca="false">I12+J12+K12+L12+M12+N12</f>
        <v>481.019333333333</v>
      </c>
      <c r="P12" s="30" t="n">
        <f aca="false">H12-O12</f>
        <v>-452.019333333333</v>
      </c>
      <c r="Q12" s="42" t="n">
        <f aca="false">MAX(0,P12*'Plan-Annahmen'!$B$69)</f>
        <v>0</v>
      </c>
      <c r="R12" s="48" t="n">
        <f aca="false">P12-Q12</f>
        <v>-452.019333333333</v>
      </c>
      <c r="S12" s="48" t="n">
        <f aca="false">S11+R12</f>
        <v>-5157.58333333333</v>
      </c>
      <c r="T12" s="42" t="n">
        <f aca="false">T11+'Plan-Kosten'!R$56</f>
        <v>2000</v>
      </c>
      <c r="U12" s="30" t="n">
        <f aca="false">S12-T12</f>
        <v>-7157.58333333333</v>
      </c>
      <c r="V12" s="26" t="n">
        <f aca="false">IF(P12&gt;0,1,0)</f>
        <v>0</v>
      </c>
      <c r="W12" s="82" t="n">
        <f aca="false">'Plan-Kunden'!P12</f>
        <v>42.3</v>
      </c>
      <c r="X12" s="95" t="n">
        <f aca="false">'Plan-Kunden'!Q12</f>
        <v>0</v>
      </c>
      <c r="Y12" s="95" t="n">
        <f aca="false">IF(D12&gt;='Plan-Phase B'!$C$21,1,0)</f>
        <v>0</v>
      </c>
      <c r="Z12" s="95" t="n">
        <f aca="false">IF(D12&gt;='Plan-Phase B'!$D$21,1,0)</f>
        <v>0</v>
      </c>
      <c r="AA12" s="95" t="n">
        <f aca="false">IF(D12&gt;='Plan-Phase B'!$E$21,1,0)</f>
        <v>0</v>
      </c>
      <c r="AB12" s="26" t="n">
        <f aca="false">IF(AND(U12&gt;=0,A12&gt;$K$6),1,0)</f>
        <v>0</v>
      </c>
    </row>
    <row r="13" customFormat="false" ht="15" hidden="false" customHeight="false" outlineLevel="0" collapsed="false">
      <c r="A13" s="26" t="n">
        <v>6</v>
      </c>
      <c r="B13" s="78" t="n">
        <f aca="false">'Plan-Kunden'!B13</f>
        <v>46419</v>
      </c>
      <c r="C13" s="82" t="n">
        <f aca="false">'Plan-Kunden'!E13</f>
        <v>1</v>
      </c>
      <c r="D13" s="82" t="n">
        <f aca="false">'Plan-Kunden'!K13</f>
        <v>1.98</v>
      </c>
      <c r="E13" s="82" t="n">
        <f aca="false">'Plan-Kunden'!I13</f>
        <v>1.98</v>
      </c>
      <c r="F13" s="82" t="n">
        <f aca="false">'Plan-Kunden'!J13</f>
        <v>0</v>
      </c>
      <c r="G13" s="94" t="n">
        <f aca="false">D13*'Plan-Annahmen'!$B$32</f>
        <v>15.84</v>
      </c>
      <c r="H13" s="42" t="n">
        <f aca="false">E13*'Plan-Annahmen'!$B$47+F13*'Plan-Annahmen'!$B$48</f>
        <v>57.42</v>
      </c>
      <c r="I13" s="42" t="n">
        <f aca="false">H13*('Plan-Annahmen'!$B$33+'Plan-Annahmen'!$B$34)</f>
        <v>1.7226</v>
      </c>
      <c r="J13" s="42" t="n">
        <f aca="false">E13*('Plan-Annahmen'!$B$47*'Plan-Annahmen'!$B$51+'Plan-Annahmen'!$B$52)+F13*('Plan-Annahmen'!$B$48*'Plan-Annahmen'!$B$51+'Plan-Annahmen'!$B$52)</f>
        <v>1.3563</v>
      </c>
      <c r="K13" s="42" t="n">
        <f aca="false">G13*'Plan-Annahmen'!$B$50/100</f>
        <v>0.396</v>
      </c>
      <c r="L13" s="42" t="n">
        <f aca="false">'Plan-Kunden'!D13*'Plan-Annahmen'!$B$48*'Plan-Annahmen'!$B$30</f>
        <v>0</v>
      </c>
      <c r="M13" s="42" t="n">
        <f aca="false">'Plan-Kosten'!S$58</f>
        <v>479.264333333333</v>
      </c>
      <c r="N13" s="42" t="n">
        <f aca="false">'Plan-Kosten'!S$55</f>
        <v>0</v>
      </c>
      <c r="O13" s="48" t="n">
        <f aca="false">I13+J13+K13+L13+M13+N13</f>
        <v>482.739233333333</v>
      </c>
      <c r="P13" s="30" t="n">
        <f aca="false">H13-O13</f>
        <v>-425.319233333333</v>
      </c>
      <c r="Q13" s="42" t="n">
        <f aca="false">MAX(0,P13*'Plan-Annahmen'!$B$69)</f>
        <v>0</v>
      </c>
      <c r="R13" s="48" t="n">
        <f aca="false">P13-Q13</f>
        <v>-425.319233333333</v>
      </c>
      <c r="S13" s="48" t="n">
        <f aca="false">S12+R13</f>
        <v>-5582.90256666667</v>
      </c>
      <c r="T13" s="42" t="n">
        <f aca="false">T12+'Plan-Kosten'!S$56</f>
        <v>2000</v>
      </c>
      <c r="U13" s="30" t="n">
        <f aca="false">S13-T13</f>
        <v>-7582.90256666667</v>
      </c>
      <c r="V13" s="26" t="n">
        <f aca="false">IF(P13&gt;0,1,0)</f>
        <v>0</v>
      </c>
      <c r="W13" s="82" t="n">
        <f aca="false">'Plan-Kunden'!P13</f>
        <v>42.594</v>
      </c>
      <c r="X13" s="95" t="n">
        <f aca="false">'Plan-Kunden'!Q13</f>
        <v>0</v>
      </c>
      <c r="Y13" s="95" t="n">
        <f aca="false">IF(D13&gt;='Plan-Phase B'!$C$21,1,0)</f>
        <v>0</v>
      </c>
      <c r="Z13" s="95" t="n">
        <f aca="false">IF(D13&gt;='Plan-Phase B'!$D$21,1,0)</f>
        <v>0</v>
      </c>
      <c r="AA13" s="95" t="n">
        <f aca="false">IF(D13&gt;='Plan-Phase B'!$E$21,1,0)</f>
        <v>0</v>
      </c>
      <c r="AB13" s="26" t="n">
        <f aca="false">IF(AND(U13&gt;=0,A13&gt;$K$6),1,0)</f>
        <v>0</v>
      </c>
    </row>
    <row r="14" customFormat="false" ht="15" hidden="false" customHeight="false" outlineLevel="0" collapsed="false">
      <c r="A14" s="26" t="n">
        <v>7</v>
      </c>
      <c r="B14" s="78" t="n">
        <f aca="false">'Plan-Kunden'!B14</f>
        <v>46447</v>
      </c>
      <c r="C14" s="82" t="n">
        <f aca="false">'Plan-Kunden'!E14</f>
        <v>1.25</v>
      </c>
      <c r="D14" s="82" t="n">
        <f aca="false">'Plan-Kunden'!K14</f>
        <v>3.1904</v>
      </c>
      <c r="E14" s="82" t="n">
        <f aca="false">'Plan-Kunden'!I14</f>
        <v>3.1904</v>
      </c>
      <c r="F14" s="82" t="n">
        <f aca="false">'Plan-Kunden'!J14</f>
        <v>0</v>
      </c>
      <c r="G14" s="94" t="n">
        <f aca="false">D14*'Plan-Annahmen'!$B$32</f>
        <v>25.5232</v>
      </c>
      <c r="H14" s="42" t="n">
        <f aca="false">E14*'Plan-Annahmen'!$B$47+F14*'Plan-Annahmen'!$B$48</f>
        <v>92.5216</v>
      </c>
      <c r="I14" s="42" t="n">
        <f aca="false">H14*('Plan-Annahmen'!$B$33+'Plan-Annahmen'!$B$34)</f>
        <v>2.775648</v>
      </c>
      <c r="J14" s="42" t="n">
        <f aca="false">E14*('Plan-Annahmen'!$B$47*'Plan-Annahmen'!$B$51+'Plan-Annahmen'!$B$52)+F14*('Plan-Annahmen'!$B$48*'Plan-Annahmen'!$B$51+'Plan-Annahmen'!$B$52)</f>
        <v>2.185424</v>
      </c>
      <c r="K14" s="42" t="n">
        <f aca="false">G14*'Plan-Annahmen'!$B$50/100</f>
        <v>0.63808</v>
      </c>
      <c r="L14" s="42" t="n">
        <f aca="false">'Plan-Kunden'!D14*'Plan-Annahmen'!$B$48*'Plan-Annahmen'!$B$30</f>
        <v>0</v>
      </c>
      <c r="M14" s="42" t="n">
        <f aca="false">'Plan-Kosten'!T$58</f>
        <v>522.264333333333</v>
      </c>
      <c r="N14" s="42" t="n">
        <f aca="false">'Plan-Kosten'!T$55</f>
        <v>0</v>
      </c>
      <c r="O14" s="48" t="n">
        <f aca="false">I14+J14+K14+L14+M14+N14</f>
        <v>527.863485333333</v>
      </c>
      <c r="P14" s="30" t="n">
        <f aca="false">H14-O14</f>
        <v>-435.341885333333</v>
      </c>
      <c r="Q14" s="42" t="n">
        <f aca="false">MAX(0,P14*'Plan-Annahmen'!$B$69)</f>
        <v>0</v>
      </c>
      <c r="R14" s="48" t="n">
        <f aca="false">P14-Q14</f>
        <v>-435.341885333333</v>
      </c>
      <c r="S14" s="48" t="n">
        <f aca="false">S13+R14</f>
        <v>-6018.244452</v>
      </c>
      <c r="T14" s="42" t="n">
        <f aca="false">T13+'Plan-Kosten'!T$56</f>
        <v>2000</v>
      </c>
      <c r="U14" s="30" t="n">
        <f aca="false">S14-T14</f>
        <v>-8018.244452</v>
      </c>
      <c r="V14" s="26" t="n">
        <f aca="false">IF(P14&gt;0,1,0)</f>
        <v>0</v>
      </c>
      <c r="W14" s="82" t="n">
        <f aca="false">'Plan-Kunden'!P14</f>
        <v>43.70712</v>
      </c>
      <c r="X14" s="95" t="n">
        <f aca="false">'Plan-Kunden'!Q14</f>
        <v>0</v>
      </c>
      <c r="Y14" s="95" t="n">
        <f aca="false">IF(D14&gt;='Plan-Phase B'!$C$21,1,0)</f>
        <v>0</v>
      </c>
      <c r="Z14" s="95" t="n">
        <f aca="false">IF(D14&gt;='Plan-Phase B'!$D$21,1,0)</f>
        <v>0</v>
      </c>
      <c r="AA14" s="95" t="n">
        <f aca="false">IF(D14&gt;='Plan-Phase B'!$E$21,1,0)</f>
        <v>0</v>
      </c>
      <c r="AB14" s="26" t="n">
        <f aca="false">IF(AND(U14&gt;=0,A14&gt;$K$6),1,0)</f>
        <v>0</v>
      </c>
    </row>
    <row r="15" customFormat="false" ht="15" hidden="false" customHeight="false" outlineLevel="0" collapsed="false">
      <c r="A15" s="26" t="n">
        <v>8</v>
      </c>
      <c r="B15" s="78" t="n">
        <f aca="false">'Plan-Kunden'!B15</f>
        <v>46478</v>
      </c>
      <c r="C15" s="82" t="n">
        <f aca="false">'Plan-Kunden'!E15</f>
        <v>0.25</v>
      </c>
      <c r="D15" s="82" t="n">
        <f aca="false">'Plan-Kunden'!K15</f>
        <v>3.376592</v>
      </c>
      <c r="E15" s="82" t="n">
        <f aca="false">'Plan-Kunden'!I15</f>
        <v>3.376592</v>
      </c>
      <c r="F15" s="82" t="n">
        <f aca="false">'Plan-Kunden'!J15</f>
        <v>0</v>
      </c>
      <c r="G15" s="94" t="n">
        <f aca="false">D15*'Plan-Annahmen'!$B$32</f>
        <v>27.012736</v>
      </c>
      <c r="H15" s="42" t="n">
        <f aca="false">E15*'Plan-Annahmen'!$B$47+F15*'Plan-Annahmen'!$B$48</f>
        <v>97.921168</v>
      </c>
      <c r="I15" s="42" t="n">
        <f aca="false">H15*('Plan-Annahmen'!$B$33+'Plan-Annahmen'!$B$34)</f>
        <v>2.93763504</v>
      </c>
      <c r="J15" s="42" t="n">
        <f aca="false">E15*('Plan-Annahmen'!$B$47*'Plan-Annahmen'!$B$51+'Plan-Annahmen'!$B$52)+F15*('Plan-Annahmen'!$B$48*'Plan-Annahmen'!$B$51+'Plan-Annahmen'!$B$52)</f>
        <v>2.31296552</v>
      </c>
      <c r="K15" s="42" t="n">
        <f aca="false">G15*'Plan-Annahmen'!$B$50/100</f>
        <v>0.6753184</v>
      </c>
      <c r="L15" s="42" t="n">
        <f aca="false">'Plan-Kunden'!D15*'Plan-Annahmen'!$B$48*'Plan-Annahmen'!$B$30</f>
        <v>0</v>
      </c>
      <c r="M15" s="42" t="n">
        <f aca="false">'Plan-Kosten'!U$58</f>
        <v>622.264333333333</v>
      </c>
      <c r="N15" s="42" t="n">
        <f aca="false">'Plan-Kosten'!U$55</f>
        <v>0</v>
      </c>
      <c r="O15" s="48" t="n">
        <f aca="false">I15+J15+K15+L15+M15+N15</f>
        <v>628.190252293333</v>
      </c>
      <c r="P15" s="30" t="n">
        <f aca="false">H15-O15</f>
        <v>-530.269084293333</v>
      </c>
      <c r="Q15" s="42" t="n">
        <f aca="false">MAX(0,P15*'Plan-Annahmen'!$B$69)</f>
        <v>0</v>
      </c>
      <c r="R15" s="48" t="n">
        <f aca="false">P15-Q15</f>
        <v>-530.269084293333</v>
      </c>
      <c r="S15" s="48" t="n">
        <f aca="false">S14+R15</f>
        <v>-6548.51353629333</v>
      </c>
      <c r="T15" s="42" t="n">
        <f aca="false">T14+'Plan-Kosten'!U$56</f>
        <v>2000</v>
      </c>
      <c r="U15" s="30" t="n">
        <f aca="false">S15-T15</f>
        <v>-8548.51353629333</v>
      </c>
      <c r="V15" s="26" t="n">
        <f aca="false">IF(P15&gt;0,1,0)</f>
        <v>0</v>
      </c>
      <c r="W15" s="82" t="n">
        <f aca="false">'Plan-Kunden'!P15</f>
        <v>46.7629776</v>
      </c>
      <c r="X15" s="95" t="n">
        <f aca="false">'Plan-Kunden'!Q15</f>
        <v>0</v>
      </c>
      <c r="Y15" s="95" t="n">
        <f aca="false">IF(D15&gt;='Plan-Phase B'!$C$21,1,0)</f>
        <v>0</v>
      </c>
      <c r="Z15" s="95" t="n">
        <f aca="false">IF(D15&gt;='Plan-Phase B'!$D$21,1,0)</f>
        <v>0</v>
      </c>
      <c r="AA15" s="95" t="n">
        <f aca="false">IF(D15&gt;='Plan-Phase B'!$E$21,1,0)</f>
        <v>0</v>
      </c>
      <c r="AB15" s="26" t="n">
        <f aca="false">IF(AND(U15&gt;=0,A15&gt;$K$6),1,0)</f>
        <v>0</v>
      </c>
    </row>
    <row r="16" customFormat="false" ht="15" hidden="false" customHeight="false" outlineLevel="0" collapsed="false">
      <c r="A16" s="26" t="n">
        <v>9</v>
      </c>
      <c r="B16" s="78" t="n">
        <f aca="false">'Plan-Kunden'!B16</f>
        <v>46508</v>
      </c>
      <c r="C16" s="82" t="n">
        <f aca="false">'Plan-Kunden'!E16</f>
        <v>0.253333333333333</v>
      </c>
      <c r="D16" s="82" t="n">
        <f aca="false">'Plan-Kunden'!K16</f>
        <v>3.56239349333333</v>
      </c>
      <c r="E16" s="82" t="n">
        <f aca="false">'Plan-Kunden'!I16</f>
        <v>3.56239349333333</v>
      </c>
      <c r="F16" s="82" t="n">
        <f aca="false">'Plan-Kunden'!J16</f>
        <v>0</v>
      </c>
      <c r="G16" s="94" t="n">
        <f aca="false">D16*'Plan-Annahmen'!$B$32</f>
        <v>28.4991479466667</v>
      </c>
      <c r="H16" s="42" t="n">
        <f aca="false">E16*'Plan-Annahmen'!$B$47+F16*'Plan-Annahmen'!$B$48</f>
        <v>103.309411306667</v>
      </c>
      <c r="I16" s="42" t="n">
        <f aca="false">H16*('Plan-Annahmen'!$B$33+'Plan-Annahmen'!$B$34)</f>
        <v>3.0992823392</v>
      </c>
      <c r="J16" s="42" t="n">
        <f aca="false">E16*('Plan-Annahmen'!$B$47*'Plan-Annahmen'!$B$51+'Plan-Annahmen'!$B$52)+F16*('Plan-Annahmen'!$B$48*'Plan-Annahmen'!$B$51+'Plan-Annahmen'!$B$52)</f>
        <v>2.44023954293333</v>
      </c>
      <c r="K16" s="42" t="n">
        <f aca="false">G16*'Plan-Annahmen'!$B$50/100</f>
        <v>0.712478698666667</v>
      </c>
      <c r="L16" s="42" t="n">
        <f aca="false">'Plan-Kunden'!D16*'Plan-Annahmen'!$B$48*'Plan-Annahmen'!$B$30</f>
        <v>0</v>
      </c>
      <c r="M16" s="42" t="n">
        <f aca="false">'Plan-Kosten'!V$58</f>
        <v>522.264333333333</v>
      </c>
      <c r="N16" s="42" t="n">
        <f aca="false">'Plan-Kosten'!V$55</f>
        <v>0</v>
      </c>
      <c r="O16" s="48" t="n">
        <f aca="false">I16+J16+K16+L16+M16+N16</f>
        <v>528.516333914133</v>
      </c>
      <c r="P16" s="30" t="n">
        <f aca="false">H16-O16</f>
        <v>-425.206922607467</v>
      </c>
      <c r="Q16" s="42" t="n">
        <f aca="false">MAX(0,P16*'Plan-Annahmen'!$B$69)</f>
        <v>0</v>
      </c>
      <c r="R16" s="48" t="n">
        <f aca="false">P16-Q16</f>
        <v>-425.206922607467</v>
      </c>
      <c r="S16" s="48" t="n">
        <f aca="false">S15+R16</f>
        <v>-6973.7204589008</v>
      </c>
      <c r="T16" s="42" t="n">
        <f aca="false">T15+'Plan-Kosten'!V$56</f>
        <v>2000</v>
      </c>
      <c r="U16" s="30" t="n">
        <f aca="false">S16-T16</f>
        <v>-8973.7204589008</v>
      </c>
      <c r="V16" s="26" t="n">
        <f aca="false">IF(P16&gt;0,1,0)</f>
        <v>0</v>
      </c>
      <c r="W16" s="82" t="n">
        <f aca="false">'Plan-Kunden'!P16</f>
        <v>46.8220513813333</v>
      </c>
      <c r="X16" s="95" t="n">
        <f aca="false">'Plan-Kunden'!Q16</f>
        <v>0</v>
      </c>
      <c r="Y16" s="95" t="n">
        <f aca="false">IF(D16&gt;='Plan-Phase B'!$C$21,1,0)</f>
        <v>0</v>
      </c>
      <c r="Z16" s="95" t="n">
        <f aca="false">IF(D16&gt;='Plan-Phase B'!$D$21,1,0)</f>
        <v>0</v>
      </c>
      <c r="AA16" s="95" t="n">
        <f aca="false">IF(D16&gt;='Plan-Phase B'!$E$21,1,0)</f>
        <v>0</v>
      </c>
      <c r="AB16" s="26" t="n">
        <f aca="false">IF(AND(U16&gt;=0,A16&gt;$K$6),1,0)</f>
        <v>0</v>
      </c>
    </row>
    <row r="17" customFormat="false" ht="15" hidden="false" customHeight="false" outlineLevel="0" collapsed="false">
      <c r="A17" s="26" t="n">
        <v>10</v>
      </c>
      <c r="B17" s="78" t="n">
        <f aca="false">'Plan-Kunden'!B17</f>
        <v>46539</v>
      </c>
      <c r="C17" s="82" t="n">
        <f aca="false">'Plan-Kunden'!E17</f>
        <v>0.7566</v>
      </c>
      <c r="D17" s="82" t="n">
        <f aca="false">'Plan-Kunden'!K17</f>
        <v>4.24774562346667</v>
      </c>
      <c r="E17" s="82" t="n">
        <f aca="false">'Plan-Kunden'!I17</f>
        <v>4.24774562346667</v>
      </c>
      <c r="F17" s="82" t="n">
        <f aca="false">'Plan-Kunden'!J17</f>
        <v>0</v>
      </c>
      <c r="G17" s="94" t="n">
        <f aca="false">D17*'Plan-Annahmen'!$B$32</f>
        <v>33.9819649877333</v>
      </c>
      <c r="H17" s="42" t="n">
        <f aca="false">E17*'Plan-Annahmen'!$B$47+F17*'Plan-Annahmen'!$B$48</f>
        <v>123.184623080533</v>
      </c>
      <c r="I17" s="42" t="n">
        <f aca="false">H17*('Plan-Annahmen'!$B$33+'Plan-Annahmen'!$B$34)</f>
        <v>3.695538692416</v>
      </c>
      <c r="J17" s="42" t="n">
        <f aca="false">E17*('Plan-Annahmen'!$B$47*'Plan-Annahmen'!$B$51+'Plan-Annahmen'!$B$52)+F17*('Plan-Annahmen'!$B$48*'Plan-Annahmen'!$B$51+'Plan-Annahmen'!$B$52)</f>
        <v>2.90970575207467</v>
      </c>
      <c r="K17" s="42" t="n">
        <f aca="false">G17*'Plan-Annahmen'!$B$50/100</f>
        <v>0.849549124693333</v>
      </c>
      <c r="L17" s="42" t="n">
        <f aca="false">'Plan-Kunden'!D17*'Plan-Annahmen'!$B$48*'Plan-Annahmen'!$B$30</f>
        <v>0</v>
      </c>
      <c r="M17" s="42" t="n">
        <f aca="false">'Plan-Kosten'!W$58</f>
        <v>620.514333333333</v>
      </c>
      <c r="N17" s="42" t="n">
        <f aca="false">'Plan-Kosten'!W$55</f>
        <v>21.5</v>
      </c>
      <c r="O17" s="48" t="n">
        <f aca="false">I17+J17+K17+L17+M17+N17</f>
        <v>649.469126902517</v>
      </c>
      <c r="P17" s="30" t="n">
        <f aca="false">H17-O17</f>
        <v>-526.284503821984</v>
      </c>
      <c r="Q17" s="42" t="n">
        <f aca="false">MAX(0,P17*'Plan-Annahmen'!$B$69)</f>
        <v>0</v>
      </c>
      <c r="R17" s="48" t="n">
        <f aca="false">P17-Q17</f>
        <v>-526.284503821984</v>
      </c>
      <c r="S17" s="48" t="n">
        <f aca="false">S16+R17</f>
        <v>-7500.00496272278</v>
      </c>
      <c r="T17" s="42" t="n">
        <f aca="false">T16+'Plan-Kosten'!W$56</f>
        <v>2000</v>
      </c>
      <c r="U17" s="30" t="n">
        <f aca="false">S17-T17</f>
        <v>-9500.00496272279</v>
      </c>
      <c r="V17" s="26" t="n">
        <f aca="false">IF(P17&gt;0,1,0)</f>
        <v>0</v>
      </c>
      <c r="W17" s="82" t="n">
        <f aca="false">'Plan-Kunden'!P17</f>
        <v>46.53092368704</v>
      </c>
      <c r="X17" s="95" t="n">
        <f aca="false">'Plan-Kunden'!Q17</f>
        <v>0</v>
      </c>
      <c r="Y17" s="95" t="n">
        <f aca="false">IF(D17&gt;='Plan-Phase B'!$C$21,1,0)</f>
        <v>0</v>
      </c>
      <c r="Z17" s="95" t="n">
        <f aca="false">IF(D17&gt;='Plan-Phase B'!$D$21,1,0)</f>
        <v>0</v>
      </c>
      <c r="AA17" s="95" t="n">
        <f aca="false">IF(D17&gt;='Plan-Phase B'!$E$21,1,0)</f>
        <v>0</v>
      </c>
      <c r="AB17" s="26" t="n">
        <f aca="false">IF(AND(U17&gt;=0,A17&gt;$K$6),1,0)</f>
        <v>0</v>
      </c>
    </row>
    <row r="18" customFormat="false" ht="15" hidden="false" customHeight="false" outlineLevel="0" collapsed="false">
      <c r="A18" s="26" t="n">
        <v>11</v>
      </c>
      <c r="B18" s="78" t="n">
        <f aca="false">'Plan-Kunden'!B18</f>
        <v>46569</v>
      </c>
      <c r="C18" s="82" t="n">
        <f aca="false">'Plan-Kunden'!E18</f>
        <v>0.260634666666667</v>
      </c>
      <c r="D18" s="82" t="n">
        <f aca="false">'Plan-Kunden'!K18</f>
        <v>4.423425377664</v>
      </c>
      <c r="E18" s="82" t="n">
        <f aca="false">'Plan-Kunden'!I18</f>
        <v>4.423425377664</v>
      </c>
      <c r="F18" s="82" t="n">
        <f aca="false">'Plan-Kunden'!J18</f>
        <v>0</v>
      </c>
      <c r="G18" s="94" t="n">
        <f aca="false">D18*'Plan-Annahmen'!$B$32</f>
        <v>35.387403021312</v>
      </c>
      <c r="H18" s="42" t="n">
        <f aca="false">E18*'Plan-Annahmen'!$B$47+F18*'Plan-Annahmen'!$B$48</f>
        <v>128.279335952256</v>
      </c>
      <c r="I18" s="42" t="n">
        <f aca="false">H18*('Plan-Annahmen'!$B$33+'Plan-Annahmen'!$B$34)</f>
        <v>3.84838007856768</v>
      </c>
      <c r="J18" s="42" t="n">
        <f aca="false">E18*('Plan-Annahmen'!$B$47*'Plan-Annahmen'!$B$51+'Plan-Annahmen'!$B$52)+F18*('Plan-Annahmen'!$B$48*'Plan-Annahmen'!$B$51+'Plan-Annahmen'!$B$52)</f>
        <v>3.03004638369984</v>
      </c>
      <c r="K18" s="42" t="n">
        <f aca="false">G18*'Plan-Annahmen'!$B$50/100</f>
        <v>0.8846850755328</v>
      </c>
      <c r="L18" s="42" t="n">
        <f aca="false">'Plan-Kunden'!D18*'Plan-Annahmen'!$B$48*'Plan-Annahmen'!$B$30</f>
        <v>0</v>
      </c>
      <c r="M18" s="42" t="n">
        <f aca="false">'Plan-Kosten'!X$58</f>
        <v>520.514333333333</v>
      </c>
      <c r="N18" s="42" t="n">
        <f aca="false">'Plan-Kosten'!X$55</f>
        <v>0</v>
      </c>
      <c r="O18" s="48" t="n">
        <f aca="false">I18+J18+K18+L18+M18+N18</f>
        <v>528.277444871134</v>
      </c>
      <c r="P18" s="30" t="n">
        <f aca="false">H18-O18</f>
        <v>-399.998108918878</v>
      </c>
      <c r="Q18" s="42" t="n">
        <f aca="false">MAX(0,P18*'Plan-Annahmen'!$B$69)</f>
        <v>0</v>
      </c>
      <c r="R18" s="48" t="n">
        <f aca="false">P18-Q18</f>
        <v>-399.998108918878</v>
      </c>
      <c r="S18" s="48" t="n">
        <f aca="false">S17+R18</f>
        <v>-7900.00307164166</v>
      </c>
      <c r="T18" s="42" t="n">
        <f aca="false">T17+'Plan-Kosten'!X$56</f>
        <v>2000</v>
      </c>
      <c r="U18" s="30" t="n">
        <f aca="false">S18-T18</f>
        <v>-9900.00307164166</v>
      </c>
      <c r="V18" s="26" t="n">
        <f aca="false">IF(P18&gt;0,1,0)</f>
        <v>0</v>
      </c>
      <c r="W18" s="82" t="n">
        <f aca="false">'Plan-Kunden'!P18</f>
        <v>46.0876622799659</v>
      </c>
      <c r="X18" s="95" t="n">
        <f aca="false">'Plan-Kunden'!Q18</f>
        <v>0</v>
      </c>
      <c r="Y18" s="95" t="n">
        <f aca="false">IF(D18&gt;='Plan-Phase B'!$C$21,1,0)</f>
        <v>0</v>
      </c>
      <c r="Z18" s="95" t="n">
        <f aca="false">IF(D18&gt;='Plan-Phase B'!$D$21,1,0)</f>
        <v>0</v>
      </c>
      <c r="AA18" s="95" t="n">
        <f aca="false">IF(D18&gt;='Plan-Phase B'!$E$21,1,0)</f>
        <v>0</v>
      </c>
      <c r="AB18" s="26" t="n">
        <f aca="false">IF(AND(U18&gt;=0,A18&gt;$K$6),1,0)</f>
        <v>0</v>
      </c>
    </row>
    <row r="19" customFormat="false" ht="15" hidden="false" customHeight="false" outlineLevel="0" collapsed="false">
      <c r="A19" s="26" t="n">
        <v>12</v>
      </c>
      <c r="B19" s="78" t="n">
        <f aca="false">'Plan-Kunden'!B19</f>
        <v>46600</v>
      </c>
      <c r="C19" s="82" t="n">
        <f aca="false">'Plan-Kunden'!E19</f>
        <v>0.261255306666667</v>
      </c>
      <c r="D19" s="82" t="n">
        <f aca="false">'Plan-Kunden'!K19</f>
        <v>4.59621217677739</v>
      </c>
      <c r="E19" s="82" t="n">
        <f aca="false">'Plan-Kunden'!I19</f>
        <v>4.59621217677739</v>
      </c>
      <c r="F19" s="82" t="n">
        <f aca="false">'Plan-Kunden'!J19</f>
        <v>0</v>
      </c>
      <c r="G19" s="94" t="n">
        <f aca="false">D19*'Plan-Annahmen'!$B$32</f>
        <v>36.7696974142191</v>
      </c>
      <c r="H19" s="42" t="n">
        <f aca="false">E19*'Plan-Annahmen'!$B$47+F19*'Plan-Annahmen'!$B$48</f>
        <v>133.290153126544</v>
      </c>
      <c r="I19" s="42" t="n">
        <f aca="false">H19*('Plan-Annahmen'!$B$33+'Plan-Annahmen'!$B$34)</f>
        <v>3.99870459379633</v>
      </c>
      <c r="J19" s="42" t="n">
        <f aca="false">E19*('Plan-Annahmen'!$B$47*'Plan-Annahmen'!$B$51+'Plan-Annahmen'!$B$52)+F19*('Plan-Annahmen'!$B$48*'Plan-Annahmen'!$B$51+'Plan-Annahmen'!$B$52)</f>
        <v>3.14840534109251</v>
      </c>
      <c r="K19" s="42" t="n">
        <f aca="false">G19*'Plan-Annahmen'!$B$50/100</f>
        <v>0.919242435355477</v>
      </c>
      <c r="L19" s="42" t="n">
        <f aca="false">'Plan-Kunden'!D19*'Plan-Annahmen'!$B$48*'Plan-Annahmen'!$B$30</f>
        <v>0</v>
      </c>
      <c r="M19" s="42" t="n">
        <f aca="false">'Plan-Kosten'!Y$58</f>
        <v>620.514333333333</v>
      </c>
      <c r="N19" s="42" t="n">
        <f aca="false">'Plan-Kosten'!Y$55</f>
        <v>0</v>
      </c>
      <c r="O19" s="48" t="n">
        <f aca="false">I19+J19+K19+L19+M19+N19</f>
        <v>628.580685703578</v>
      </c>
      <c r="P19" s="30" t="n">
        <f aca="false">H19-O19</f>
        <v>-495.290532577033</v>
      </c>
      <c r="Q19" s="42" t="n">
        <f aca="false">MAX(0,P19*'Plan-Annahmen'!$B$69)</f>
        <v>0</v>
      </c>
      <c r="R19" s="48" t="n">
        <f aca="false">P19-Q19</f>
        <v>-495.290532577033</v>
      </c>
      <c r="S19" s="48" t="n">
        <f aca="false">S18+R19</f>
        <v>-8395.2936042187</v>
      </c>
      <c r="T19" s="42" t="n">
        <f aca="false">T18+'Plan-Kosten'!Y$56</f>
        <v>2000</v>
      </c>
      <c r="U19" s="30" t="n">
        <f aca="false">S19-T19</f>
        <v>-10395.2936042187</v>
      </c>
      <c r="V19" s="26" t="n">
        <f aca="false">IF(P19&gt;0,1,0)</f>
        <v>0</v>
      </c>
      <c r="W19" s="82" t="n">
        <f aca="false">'Plan-Kunden'!P19</f>
        <v>46.1401189596999</v>
      </c>
      <c r="X19" s="95" t="n">
        <f aca="false">'Plan-Kunden'!Q19</f>
        <v>0</v>
      </c>
      <c r="Y19" s="95" t="n">
        <f aca="false">IF(D19&gt;='Plan-Phase B'!$C$21,1,0)</f>
        <v>0</v>
      </c>
      <c r="Z19" s="95" t="n">
        <f aca="false">IF(D19&gt;='Plan-Phase B'!$D$21,1,0)</f>
        <v>0</v>
      </c>
      <c r="AA19" s="95" t="n">
        <f aca="false">IF(D19&gt;='Plan-Phase B'!$E$21,1,0)</f>
        <v>0</v>
      </c>
      <c r="AB19" s="26" t="n">
        <f aca="false">IF(AND(U19&gt;=0,A19&gt;$K$6),1,0)</f>
        <v>0</v>
      </c>
    </row>
    <row r="20" customFormat="false" ht="15" hidden="false" customHeight="false" outlineLevel="0" collapsed="false">
      <c r="A20" s="26" t="n">
        <v>13</v>
      </c>
      <c r="B20" s="78" t="n">
        <f aca="false">'Plan-Kunden'!B20</f>
        <v>46631</v>
      </c>
      <c r="C20" s="82" t="n">
        <f aca="false">'Plan-Kunden'!E20</f>
        <v>0.761874644977778</v>
      </c>
      <c r="D20" s="82" t="n">
        <f aca="false">'Plan-Kunden'!K20</f>
        <v>5.26616257821962</v>
      </c>
      <c r="E20" s="82" t="n">
        <f aca="false">'Plan-Kunden'!I20</f>
        <v>5.26616257821962</v>
      </c>
      <c r="F20" s="82" t="n">
        <f aca="false">'Plan-Kunden'!J20</f>
        <v>0</v>
      </c>
      <c r="G20" s="94" t="n">
        <f aca="false">D20*'Plan-Annahmen'!$B$32</f>
        <v>42.1293006257569</v>
      </c>
      <c r="H20" s="42" t="n">
        <f aca="false">E20*'Plan-Annahmen'!$B$47+F20*'Plan-Annahmen'!$B$48</f>
        <v>152.718714768369</v>
      </c>
      <c r="I20" s="42" t="n">
        <f aca="false">H20*('Plan-Annahmen'!$B$33+'Plan-Annahmen'!$B$34)</f>
        <v>4.58156144305107</v>
      </c>
      <c r="J20" s="42" t="n">
        <f aca="false">E20*('Plan-Annahmen'!$B$47*'Plan-Annahmen'!$B$51+'Plan-Annahmen'!$B$52)+F20*('Plan-Annahmen'!$B$48*'Plan-Annahmen'!$B$51+'Plan-Annahmen'!$B$52)</f>
        <v>3.60732136608044</v>
      </c>
      <c r="K20" s="42" t="n">
        <f aca="false">G20*'Plan-Annahmen'!$B$50/100</f>
        <v>1.05323251564392</v>
      </c>
      <c r="L20" s="42" t="n">
        <f aca="false">'Plan-Kunden'!D20*'Plan-Annahmen'!$B$48*'Plan-Annahmen'!$B$30</f>
        <v>0</v>
      </c>
      <c r="M20" s="42" t="n">
        <f aca="false">'Plan-Kosten'!Z$58</f>
        <v>533.014333333333</v>
      </c>
      <c r="N20" s="42" t="n">
        <f aca="false">'Plan-Kosten'!Z$55</f>
        <v>0</v>
      </c>
      <c r="O20" s="48" t="n">
        <f aca="false">I20+J20+K20+L20+M20+N20</f>
        <v>542.256448658109</v>
      </c>
      <c r="P20" s="30" t="n">
        <f aca="false">H20-O20</f>
        <v>-389.53773388974</v>
      </c>
      <c r="Q20" s="42" t="n">
        <f aca="false">MAX(0,P20*'Plan-Annahmen'!$B$69)</f>
        <v>0</v>
      </c>
      <c r="R20" s="48" t="n">
        <f aca="false">P20-Q20</f>
        <v>-389.53773388974</v>
      </c>
      <c r="S20" s="48" t="n">
        <f aca="false">S19+R20</f>
        <v>-8784.83133810844</v>
      </c>
      <c r="T20" s="42" t="n">
        <f aca="false">T19+'Plan-Kosten'!Z$56</f>
        <v>2000</v>
      </c>
      <c r="U20" s="30" t="n">
        <f aca="false">S20-T20</f>
        <v>-10784.8313381084</v>
      </c>
      <c r="V20" s="26" t="n">
        <f aca="false">IF(P20&gt;0,1,0)</f>
        <v>0</v>
      </c>
      <c r="W20" s="82" t="n">
        <f aca="false">'Plan-Kunden'!P20</f>
        <v>46.8417234184437</v>
      </c>
      <c r="X20" s="95" t="n">
        <f aca="false">'Plan-Kunden'!Q20</f>
        <v>0</v>
      </c>
      <c r="Y20" s="95" t="n">
        <f aca="false">IF(D20&gt;='Plan-Phase B'!$C$21,1,0)</f>
        <v>0</v>
      </c>
      <c r="Z20" s="95" t="n">
        <f aca="false">IF(D20&gt;='Plan-Phase B'!$D$21,1,0)</f>
        <v>0</v>
      </c>
      <c r="AA20" s="95" t="n">
        <f aca="false">IF(D20&gt;='Plan-Phase B'!$E$21,1,0)</f>
        <v>0</v>
      </c>
      <c r="AB20" s="26" t="n">
        <f aca="false">IF(AND(U20&gt;=0,A20&gt;$K$6),1,0)</f>
        <v>0</v>
      </c>
    </row>
    <row r="21" customFormat="false" ht="15" hidden="false" customHeight="false" outlineLevel="0" collapsed="false">
      <c r="A21" s="26" t="n">
        <v>14</v>
      </c>
      <c r="B21" s="78" t="n">
        <f aca="false">'Plan-Kunden'!B21</f>
        <v>46661</v>
      </c>
      <c r="C21" s="82" t="n">
        <f aca="false">'Plan-Kunden'!E21</f>
        <v>0.764159152078222</v>
      </c>
      <c r="D21" s="82" t="n">
        <f aca="false">'Plan-Kunden'!K21</f>
        <v>5.92499847873345</v>
      </c>
      <c r="E21" s="82" t="n">
        <f aca="false">'Plan-Kunden'!I21</f>
        <v>5.92499847873345</v>
      </c>
      <c r="F21" s="82" t="n">
        <f aca="false">'Plan-Kunden'!J21</f>
        <v>0</v>
      </c>
      <c r="G21" s="94" t="n">
        <f aca="false">D21*'Plan-Annahmen'!$B$32</f>
        <v>47.3999878298676</v>
      </c>
      <c r="H21" s="42" t="n">
        <f aca="false">E21*'Plan-Annahmen'!$B$47+F21*'Plan-Annahmen'!$B$48</f>
        <v>171.82495588327</v>
      </c>
      <c r="I21" s="42" t="n">
        <f aca="false">H21*('Plan-Annahmen'!$B$33+'Plan-Annahmen'!$B$34)</f>
        <v>5.1547486764981</v>
      </c>
      <c r="J21" s="42" t="n">
        <f aca="false">E21*('Plan-Annahmen'!$B$47*'Plan-Annahmen'!$B$51+'Plan-Annahmen'!$B$52)+F21*('Plan-Annahmen'!$B$48*'Plan-Annahmen'!$B$51+'Plan-Annahmen'!$B$52)</f>
        <v>4.05862395793241</v>
      </c>
      <c r="K21" s="42" t="n">
        <f aca="false">G21*'Plan-Annahmen'!$B$50/100</f>
        <v>1.18499969574669</v>
      </c>
      <c r="L21" s="42" t="n">
        <f aca="false">'Plan-Kunden'!D21*'Plan-Annahmen'!$B$48*'Plan-Annahmen'!$B$30</f>
        <v>0</v>
      </c>
      <c r="M21" s="42" t="n">
        <f aca="false">'Plan-Kosten'!AA$58</f>
        <v>633.014333333333</v>
      </c>
      <c r="N21" s="42" t="n">
        <f aca="false">'Plan-Kosten'!AA$55</f>
        <v>0</v>
      </c>
      <c r="O21" s="48" t="n">
        <f aca="false">I21+J21+K21+L21+M21+N21</f>
        <v>643.412705663511</v>
      </c>
      <c r="P21" s="30" t="n">
        <f aca="false">H21-O21</f>
        <v>-471.587749780241</v>
      </c>
      <c r="Q21" s="42" t="n">
        <f aca="false">MAX(0,P21*'Plan-Annahmen'!$B$69)</f>
        <v>0</v>
      </c>
      <c r="R21" s="48" t="n">
        <f aca="false">P21-Q21</f>
        <v>-471.587749780241</v>
      </c>
      <c r="S21" s="48" t="n">
        <f aca="false">S20+R21</f>
        <v>-9256.41908788868</v>
      </c>
      <c r="T21" s="42" t="n">
        <f aca="false">T20+'Plan-Kosten'!AA$56</f>
        <v>2000</v>
      </c>
      <c r="U21" s="30" t="n">
        <f aca="false">S21-T21</f>
        <v>-11256.4190878887</v>
      </c>
      <c r="V21" s="26" t="n">
        <f aca="false">IF(P21&gt;0,1,0)</f>
        <v>0</v>
      </c>
      <c r="W21" s="82" t="n">
        <f aca="false">'Plan-Kunden'!P21</f>
        <v>47.0416586956983</v>
      </c>
      <c r="X21" s="95" t="n">
        <f aca="false">'Plan-Kunden'!Q21</f>
        <v>0</v>
      </c>
      <c r="Y21" s="95" t="n">
        <f aca="false">IF(D21&gt;='Plan-Phase B'!$C$21,1,0)</f>
        <v>0</v>
      </c>
      <c r="Z21" s="95" t="n">
        <f aca="false">IF(D21&gt;='Plan-Phase B'!$D$21,1,0)</f>
        <v>0</v>
      </c>
      <c r="AA21" s="95" t="n">
        <f aca="false">IF(D21&gt;='Plan-Phase B'!$E$21,1,0)</f>
        <v>0</v>
      </c>
      <c r="AB21" s="26" t="n">
        <f aca="false">IF(AND(U21&gt;=0,A21&gt;$K$6),1,0)</f>
        <v>0</v>
      </c>
    </row>
    <row r="22" customFormat="false" ht="15" hidden="false" customHeight="false" outlineLevel="0" collapsed="false">
      <c r="A22" s="26" t="n">
        <v>15</v>
      </c>
      <c r="B22" s="78" t="n">
        <f aca="false">'Plan-Kunden'!B22</f>
        <v>46692</v>
      </c>
      <c r="C22" s="82" t="n">
        <f aca="false">'Plan-Kunden'!E22</f>
        <v>0.76474475125888</v>
      </c>
      <c r="D22" s="82" t="n">
        <f aca="false">'Plan-Kunden'!K22</f>
        <v>6.57124326041766</v>
      </c>
      <c r="E22" s="82" t="n">
        <f aca="false">'Plan-Kunden'!I22</f>
        <v>6.57124326041766</v>
      </c>
      <c r="F22" s="82" t="n">
        <f aca="false">'Plan-Kunden'!J22</f>
        <v>0</v>
      </c>
      <c r="G22" s="94" t="n">
        <f aca="false">D22*'Plan-Annahmen'!$B$32</f>
        <v>52.5699460833413</v>
      </c>
      <c r="H22" s="42" t="n">
        <f aca="false">E22*'Plan-Annahmen'!$B$47+F22*'Plan-Annahmen'!$B$48</f>
        <v>190.566054552112</v>
      </c>
      <c r="I22" s="42" t="n">
        <f aca="false">H22*('Plan-Annahmen'!$B$33+'Plan-Annahmen'!$B$34)</f>
        <v>5.71698163656336</v>
      </c>
      <c r="J22" s="42" t="n">
        <f aca="false">E22*('Plan-Annahmen'!$B$47*'Plan-Annahmen'!$B$51+'Plan-Annahmen'!$B$52)+F22*('Plan-Annahmen'!$B$48*'Plan-Annahmen'!$B$51+'Plan-Annahmen'!$B$52)</f>
        <v>4.50130163338609</v>
      </c>
      <c r="K22" s="42" t="n">
        <f aca="false">G22*'Plan-Annahmen'!$B$50/100</f>
        <v>1.31424865208353</v>
      </c>
      <c r="L22" s="42" t="n">
        <f aca="false">'Plan-Kunden'!D22*'Plan-Annahmen'!$B$48*'Plan-Annahmen'!$B$30</f>
        <v>0</v>
      </c>
      <c r="M22" s="42" t="n">
        <f aca="false">'Plan-Kosten'!AB$58</f>
        <v>533.014333333333</v>
      </c>
      <c r="N22" s="42" t="n">
        <f aca="false">'Plan-Kosten'!AB$55</f>
        <v>0</v>
      </c>
      <c r="O22" s="48" t="n">
        <f aca="false">I22+J22+K22+L22+M22+N22</f>
        <v>544.546865255366</v>
      </c>
      <c r="P22" s="30" t="n">
        <f aca="false">H22-O22</f>
        <v>-353.980810703254</v>
      </c>
      <c r="Q22" s="42" t="n">
        <f aca="false">MAX(0,P22*'Plan-Annahmen'!$B$69)</f>
        <v>0</v>
      </c>
      <c r="R22" s="48" t="n">
        <f aca="false">P22-Q22</f>
        <v>-353.980810703254</v>
      </c>
      <c r="S22" s="48" t="n">
        <f aca="false">S21+R22</f>
        <v>-9610.39989859193</v>
      </c>
      <c r="T22" s="42" t="n">
        <f aca="false">T21+'Plan-Kosten'!AB$56</f>
        <v>2000</v>
      </c>
      <c r="U22" s="30" t="n">
        <f aca="false">S22-T22</f>
        <v>-11610.3998985919</v>
      </c>
      <c r="V22" s="26" t="n">
        <f aca="false">IF(P22&gt;0,1,0)</f>
        <v>0</v>
      </c>
      <c r="W22" s="82" t="n">
        <f aca="false">'Plan-Kunden'!P22</f>
        <v>47.2361177293842</v>
      </c>
      <c r="X22" s="95" t="n">
        <f aca="false">'Plan-Kunden'!Q22</f>
        <v>0</v>
      </c>
      <c r="Y22" s="95" t="n">
        <f aca="false">IF(D22&gt;='Plan-Phase B'!$C$21,1,0)</f>
        <v>0</v>
      </c>
      <c r="Z22" s="95" t="n">
        <f aca="false">IF(D22&gt;='Plan-Phase B'!$D$21,1,0)</f>
        <v>0</v>
      </c>
      <c r="AA22" s="95" t="n">
        <f aca="false">IF(D22&gt;='Plan-Phase B'!$E$21,1,0)</f>
        <v>0</v>
      </c>
      <c r="AB22" s="26" t="n">
        <f aca="false">IF(AND(U22&gt;=0,A22&gt;$K$6),1,0)</f>
        <v>0</v>
      </c>
    </row>
    <row r="23" customFormat="false" ht="15" hidden="false" customHeight="false" outlineLevel="0" collapsed="false">
      <c r="A23" s="26" t="n">
        <v>16</v>
      </c>
      <c r="B23" s="78" t="n">
        <f aca="false">'Plan-Kunden'!B23</f>
        <v>46722</v>
      </c>
      <c r="C23" s="82" t="n">
        <f aca="false">'Plan-Kunden'!E23</f>
        <v>1.26532070725592</v>
      </c>
      <c r="D23" s="82" t="n">
        <f aca="false">'Plan-Kunden'!K23</f>
        <v>7.70513910246523</v>
      </c>
      <c r="E23" s="82" t="n">
        <f aca="false">'Plan-Kunden'!I23</f>
        <v>7.70513910246523</v>
      </c>
      <c r="F23" s="82" t="n">
        <f aca="false">'Plan-Kunden'!J23</f>
        <v>0</v>
      </c>
      <c r="G23" s="94" t="n">
        <f aca="false">D23*'Plan-Annahmen'!$B$32</f>
        <v>61.6411128197218</v>
      </c>
      <c r="H23" s="42" t="n">
        <f aca="false">E23*'Plan-Annahmen'!$B$47+F23*'Plan-Annahmen'!$B$48</f>
        <v>223.449033971492</v>
      </c>
      <c r="I23" s="42" t="n">
        <f aca="false">H23*('Plan-Annahmen'!$B$33+'Plan-Annahmen'!$B$34)</f>
        <v>6.70347101914475</v>
      </c>
      <c r="J23" s="42" t="n">
        <f aca="false">E23*('Plan-Annahmen'!$B$47*'Plan-Annahmen'!$B$51+'Plan-Annahmen'!$B$52)+F23*('Plan-Annahmen'!$B$48*'Plan-Annahmen'!$B$51+'Plan-Annahmen'!$B$52)</f>
        <v>5.27802028518868</v>
      </c>
      <c r="K23" s="42" t="n">
        <f aca="false">G23*'Plan-Annahmen'!$B$50/100</f>
        <v>1.54102782049305</v>
      </c>
      <c r="L23" s="42" t="n">
        <f aca="false">'Plan-Kunden'!D23*'Plan-Annahmen'!$B$48*'Plan-Annahmen'!$B$30</f>
        <v>0</v>
      </c>
      <c r="M23" s="42" t="n">
        <f aca="false">'Plan-Kosten'!AC$58</f>
        <v>633.014333333333</v>
      </c>
      <c r="N23" s="42" t="n">
        <f aca="false">'Plan-Kosten'!AC$55</f>
        <v>0</v>
      </c>
      <c r="O23" s="48" t="n">
        <f aca="false">I23+J23+K23+L23+M23+N23</f>
        <v>646.53685245816</v>
      </c>
      <c r="P23" s="30" t="n">
        <f aca="false">H23-O23</f>
        <v>-423.087818486668</v>
      </c>
      <c r="Q23" s="42" t="n">
        <f aca="false">MAX(0,P23*'Plan-Annahmen'!$B$69)</f>
        <v>0</v>
      </c>
      <c r="R23" s="48" t="n">
        <f aca="false">P23-Q23</f>
        <v>-423.087818486668</v>
      </c>
      <c r="S23" s="48" t="n">
        <f aca="false">S22+R23</f>
        <v>-10033.4877170786</v>
      </c>
      <c r="T23" s="42" t="n">
        <f aca="false">T22+'Plan-Kosten'!AC$56</f>
        <v>2000</v>
      </c>
      <c r="U23" s="30" t="n">
        <f aca="false">S23-T23</f>
        <v>-12033.4877170786</v>
      </c>
      <c r="V23" s="26" t="n">
        <f aca="false">IF(P23&gt;0,1,0)</f>
        <v>0</v>
      </c>
      <c r="W23" s="82" t="n">
        <f aca="false">'Plan-Kunden'!P23</f>
        <v>48.0768624379955</v>
      </c>
      <c r="X23" s="95" t="n">
        <f aca="false">'Plan-Kunden'!Q23</f>
        <v>0</v>
      </c>
      <c r="Y23" s="95" t="n">
        <f aca="false">IF(D23&gt;='Plan-Phase B'!$C$21,1,0)</f>
        <v>0</v>
      </c>
      <c r="Z23" s="95" t="n">
        <f aca="false">IF(D23&gt;='Plan-Phase B'!$D$21,1,0)</f>
        <v>0</v>
      </c>
      <c r="AA23" s="95" t="n">
        <f aca="false">IF(D23&gt;='Plan-Phase B'!$E$21,1,0)</f>
        <v>0</v>
      </c>
      <c r="AB23" s="26" t="n">
        <f aca="false">IF(AND(U23&gt;=0,A23&gt;$K$6),1,0)</f>
        <v>0</v>
      </c>
    </row>
    <row r="24" customFormat="false" ht="15" hidden="false" customHeight="false" outlineLevel="0" collapsed="false">
      <c r="A24" s="26" t="n">
        <v>17</v>
      </c>
      <c r="B24" s="78" t="n">
        <f aca="false">'Plan-Kunden'!B24</f>
        <v>46753</v>
      </c>
      <c r="C24" s="82" t="n">
        <f aca="false">'Plan-Kunden'!E24</f>
        <v>0.767553875260732</v>
      </c>
      <c r="D24" s="82" t="n">
        <f aca="false">'Plan-Kunden'!K24</f>
        <v>8.31859019567666</v>
      </c>
      <c r="E24" s="82" t="n">
        <f aca="false">'Plan-Kunden'!I24</f>
        <v>8.31859019567666</v>
      </c>
      <c r="F24" s="82" t="n">
        <f aca="false">'Plan-Kunden'!J24</f>
        <v>0</v>
      </c>
      <c r="G24" s="94" t="n">
        <f aca="false">D24*'Plan-Annahmen'!$B$32</f>
        <v>66.5487215654133</v>
      </c>
      <c r="H24" s="42" t="n">
        <f aca="false">E24*'Plan-Annahmen'!$B$47+F24*'Plan-Annahmen'!$B$48</f>
        <v>241.239115674623</v>
      </c>
      <c r="I24" s="42" t="n">
        <f aca="false">H24*('Plan-Annahmen'!$B$33+'Plan-Annahmen'!$B$34)</f>
        <v>7.23717347023869</v>
      </c>
      <c r="J24" s="42" t="n">
        <f aca="false">E24*('Plan-Annahmen'!$B$47*'Plan-Annahmen'!$B$51+'Plan-Annahmen'!$B$52)+F24*('Plan-Annahmen'!$B$48*'Plan-Annahmen'!$B$51+'Plan-Annahmen'!$B$52)</f>
        <v>5.69823428403851</v>
      </c>
      <c r="K24" s="42" t="n">
        <f aca="false">G24*'Plan-Annahmen'!$B$50/100</f>
        <v>1.66371803913533</v>
      </c>
      <c r="L24" s="42" t="n">
        <f aca="false">'Plan-Kunden'!D24*'Plan-Annahmen'!$B$48*'Plan-Annahmen'!$B$30</f>
        <v>0</v>
      </c>
      <c r="M24" s="42" t="n">
        <f aca="false">'Plan-Kosten'!AD$58</f>
        <v>533.014333333333</v>
      </c>
      <c r="N24" s="42" t="n">
        <f aca="false">'Plan-Kosten'!AD$55</f>
        <v>0</v>
      </c>
      <c r="O24" s="48" t="n">
        <f aca="false">I24+J24+K24+L24+M24+N24</f>
        <v>547.613459126746</v>
      </c>
      <c r="P24" s="30" t="n">
        <f aca="false">H24-O24</f>
        <v>-306.374343452123</v>
      </c>
      <c r="Q24" s="42" t="n">
        <f aca="false">MAX(0,P24*'Plan-Annahmen'!$B$69)</f>
        <v>0</v>
      </c>
      <c r="R24" s="48" t="n">
        <f aca="false">P24-Q24</f>
        <v>-306.374343452123</v>
      </c>
      <c r="S24" s="48" t="n">
        <f aca="false">S23+R24</f>
        <v>-10339.8620605307</v>
      </c>
      <c r="T24" s="42" t="n">
        <f aca="false">T23+'Plan-Kosten'!AD$56</f>
        <v>2000</v>
      </c>
      <c r="U24" s="30" t="n">
        <f aca="false">S24-T24</f>
        <v>-12339.8620605307</v>
      </c>
      <c r="V24" s="26" t="n">
        <f aca="false">IF(P24&gt;0,1,0)</f>
        <v>0</v>
      </c>
      <c r="W24" s="82" t="n">
        <f aca="false">'Plan-Kunden'!P24</f>
        <v>47.7631309339637</v>
      </c>
      <c r="X24" s="95" t="n">
        <f aca="false">'Plan-Kunden'!Q24</f>
        <v>0</v>
      </c>
      <c r="Y24" s="95" t="n">
        <f aca="false">IF(D24&gt;='Plan-Phase B'!$C$21,1,0)</f>
        <v>0</v>
      </c>
      <c r="Z24" s="95" t="n">
        <f aca="false">IF(D24&gt;='Plan-Phase B'!$D$21,1,0)</f>
        <v>0</v>
      </c>
      <c r="AA24" s="95" t="n">
        <f aca="false">IF(D24&gt;='Plan-Phase B'!$E$21,1,0)</f>
        <v>0</v>
      </c>
      <c r="AB24" s="26" t="n">
        <f aca="false">IF(AND(U24&gt;=0,A24&gt;$K$6),1,0)</f>
        <v>0</v>
      </c>
    </row>
    <row r="25" customFormat="false" ht="15" hidden="false" customHeight="false" outlineLevel="0" collapsed="false">
      <c r="A25" s="26" t="n">
        <v>18</v>
      </c>
      <c r="B25" s="78" t="n">
        <f aca="false">'Plan-Kunden'!B25</f>
        <v>46784</v>
      </c>
      <c r="C25" s="82" t="n">
        <f aca="false">'Plan-Kunden'!E25</f>
        <v>0.769749994929111</v>
      </c>
      <c r="D25" s="82" t="n">
        <f aca="false">'Plan-Kunden'!K25</f>
        <v>8.92196838669223</v>
      </c>
      <c r="E25" s="82" t="n">
        <f aca="false">'Plan-Kunden'!I25</f>
        <v>8.92196838669223</v>
      </c>
      <c r="F25" s="82" t="n">
        <f aca="false">'Plan-Kunden'!J25</f>
        <v>0</v>
      </c>
      <c r="G25" s="94" t="n">
        <f aca="false">D25*'Plan-Annahmen'!$B$32</f>
        <v>71.3757470935379</v>
      </c>
      <c r="H25" s="42" t="n">
        <f aca="false">E25*'Plan-Annahmen'!$B$47+F25*'Plan-Annahmen'!$B$48</f>
        <v>258.737083214075</v>
      </c>
      <c r="I25" s="42" t="n">
        <f aca="false">H25*('Plan-Annahmen'!$B$33+'Plan-Annahmen'!$B$34)</f>
        <v>7.76211249642224</v>
      </c>
      <c r="J25" s="42" t="n">
        <f aca="false">E25*('Plan-Annahmen'!$B$47*'Plan-Annahmen'!$B$51+'Plan-Annahmen'!$B$52)+F25*('Plan-Annahmen'!$B$48*'Plan-Annahmen'!$B$51+'Plan-Annahmen'!$B$52)</f>
        <v>6.11154834488418</v>
      </c>
      <c r="K25" s="42" t="n">
        <f aca="false">G25*'Plan-Annahmen'!$B$50/100</f>
        <v>1.78439367733845</v>
      </c>
      <c r="L25" s="42" t="n">
        <f aca="false">'Plan-Kunden'!D25*'Plan-Annahmen'!$B$48*'Plan-Annahmen'!$B$30</f>
        <v>0</v>
      </c>
      <c r="M25" s="42" t="n">
        <f aca="false">'Plan-Kosten'!AE$58</f>
        <v>633.014333333333</v>
      </c>
      <c r="N25" s="42" t="n">
        <f aca="false">'Plan-Kosten'!AE$55</f>
        <v>0</v>
      </c>
      <c r="O25" s="48" t="n">
        <f aca="false">I25+J25+K25+L25+M25+N25</f>
        <v>648.672387851978</v>
      </c>
      <c r="P25" s="30" t="n">
        <f aca="false">H25-O25</f>
        <v>-389.935304637903</v>
      </c>
      <c r="Q25" s="42" t="n">
        <f aca="false">MAX(0,P25*'Plan-Annahmen'!$B$69)</f>
        <v>0</v>
      </c>
      <c r="R25" s="48" t="n">
        <f aca="false">P25-Q25</f>
        <v>-389.935304637903</v>
      </c>
      <c r="S25" s="48" t="n">
        <f aca="false">S24+R25</f>
        <v>-10729.7973651686</v>
      </c>
      <c r="T25" s="42" t="n">
        <f aca="false">T24+'Plan-Kosten'!AE$56</f>
        <v>2000</v>
      </c>
      <c r="U25" s="30" t="n">
        <f aca="false">S25-T25</f>
        <v>-12729.7973651686</v>
      </c>
      <c r="V25" s="26" t="n">
        <f aca="false">IF(P25&gt;0,1,0)</f>
        <v>0</v>
      </c>
      <c r="W25" s="82" t="n">
        <f aca="false">'Plan-Kunden'!P25</f>
        <v>47.9463405109368</v>
      </c>
      <c r="X25" s="95" t="n">
        <f aca="false">'Plan-Kunden'!Q25</f>
        <v>0</v>
      </c>
      <c r="Y25" s="95" t="n">
        <f aca="false">IF(D25&gt;='Plan-Phase B'!$C$21,1,0)</f>
        <v>0</v>
      </c>
      <c r="Z25" s="95" t="n">
        <f aca="false">IF(D25&gt;='Plan-Phase B'!$D$21,1,0)</f>
        <v>0</v>
      </c>
      <c r="AA25" s="95" t="n">
        <f aca="false">IF(D25&gt;='Plan-Phase B'!$E$21,1,0)</f>
        <v>0</v>
      </c>
      <c r="AB25" s="26" t="n">
        <f aca="false">IF(AND(U25&gt;=0,A25&gt;$K$6),1,0)</f>
        <v>0</v>
      </c>
    </row>
    <row r="26" customFormat="false" ht="15" hidden="false" customHeight="false" outlineLevel="0" collapsed="false">
      <c r="A26" s="26" t="n">
        <v>19</v>
      </c>
      <c r="B26" s="78" t="n">
        <f aca="false">'Plan-Kunden'!B26</f>
        <v>46813</v>
      </c>
      <c r="C26" s="82" t="n">
        <f aca="false">'Plan-Kunden'!E26</f>
        <v>1.02190414420139</v>
      </c>
      <c r="D26" s="82" t="n">
        <f aca="false">'Plan-Kunden'!K26</f>
        <v>9.76543316315978</v>
      </c>
      <c r="E26" s="82" t="n">
        <f aca="false">'Plan-Kunden'!I26</f>
        <v>9.76543316315978</v>
      </c>
      <c r="F26" s="82" t="n">
        <f aca="false">'Plan-Kunden'!J26</f>
        <v>0</v>
      </c>
      <c r="G26" s="94" t="n">
        <f aca="false">D26*'Plan-Annahmen'!$B$32</f>
        <v>78.1234653052782</v>
      </c>
      <c r="H26" s="42" t="n">
        <f aca="false">E26*'Plan-Annahmen'!$B$47+F26*'Plan-Annahmen'!$B$48</f>
        <v>283.197561731634</v>
      </c>
      <c r="I26" s="42" t="n">
        <f aca="false">H26*('Plan-Annahmen'!$B$33+'Plan-Annahmen'!$B$34)</f>
        <v>8.49592685194901</v>
      </c>
      <c r="J26" s="42" t="n">
        <f aca="false">E26*('Plan-Annahmen'!$B$47*'Plan-Annahmen'!$B$51+'Plan-Annahmen'!$B$52)+F26*('Plan-Annahmen'!$B$48*'Plan-Annahmen'!$B$51+'Plan-Annahmen'!$B$52)</f>
        <v>6.68932171676445</v>
      </c>
      <c r="K26" s="42" t="n">
        <f aca="false">G26*'Plan-Annahmen'!$B$50/100</f>
        <v>1.95308663263196</v>
      </c>
      <c r="L26" s="42" t="n">
        <f aca="false">'Plan-Kunden'!D26*'Plan-Annahmen'!$B$48*'Plan-Annahmen'!$B$30</f>
        <v>0</v>
      </c>
      <c r="M26" s="42" t="n">
        <f aca="false">'Plan-Kosten'!AF$58</f>
        <v>533.014333333333</v>
      </c>
      <c r="N26" s="42" t="n">
        <f aca="false">'Plan-Kosten'!AF$55</f>
        <v>0</v>
      </c>
      <c r="O26" s="48" t="n">
        <f aca="false">I26+J26+K26+L26+M26+N26</f>
        <v>550.152668534679</v>
      </c>
      <c r="P26" s="30" t="n">
        <f aca="false">H26-O26</f>
        <v>-266.955106803045</v>
      </c>
      <c r="Q26" s="42" t="n">
        <f aca="false">MAX(0,P26*'Plan-Annahmen'!$B$69)</f>
        <v>0</v>
      </c>
      <c r="R26" s="48" t="n">
        <f aca="false">P26-Q26</f>
        <v>-266.955106803045</v>
      </c>
      <c r="S26" s="48" t="n">
        <f aca="false">S25+R26</f>
        <v>-10996.7524719717</v>
      </c>
      <c r="T26" s="42" t="n">
        <f aca="false">T25+'Plan-Kosten'!AF$56</f>
        <v>2000</v>
      </c>
      <c r="U26" s="30" t="n">
        <f aca="false">S26-T26</f>
        <v>-12996.7524719717</v>
      </c>
      <c r="V26" s="26" t="n">
        <f aca="false">IF(P26&gt;0,1,0)</f>
        <v>0</v>
      </c>
      <c r="W26" s="82" t="n">
        <f aca="false">'Plan-Kunden'!P26</f>
        <v>48.4515340931493</v>
      </c>
      <c r="X26" s="95" t="n">
        <f aca="false">'Plan-Kunden'!Q26</f>
        <v>0</v>
      </c>
      <c r="Y26" s="95" t="n">
        <f aca="false">IF(D26&gt;='Plan-Phase B'!$C$21,1,0)</f>
        <v>0</v>
      </c>
      <c r="Z26" s="95" t="n">
        <f aca="false">IF(D26&gt;='Plan-Phase B'!$D$21,1,0)</f>
        <v>0</v>
      </c>
      <c r="AA26" s="95" t="n">
        <f aca="false">IF(D26&gt;='Plan-Phase B'!$E$21,1,0)</f>
        <v>0</v>
      </c>
      <c r="AB26" s="26" t="n">
        <f aca="false">IF(AND(U26&gt;=0,A26&gt;$K$6),1,0)</f>
        <v>0</v>
      </c>
    </row>
    <row r="27" customFormat="false" ht="15" hidden="false" customHeight="false" outlineLevel="0" collapsed="false">
      <c r="A27" s="26" t="n">
        <v>20</v>
      </c>
      <c r="B27" s="78" t="n">
        <f aca="false">'Plan-Kunden'!B27</f>
        <v>46844</v>
      </c>
      <c r="C27" s="82" t="n">
        <f aca="false">'Plan-Kunden'!E27</f>
        <v>1.02568379700822</v>
      </c>
      <c r="D27" s="82" t="n">
        <f aca="false">'Plan-Kunden'!K27</f>
        <v>10.5958082969048</v>
      </c>
      <c r="E27" s="82" t="n">
        <f aca="false">'Plan-Kunden'!I27</f>
        <v>10.5958082969048</v>
      </c>
      <c r="F27" s="82" t="n">
        <f aca="false">'Plan-Kunden'!J27</f>
        <v>0</v>
      </c>
      <c r="G27" s="94" t="n">
        <f aca="false">D27*'Plan-Annahmen'!$B$32</f>
        <v>84.7664663752384</v>
      </c>
      <c r="H27" s="42" t="n">
        <f aca="false">E27*'Plan-Annahmen'!$B$47+F27*'Plan-Annahmen'!$B$48</f>
        <v>307.278440610239</v>
      </c>
      <c r="I27" s="42" t="n">
        <f aca="false">H27*('Plan-Annahmen'!$B$33+'Plan-Annahmen'!$B$34)</f>
        <v>9.21835321830718</v>
      </c>
      <c r="J27" s="42" t="n">
        <f aca="false">E27*('Plan-Annahmen'!$B$47*'Plan-Annahmen'!$B$51+'Plan-Annahmen'!$B$52)+F27*('Plan-Annahmen'!$B$48*'Plan-Annahmen'!$B$51+'Plan-Annahmen'!$B$52)</f>
        <v>7.25812868337979</v>
      </c>
      <c r="K27" s="42" t="n">
        <f aca="false">G27*'Plan-Annahmen'!$B$50/100</f>
        <v>2.11916165938096</v>
      </c>
      <c r="L27" s="42" t="n">
        <f aca="false">'Plan-Kunden'!D27*'Plan-Annahmen'!$B$48*'Plan-Annahmen'!$B$30</f>
        <v>0</v>
      </c>
      <c r="M27" s="42" t="n">
        <f aca="false">'Plan-Kosten'!AG$58</f>
        <v>633.014333333333</v>
      </c>
      <c r="N27" s="42" t="n">
        <f aca="false">'Plan-Kosten'!AG$55</f>
        <v>0</v>
      </c>
      <c r="O27" s="48" t="n">
        <f aca="false">I27+J27+K27+L27+M27+N27</f>
        <v>651.609976894401</v>
      </c>
      <c r="P27" s="30" t="n">
        <f aca="false">H27-O27</f>
        <v>-344.331536284162</v>
      </c>
      <c r="Q27" s="42" t="n">
        <f aca="false">MAX(0,P27*'Plan-Annahmen'!$B$69)</f>
        <v>0</v>
      </c>
      <c r="R27" s="48" t="n">
        <f aca="false">P27-Q27</f>
        <v>-344.331536284162</v>
      </c>
      <c r="S27" s="48" t="n">
        <f aca="false">S26+R27</f>
        <v>-11341.0840082558</v>
      </c>
      <c r="T27" s="42" t="n">
        <f aca="false">T26+'Plan-Kosten'!AG$56</f>
        <v>2000</v>
      </c>
      <c r="U27" s="30" t="n">
        <f aca="false">S27-T27</f>
        <v>-13341.0840082558</v>
      </c>
      <c r="V27" s="26" t="n">
        <f aca="false">IF(P27&gt;0,1,0)</f>
        <v>0</v>
      </c>
      <c r="W27" s="82" t="n">
        <f aca="false">'Plan-Kunden'!P27</f>
        <v>48.7044262860797</v>
      </c>
      <c r="X27" s="95" t="n">
        <f aca="false">'Plan-Kunden'!Q27</f>
        <v>0</v>
      </c>
      <c r="Y27" s="95" t="n">
        <f aca="false">IF(D27&gt;='Plan-Phase B'!$C$21,1,0)</f>
        <v>0</v>
      </c>
      <c r="Z27" s="95" t="n">
        <f aca="false">IF(D27&gt;='Plan-Phase B'!$D$21,1,0)</f>
        <v>0</v>
      </c>
      <c r="AA27" s="95" t="n">
        <f aca="false">IF(D27&gt;='Plan-Phase B'!$E$21,1,0)</f>
        <v>0</v>
      </c>
      <c r="AB27" s="26" t="n">
        <f aca="false">IF(AND(U27&gt;=0,A27&gt;$K$6),1,0)</f>
        <v>0</v>
      </c>
    </row>
    <row r="28" customFormat="false" ht="15" hidden="false" customHeight="false" outlineLevel="0" collapsed="false">
      <c r="A28" s="26" t="n">
        <v>21</v>
      </c>
      <c r="B28" s="78" t="n">
        <f aca="false">'Plan-Kunden'!B28</f>
        <v>46874</v>
      </c>
      <c r="C28" s="82" t="n">
        <f aca="false">'Plan-Kunden'!E28</f>
        <v>1.02772863398559</v>
      </c>
      <c r="D28" s="82" t="n">
        <f aca="false">'Plan-Kunden'!K28</f>
        <v>11.4116207649523</v>
      </c>
      <c r="E28" s="82" t="n">
        <f aca="false">'Plan-Kunden'!I28</f>
        <v>11.4116207649523</v>
      </c>
      <c r="F28" s="82" t="n">
        <f aca="false">'Plan-Kunden'!J28</f>
        <v>0</v>
      </c>
      <c r="G28" s="94" t="n">
        <f aca="false">D28*'Plan-Annahmen'!$B$32</f>
        <v>91.2929661196184</v>
      </c>
      <c r="H28" s="42" t="n">
        <f aca="false">E28*'Plan-Annahmen'!$B$47+F28*'Plan-Annahmen'!$B$48</f>
        <v>330.937002183617</v>
      </c>
      <c r="I28" s="42" t="n">
        <f aca="false">H28*('Plan-Annahmen'!$B$33+'Plan-Annahmen'!$B$34)</f>
        <v>9.9281100655085</v>
      </c>
      <c r="J28" s="42" t="n">
        <f aca="false">E28*('Plan-Annahmen'!$B$47*'Plan-Annahmen'!$B$51+'Plan-Annahmen'!$B$52)+F28*('Plan-Annahmen'!$B$48*'Plan-Annahmen'!$B$51+'Plan-Annahmen'!$B$52)</f>
        <v>7.81696022399232</v>
      </c>
      <c r="K28" s="42" t="n">
        <f aca="false">G28*'Plan-Annahmen'!$B$50/100</f>
        <v>2.28232415299046</v>
      </c>
      <c r="L28" s="42" t="n">
        <f aca="false">'Plan-Kunden'!D28*'Plan-Annahmen'!$B$48*'Plan-Annahmen'!$B$30</f>
        <v>0</v>
      </c>
      <c r="M28" s="42" t="n">
        <f aca="false">'Plan-Kosten'!AH$58</f>
        <v>533.014333333333</v>
      </c>
      <c r="N28" s="42" t="n">
        <f aca="false">'Plan-Kosten'!AH$55</f>
        <v>0</v>
      </c>
      <c r="O28" s="48" t="n">
        <f aca="false">I28+J28+K28+L28+M28+N28</f>
        <v>553.041727775825</v>
      </c>
      <c r="P28" s="30" t="n">
        <f aca="false">H28-O28</f>
        <v>-222.104725592208</v>
      </c>
      <c r="Q28" s="42" t="n">
        <f aca="false">MAX(0,P28*'Plan-Annahmen'!$B$69)</f>
        <v>0</v>
      </c>
      <c r="R28" s="48" t="n">
        <f aca="false">P28-Q28</f>
        <v>-222.104725592208</v>
      </c>
      <c r="S28" s="48" t="n">
        <f aca="false">S27+R28</f>
        <v>-11563.188733848</v>
      </c>
      <c r="T28" s="42" t="n">
        <f aca="false">T27+'Plan-Kosten'!AH$56</f>
        <v>2000</v>
      </c>
      <c r="U28" s="30" t="n">
        <f aca="false">S28-T28</f>
        <v>-13563.188733848</v>
      </c>
      <c r="V28" s="26" t="n">
        <f aca="false">IF(P28&gt;0,1,0)</f>
        <v>0</v>
      </c>
      <c r="W28" s="82" t="n">
        <f aca="false">'Plan-Kunden'!P28</f>
        <v>48.9512148634713</v>
      </c>
      <c r="X28" s="95" t="n">
        <f aca="false">'Plan-Kunden'!Q28</f>
        <v>0</v>
      </c>
      <c r="Y28" s="95" t="n">
        <f aca="false">IF(D28&gt;='Plan-Phase B'!$C$21,1,0)</f>
        <v>0</v>
      </c>
      <c r="Z28" s="95" t="n">
        <f aca="false">IF(D28&gt;='Plan-Phase B'!$D$21,1,0)</f>
        <v>0</v>
      </c>
      <c r="AA28" s="95" t="n">
        <f aca="false">IF(D28&gt;='Plan-Phase B'!$E$21,1,0)</f>
        <v>0</v>
      </c>
      <c r="AB28" s="26" t="n">
        <f aca="false">IF(AND(U28&gt;=0,A28&gt;$K$6),1,0)</f>
        <v>0</v>
      </c>
    </row>
    <row r="29" customFormat="false" ht="15" hidden="false" customHeight="false" outlineLevel="0" collapsed="false">
      <c r="A29" s="26" t="n">
        <v>22</v>
      </c>
      <c r="B29" s="78" t="n">
        <f aca="false">'Plan-Kunden'!B29</f>
        <v>46905</v>
      </c>
      <c r="C29" s="82" t="n">
        <f aca="false">'Plan-Kunden'!E29</f>
        <v>1.52973989462231</v>
      </c>
      <c r="D29" s="82" t="n">
        <f aca="false">'Plan-Kunden'!K29</f>
        <v>12.7131282442756</v>
      </c>
      <c r="E29" s="82" t="n">
        <f aca="false">'Plan-Kunden'!I29</f>
        <v>12.7131282442756</v>
      </c>
      <c r="F29" s="82" t="n">
        <f aca="false">'Plan-Kunden'!J29</f>
        <v>0</v>
      </c>
      <c r="G29" s="94" t="n">
        <f aca="false">D29*'Plan-Annahmen'!$B$32</f>
        <v>101.705025954204</v>
      </c>
      <c r="H29" s="42" t="n">
        <f aca="false">E29*'Plan-Annahmen'!$B$47+F29*'Plan-Annahmen'!$B$48</f>
        <v>368.680719083991</v>
      </c>
      <c r="I29" s="42" t="n">
        <f aca="false">H29*('Plan-Annahmen'!$B$33+'Plan-Annahmen'!$B$34)</f>
        <v>11.0604215725197</v>
      </c>
      <c r="J29" s="42" t="n">
        <f aca="false">E29*('Plan-Annahmen'!$B$47*'Plan-Annahmen'!$B$51+'Plan-Annahmen'!$B$52)+F29*('Plan-Annahmen'!$B$48*'Plan-Annahmen'!$B$51+'Plan-Annahmen'!$B$52)</f>
        <v>8.70849284732876</v>
      </c>
      <c r="K29" s="42" t="n">
        <f aca="false">G29*'Plan-Annahmen'!$B$50/100</f>
        <v>2.54262564885511</v>
      </c>
      <c r="L29" s="42" t="n">
        <f aca="false">'Plan-Kunden'!D29*'Plan-Annahmen'!$B$48*'Plan-Annahmen'!$B$30</f>
        <v>0</v>
      </c>
      <c r="M29" s="42" t="n">
        <f aca="false">'Plan-Kosten'!AI$58</f>
        <v>633.014333333333</v>
      </c>
      <c r="N29" s="42" t="n">
        <f aca="false">'Plan-Kosten'!AI$55</f>
        <v>0</v>
      </c>
      <c r="O29" s="48" t="n">
        <f aca="false">I29+J29+K29+L29+M29+N29</f>
        <v>655.325873402037</v>
      </c>
      <c r="P29" s="30" t="n">
        <f aca="false">H29-O29</f>
        <v>-286.645154318046</v>
      </c>
      <c r="Q29" s="42" t="n">
        <f aca="false">MAX(0,P29*'Plan-Annahmen'!$B$69)</f>
        <v>0</v>
      </c>
      <c r="R29" s="48" t="n">
        <f aca="false">P29-Q29</f>
        <v>-286.645154318046</v>
      </c>
      <c r="S29" s="48" t="n">
        <f aca="false">S28+R29</f>
        <v>-11849.8338881661</v>
      </c>
      <c r="T29" s="42" t="n">
        <f aca="false">T28+'Plan-Kosten'!AI$56</f>
        <v>2000</v>
      </c>
      <c r="U29" s="30" t="n">
        <f aca="false">S29-T29</f>
        <v>-13849.8338881661</v>
      </c>
      <c r="V29" s="26" t="n">
        <f aca="false">IF(P29&gt;0,1,0)</f>
        <v>0</v>
      </c>
      <c r="W29" s="82" t="n">
        <f aca="false">'Plan-Kunden'!P29</f>
        <v>49.843678367905</v>
      </c>
      <c r="X29" s="95" t="n">
        <f aca="false">'Plan-Kunden'!Q29</f>
        <v>0</v>
      </c>
      <c r="Y29" s="95" t="n">
        <f aca="false">IF(D29&gt;='Plan-Phase B'!$C$21,1,0)</f>
        <v>0</v>
      </c>
      <c r="Z29" s="95" t="n">
        <f aca="false">IF(D29&gt;='Plan-Phase B'!$D$21,1,0)</f>
        <v>0</v>
      </c>
      <c r="AA29" s="95" t="n">
        <f aca="false">IF(D29&gt;='Plan-Phase B'!$E$21,1,0)</f>
        <v>0</v>
      </c>
      <c r="AB29" s="26" t="n">
        <f aca="false">IF(AND(U29&gt;=0,A29&gt;$K$6),1,0)</f>
        <v>0</v>
      </c>
    </row>
    <row r="30" customFormat="false" ht="15" hidden="false" customHeight="false" outlineLevel="0" collapsed="false">
      <c r="A30" s="26" t="n">
        <v>23</v>
      </c>
      <c r="B30" s="78" t="n">
        <f aca="false">'Plan-Kunden'!B30</f>
        <v>46935</v>
      </c>
      <c r="C30" s="82" t="n">
        <f aca="false">'Plan-Kunden'!E30</f>
        <v>1.0325514438772</v>
      </c>
      <c r="D30" s="82" t="n">
        <f aca="false">'Plan-Kunden'!K30</f>
        <v>13.4914171232672</v>
      </c>
      <c r="E30" s="82" t="n">
        <f aca="false">'Plan-Kunden'!I30</f>
        <v>13.4914171232672</v>
      </c>
      <c r="F30" s="82" t="n">
        <f aca="false">'Plan-Kunden'!J30</f>
        <v>0</v>
      </c>
      <c r="G30" s="94" t="n">
        <f aca="false">D30*'Plan-Annahmen'!$B$32</f>
        <v>107.931336986138</v>
      </c>
      <c r="H30" s="42" t="n">
        <f aca="false">E30*'Plan-Annahmen'!$B$47+F30*'Plan-Annahmen'!$B$48</f>
        <v>391.25109657475</v>
      </c>
      <c r="I30" s="42" t="n">
        <f aca="false">H30*('Plan-Annahmen'!$B$33+'Plan-Annahmen'!$B$34)</f>
        <v>11.7375328972425</v>
      </c>
      <c r="J30" s="42" t="n">
        <f aca="false">E30*('Plan-Annahmen'!$B$47*'Plan-Annahmen'!$B$51+'Plan-Annahmen'!$B$52)+F30*('Plan-Annahmen'!$B$48*'Plan-Annahmen'!$B$51+'Plan-Annahmen'!$B$52)</f>
        <v>9.24162072943806</v>
      </c>
      <c r="K30" s="42" t="n">
        <f aca="false">G30*'Plan-Annahmen'!$B$50/100</f>
        <v>2.69828342465345</v>
      </c>
      <c r="L30" s="42" t="n">
        <f aca="false">'Plan-Kunden'!D30*'Plan-Annahmen'!$B$48*'Plan-Annahmen'!$B$30</f>
        <v>0</v>
      </c>
      <c r="M30" s="42" t="n">
        <f aca="false">'Plan-Kosten'!AJ$58</f>
        <v>533.014333333333</v>
      </c>
      <c r="N30" s="42" t="n">
        <f aca="false">'Plan-Kosten'!AJ$55</f>
        <v>0</v>
      </c>
      <c r="O30" s="48" t="n">
        <f aca="false">I30+J30+K30+L30+M30+N30</f>
        <v>556.691770384667</v>
      </c>
      <c r="P30" s="30" t="n">
        <f aca="false">H30-O30</f>
        <v>-165.440673809917</v>
      </c>
      <c r="Q30" s="42" t="n">
        <f aca="false">MAX(0,P30*'Plan-Annahmen'!$B$69)</f>
        <v>0</v>
      </c>
      <c r="R30" s="48" t="n">
        <f aca="false">P30-Q30</f>
        <v>-165.440673809917</v>
      </c>
      <c r="S30" s="48" t="n">
        <f aca="false">S29+R30</f>
        <v>-12015.274561976</v>
      </c>
      <c r="T30" s="42" t="n">
        <f aca="false">T29+'Plan-Kosten'!AJ$56</f>
        <v>2000</v>
      </c>
      <c r="U30" s="30" t="n">
        <f aca="false">S30-T30</f>
        <v>-14015.274561976</v>
      </c>
      <c r="V30" s="26" t="n">
        <f aca="false">IF(P30&gt;0,1,0)</f>
        <v>0</v>
      </c>
      <c r="W30" s="82" t="n">
        <f aca="false">'Plan-Kunden'!P30</f>
        <v>49.5799765808574</v>
      </c>
      <c r="X30" s="95" t="n">
        <f aca="false">'Plan-Kunden'!Q30</f>
        <v>0</v>
      </c>
      <c r="Y30" s="95" t="n">
        <f aca="false">IF(D30&gt;='Plan-Phase B'!$C$21,1,0)</f>
        <v>0</v>
      </c>
      <c r="Z30" s="95" t="n">
        <f aca="false">IF(D30&gt;='Plan-Phase B'!$D$21,1,0)</f>
        <v>0</v>
      </c>
      <c r="AA30" s="95" t="n">
        <f aca="false">IF(D30&gt;='Plan-Phase B'!$E$21,1,0)</f>
        <v>0</v>
      </c>
      <c r="AB30" s="26" t="n">
        <f aca="false">IF(AND(U30&gt;=0,A30&gt;$K$6),1,0)</f>
        <v>0</v>
      </c>
    </row>
    <row r="31" customFormat="false" ht="15" hidden="false" customHeight="false" outlineLevel="0" collapsed="false">
      <c r="A31" s="26" t="n">
        <v>24</v>
      </c>
      <c r="B31" s="78" t="n">
        <f aca="false">'Plan-Kunden'!B31</f>
        <v>46966</v>
      </c>
      <c r="C31" s="82" t="n">
        <f aca="false">'Plan-Kunden'!E31</f>
        <v>1.03531936098968</v>
      </c>
      <c r="D31" s="82" t="n">
        <f aca="false">'Plan-Kunden'!K31</f>
        <v>14.2569081417916</v>
      </c>
      <c r="E31" s="82" t="n">
        <f aca="false">'Plan-Kunden'!I31</f>
        <v>14.2569081417916</v>
      </c>
      <c r="F31" s="82" t="n">
        <f aca="false">'Plan-Kunden'!J31</f>
        <v>0</v>
      </c>
      <c r="G31" s="94" t="n">
        <f aca="false">D31*'Plan-Annahmen'!$B$32</f>
        <v>114.055265134333</v>
      </c>
      <c r="H31" s="42" t="n">
        <f aca="false">E31*'Plan-Annahmen'!$B$47+F31*'Plan-Annahmen'!$B$48</f>
        <v>413.450336111956</v>
      </c>
      <c r="I31" s="42" t="n">
        <f aca="false">H31*('Plan-Annahmen'!$B$33+'Plan-Annahmen'!$B$34)</f>
        <v>12.4035100833587</v>
      </c>
      <c r="J31" s="42" t="n">
        <f aca="false">E31*('Plan-Annahmen'!$B$47*'Plan-Annahmen'!$B$51+'Plan-Annahmen'!$B$52)+F31*('Plan-Annahmen'!$B$48*'Plan-Annahmen'!$B$51+'Plan-Annahmen'!$B$52)</f>
        <v>9.76598207712723</v>
      </c>
      <c r="K31" s="42" t="n">
        <f aca="false">G31*'Plan-Annahmen'!$B$50/100</f>
        <v>2.85138162835832</v>
      </c>
      <c r="L31" s="42" t="n">
        <f aca="false">'Plan-Kunden'!D31*'Plan-Annahmen'!$B$48*'Plan-Annahmen'!$B$30</f>
        <v>0</v>
      </c>
      <c r="M31" s="42" t="n">
        <f aca="false">'Plan-Kosten'!AK$58</f>
        <v>633.014333333333</v>
      </c>
      <c r="N31" s="42" t="n">
        <f aca="false">'Plan-Kosten'!AK$55</f>
        <v>0</v>
      </c>
      <c r="O31" s="48" t="n">
        <f aca="false">I31+J31+K31+L31+M31+N31</f>
        <v>658.035207122178</v>
      </c>
      <c r="P31" s="30" t="n">
        <f aca="false">H31-O31</f>
        <v>-244.584871010222</v>
      </c>
      <c r="Q31" s="42" t="n">
        <f aca="false">MAX(0,P31*'Plan-Annahmen'!$B$69)</f>
        <v>0</v>
      </c>
      <c r="R31" s="48" t="n">
        <f aca="false">P31-Q31</f>
        <v>-244.584871010222</v>
      </c>
      <c r="S31" s="48" t="n">
        <f aca="false">S30+R31</f>
        <v>-12259.8594329862</v>
      </c>
      <c r="T31" s="42" t="n">
        <f aca="false">T30+'Plan-Kosten'!AK$56</f>
        <v>2000</v>
      </c>
      <c r="U31" s="30" t="n">
        <f aca="false">S31-T31</f>
        <v>-14259.8594329862</v>
      </c>
      <c r="V31" s="26" t="n">
        <f aca="false">IF(P31&gt;0,1,0)</f>
        <v>0</v>
      </c>
      <c r="W31" s="82" t="n">
        <f aca="false">'Plan-Kunden'!P31</f>
        <v>49.8123918035272</v>
      </c>
      <c r="X31" s="95" t="n">
        <f aca="false">'Plan-Kunden'!Q31</f>
        <v>0</v>
      </c>
      <c r="Y31" s="95" t="n">
        <f aca="false">IF(D31&gt;='Plan-Phase B'!$C$21,1,0)</f>
        <v>0</v>
      </c>
      <c r="Z31" s="95" t="n">
        <f aca="false">IF(D31&gt;='Plan-Phase B'!$D$21,1,0)</f>
        <v>0</v>
      </c>
      <c r="AA31" s="95" t="n">
        <f aca="false">IF(D31&gt;='Plan-Phase B'!$E$21,1,0)</f>
        <v>0</v>
      </c>
      <c r="AB31" s="26" t="n">
        <f aca="false">IF(AND(U31&gt;=0,A31&gt;$K$6),1,0)</f>
        <v>0</v>
      </c>
    </row>
    <row r="32" customFormat="false" ht="15" hidden="false" customHeight="false" outlineLevel="0" collapsed="false">
      <c r="A32" s="13" t="s">
        <v>687</v>
      </c>
      <c r="B32" s="14"/>
      <c r="C32" s="14"/>
      <c r="D32" s="14"/>
      <c r="E32" s="14"/>
      <c r="F32" s="14"/>
      <c r="G32" s="14"/>
      <c r="H32" s="16" t="n">
        <f aca="false">SUM(H8:H31)</f>
        <v>4098.25640582613</v>
      </c>
      <c r="I32" s="16" t="n">
        <f aca="false">SUM(I8:I31)</f>
        <v>122.947692174784</v>
      </c>
      <c r="J32" s="16" t="n">
        <f aca="false">SUM(J8:J31)</f>
        <v>96.8036426893413</v>
      </c>
      <c r="K32" s="16" t="n">
        <f aca="false">SUM(K8:K31)</f>
        <v>28.2638372815595</v>
      </c>
      <c r="L32" s="16" t="n">
        <f aca="false">SUM(L8:L31)</f>
        <v>0</v>
      </c>
      <c r="M32" s="16" t="n">
        <f aca="false">SUM(M8:M31)</f>
        <v>13142.6006666667</v>
      </c>
      <c r="N32" s="16" t="n">
        <f aca="false">SUM(N8:N31)</f>
        <v>2967.5</v>
      </c>
      <c r="O32" s="16" t="n">
        <f aca="false">SUM(O8:O31)</f>
        <v>16358.1158388124</v>
      </c>
      <c r="P32" s="16" t="n">
        <f aca="false">SUM(P8:P31)</f>
        <v>-12259.8594329862</v>
      </c>
      <c r="Q32" s="16" t="n">
        <f aca="false">SUM(Q8:Q31)</f>
        <v>0</v>
      </c>
      <c r="R32" s="16" t="n">
        <f aca="false">SUM(R8:R31)</f>
        <v>-12259.8594329862</v>
      </c>
      <c r="S32" s="14"/>
      <c r="T32" s="14"/>
      <c r="U32" s="14"/>
      <c r="V32" s="14"/>
      <c r="W32" s="14"/>
      <c r="X32" s="14"/>
      <c r="Y32" s="14"/>
      <c r="Z32" s="14"/>
      <c r="AA32" s="14"/>
      <c r="AB32" s="14"/>
    </row>
    <row r="35" customFormat="false" ht="15" hidden="false" customHeight="false" outlineLevel="0" collapsed="false">
      <c r="A35" s="36" t="s">
        <v>531</v>
      </c>
      <c r="H35" s="53" t="s">
        <v>664</v>
      </c>
      <c r="K35" s="36" t="n">
        <f aca="false">MATCH(MIN(U37:U60),U37:U60,0)</f>
        <v>14</v>
      </c>
    </row>
    <row r="36" customFormat="false" ht="39.55" hidden="false" customHeight="false" outlineLevel="0" collapsed="false">
      <c r="A36" s="3" t="s">
        <v>309</v>
      </c>
      <c r="B36" s="3" t="s">
        <v>513</v>
      </c>
      <c r="C36" s="3" t="s">
        <v>665</v>
      </c>
      <c r="D36" s="3" t="s">
        <v>666</v>
      </c>
      <c r="E36" s="3" t="s">
        <v>312</v>
      </c>
      <c r="F36" s="3" t="s">
        <v>313</v>
      </c>
      <c r="G36" s="3" t="s">
        <v>418</v>
      </c>
      <c r="H36" s="3" t="s">
        <v>667</v>
      </c>
      <c r="I36" s="3" t="s">
        <v>668</v>
      </c>
      <c r="J36" s="3" t="s">
        <v>669</v>
      </c>
      <c r="K36" s="3" t="s">
        <v>670</v>
      </c>
      <c r="L36" s="3" t="s">
        <v>671</v>
      </c>
      <c r="M36" s="3" t="s">
        <v>672</v>
      </c>
      <c r="N36" s="3" t="s">
        <v>673</v>
      </c>
      <c r="O36" s="3" t="s">
        <v>674</v>
      </c>
      <c r="P36" s="3" t="s">
        <v>675</v>
      </c>
      <c r="Q36" s="3" t="s">
        <v>676</v>
      </c>
      <c r="R36" s="3" t="s">
        <v>677</v>
      </c>
      <c r="S36" s="3" t="s">
        <v>678</v>
      </c>
      <c r="T36" s="3" t="s">
        <v>679</v>
      </c>
      <c r="U36" s="3" t="s">
        <v>680</v>
      </c>
      <c r="V36" s="3" t="s">
        <v>681</v>
      </c>
      <c r="W36" s="3" t="s">
        <v>527</v>
      </c>
      <c r="X36" s="3" t="s">
        <v>682</v>
      </c>
      <c r="Y36" s="3" t="s">
        <v>683</v>
      </c>
      <c r="Z36" s="3" t="s">
        <v>684</v>
      </c>
      <c r="AA36" s="3" t="s">
        <v>685</v>
      </c>
      <c r="AB36" s="3" t="s">
        <v>686</v>
      </c>
    </row>
    <row r="37" customFormat="false" ht="15" hidden="false" customHeight="false" outlineLevel="0" collapsed="false">
      <c r="A37" s="26" t="n">
        <v>1</v>
      </c>
      <c r="B37" s="78" t="n">
        <f aca="false">'Plan-Kunden'!B37</f>
        <v>46266</v>
      </c>
      <c r="C37" s="82" t="n">
        <f aca="false">'Plan-Kunden'!E37</f>
        <v>0</v>
      </c>
      <c r="D37" s="82" t="n">
        <f aca="false">'Plan-Kunden'!K37</f>
        <v>0</v>
      </c>
      <c r="E37" s="82" t="n">
        <f aca="false">'Plan-Kunden'!I37</f>
        <v>0</v>
      </c>
      <c r="F37" s="82" t="n">
        <f aca="false">'Plan-Kunden'!J37</f>
        <v>0</v>
      </c>
      <c r="G37" s="94" t="n">
        <f aca="false">D37*'Plan-Annahmen'!$B$32</f>
        <v>0</v>
      </c>
      <c r="H37" s="42" t="n">
        <f aca="false">E37*'Plan-Annahmen'!$B$47+F37*'Plan-Annahmen'!$B$48</f>
        <v>0</v>
      </c>
      <c r="I37" s="42" t="n">
        <f aca="false">H37*('Plan-Annahmen'!$B$33+'Plan-Annahmen'!$B$34)</f>
        <v>0</v>
      </c>
      <c r="J37" s="42" t="n">
        <f aca="false">E37*('Plan-Annahmen'!$B$47*'Plan-Annahmen'!$B$51+'Plan-Annahmen'!$B$52)+F37*('Plan-Annahmen'!$B$48*'Plan-Annahmen'!$B$51+'Plan-Annahmen'!$B$52)</f>
        <v>0</v>
      </c>
      <c r="K37" s="42" t="n">
        <f aca="false">G37*'Plan-Annahmen'!$B$50/100</f>
        <v>0</v>
      </c>
      <c r="L37" s="42" t="n">
        <f aca="false">'Plan-Kunden'!D37*'Plan-Annahmen'!$B$48*'Plan-Annahmen'!$B$30</f>
        <v>0</v>
      </c>
      <c r="M37" s="42" t="n">
        <f aca="false">'Plan-Kosten'!N$58</f>
        <v>135.104333333333</v>
      </c>
      <c r="N37" s="42" t="n">
        <f aca="false">'Plan-Kosten'!N$55</f>
        <v>150</v>
      </c>
      <c r="O37" s="48" t="n">
        <f aca="false">I37+J37+K37+L37+M37+N37</f>
        <v>285.104333333333</v>
      </c>
      <c r="P37" s="30" t="n">
        <f aca="false">H37-O37</f>
        <v>-285.104333333333</v>
      </c>
      <c r="Q37" s="42" t="n">
        <f aca="false">MAX(0,P37*'Plan-Annahmen'!$B$69)</f>
        <v>0</v>
      </c>
      <c r="R37" s="48" t="n">
        <f aca="false">P37-Q37</f>
        <v>-285.104333333333</v>
      </c>
      <c r="S37" s="48" t="n">
        <f aca="false">R37</f>
        <v>-285.104333333333</v>
      </c>
      <c r="T37" s="42" t="n">
        <f aca="false">'Plan-Kosten'!N$56</f>
        <v>0</v>
      </c>
      <c r="U37" s="30" t="n">
        <f aca="false">S37-T37</f>
        <v>-285.104333333333</v>
      </c>
      <c r="V37" s="26" t="n">
        <f aca="false">IF(P37&gt;0,1,0)</f>
        <v>0</v>
      </c>
      <c r="W37" s="82" t="n">
        <f aca="false">'Plan-Kunden'!P37</f>
        <v>29</v>
      </c>
      <c r="X37" s="95" t="n">
        <f aca="false">'Plan-Kunden'!Q37</f>
        <v>0</v>
      </c>
      <c r="Y37" s="95" t="n">
        <f aca="false">IF(D37&gt;='Plan-Phase B'!$C$21,1,0)</f>
        <v>0</v>
      </c>
      <c r="Z37" s="95" t="n">
        <f aca="false">IF(D37&gt;='Plan-Phase B'!$D$21,1,0)</f>
        <v>0</v>
      </c>
      <c r="AA37" s="95" t="n">
        <f aca="false">IF(D37&gt;='Plan-Phase B'!$E$21,1,0)</f>
        <v>0</v>
      </c>
      <c r="AB37" s="26" t="n">
        <f aca="false">IF(AND(U37&gt;=0,A37&gt;$K$35),1,0)</f>
        <v>0</v>
      </c>
    </row>
    <row r="38" customFormat="false" ht="15" hidden="false" customHeight="false" outlineLevel="0" collapsed="false">
      <c r="A38" s="26" t="n">
        <v>2</v>
      </c>
      <c r="B38" s="78" t="n">
        <f aca="false">'Plan-Kunden'!B38</f>
        <v>46296</v>
      </c>
      <c r="C38" s="82" t="n">
        <f aca="false">'Plan-Kunden'!E38</f>
        <v>0</v>
      </c>
      <c r="D38" s="82" t="n">
        <f aca="false">'Plan-Kunden'!K38</f>
        <v>0</v>
      </c>
      <c r="E38" s="82" t="n">
        <f aca="false">'Plan-Kunden'!I38</f>
        <v>0</v>
      </c>
      <c r="F38" s="82" t="n">
        <f aca="false">'Plan-Kunden'!J38</f>
        <v>0</v>
      </c>
      <c r="G38" s="94" t="n">
        <f aca="false">D38*'Plan-Annahmen'!$B$32</f>
        <v>0</v>
      </c>
      <c r="H38" s="42" t="n">
        <f aca="false">E38*'Plan-Annahmen'!$B$47+F38*'Plan-Annahmen'!$B$48</f>
        <v>0</v>
      </c>
      <c r="I38" s="42" t="n">
        <f aca="false">H38*('Plan-Annahmen'!$B$33+'Plan-Annahmen'!$B$34)</f>
        <v>0</v>
      </c>
      <c r="J38" s="42" t="n">
        <f aca="false">E38*('Plan-Annahmen'!$B$47*'Plan-Annahmen'!$B$51+'Plan-Annahmen'!$B$52)+F38*('Plan-Annahmen'!$B$48*'Plan-Annahmen'!$B$51+'Plan-Annahmen'!$B$52)</f>
        <v>0</v>
      </c>
      <c r="K38" s="42" t="n">
        <f aca="false">G38*'Plan-Annahmen'!$B$50/100</f>
        <v>0</v>
      </c>
      <c r="L38" s="42" t="n">
        <f aca="false">'Plan-Kunden'!D38*'Plan-Annahmen'!$B$48*'Plan-Annahmen'!$B$30</f>
        <v>0</v>
      </c>
      <c r="M38" s="42" t="n">
        <f aca="false">'Plan-Kosten'!O$58</f>
        <v>685.931</v>
      </c>
      <c r="N38" s="42" t="n">
        <f aca="false">'Plan-Kosten'!O$55</f>
        <v>1006</v>
      </c>
      <c r="O38" s="48" t="n">
        <f aca="false">I38+J38+K38+L38+M38+N38</f>
        <v>1691.931</v>
      </c>
      <c r="P38" s="30" t="n">
        <f aca="false">H38-O38</f>
        <v>-1691.931</v>
      </c>
      <c r="Q38" s="42" t="n">
        <f aca="false">MAX(0,P38*'Plan-Annahmen'!$B$69)</f>
        <v>0</v>
      </c>
      <c r="R38" s="48" t="n">
        <f aca="false">P38-Q38</f>
        <v>-1691.931</v>
      </c>
      <c r="S38" s="48" t="n">
        <f aca="false">S37+R38</f>
        <v>-1977.03533333333</v>
      </c>
      <c r="T38" s="42" t="n">
        <f aca="false">T37+'Plan-Kosten'!O$56</f>
        <v>1000</v>
      </c>
      <c r="U38" s="30" t="n">
        <f aca="false">S38-T38</f>
        <v>-2977.03533333333</v>
      </c>
      <c r="V38" s="26" t="n">
        <f aca="false">IF(P38&gt;0,1,0)</f>
        <v>0</v>
      </c>
      <c r="W38" s="82" t="n">
        <f aca="false">'Plan-Kunden'!P38</f>
        <v>43</v>
      </c>
      <c r="X38" s="95" t="n">
        <f aca="false">'Plan-Kunden'!Q38</f>
        <v>0</v>
      </c>
      <c r="Y38" s="95" t="n">
        <f aca="false">IF(D38&gt;='Plan-Phase B'!$C$21,1,0)</f>
        <v>0</v>
      </c>
      <c r="Z38" s="95" t="n">
        <f aca="false">IF(D38&gt;='Plan-Phase B'!$D$21,1,0)</f>
        <v>0</v>
      </c>
      <c r="AA38" s="95" t="n">
        <f aca="false">IF(D38&gt;='Plan-Phase B'!$E$21,1,0)</f>
        <v>0</v>
      </c>
      <c r="AB38" s="26" t="n">
        <f aca="false">IF(AND(U38&gt;=0,A38&gt;$K$35),1,0)</f>
        <v>0</v>
      </c>
    </row>
    <row r="39" customFormat="false" ht="15" hidden="false" customHeight="false" outlineLevel="0" collapsed="false">
      <c r="A39" s="26" t="n">
        <v>3</v>
      </c>
      <c r="B39" s="78" t="n">
        <f aca="false">'Plan-Kunden'!B39</f>
        <v>46327</v>
      </c>
      <c r="C39" s="82" t="n">
        <f aca="false">'Plan-Kunden'!E39</f>
        <v>0</v>
      </c>
      <c r="D39" s="82" t="n">
        <f aca="false">'Plan-Kunden'!K39</f>
        <v>0</v>
      </c>
      <c r="E39" s="82" t="n">
        <f aca="false">'Plan-Kunden'!I39</f>
        <v>0</v>
      </c>
      <c r="F39" s="82" t="n">
        <f aca="false">'Plan-Kunden'!J39</f>
        <v>0</v>
      </c>
      <c r="G39" s="94" t="n">
        <f aca="false">D39*'Plan-Annahmen'!$B$32</f>
        <v>0</v>
      </c>
      <c r="H39" s="42" t="n">
        <f aca="false">E39*'Plan-Annahmen'!$B$47+F39*'Plan-Annahmen'!$B$48</f>
        <v>0</v>
      </c>
      <c r="I39" s="42" t="n">
        <f aca="false">H39*('Plan-Annahmen'!$B$33+'Plan-Annahmen'!$B$34)</f>
        <v>0</v>
      </c>
      <c r="J39" s="42" t="n">
        <f aca="false">E39*('Plan-Annahmen'!$B$47*'Plan-Annahmen'!$B$51+'Plan-Annahmen'!$B$52)+F39*('Plan-Annahmen'!$B$48*'Plan-Annahmen'!$B$51+'Plan-Annahmen'!$B$52)</f>
        <v>0</v>
      </c>
      <c r="K39" s="42" t="n">
        <f aca="false">G39*'Plan-Annahmen'!$B$50/100</f>
        <v>0</v>
      </c>
      <c r="L39" s="42" t="n">
        <f aca="false">'Plan-Kunden'!D39*'Plan-Annahmen'!$B$48*'Plan-Annahmen'!$B$30</f>
        <v>0</v>
      </c>
      <c r="M39" s="42" t="n">
        <f aca="false">'Plan-Kosten'!P$58</f>
        <v>459.264333333333</v>
      </c>
      <c r="N39" s="42" t="n">
        <f aca="false">'Plan-Kosten'!P$55</f>
        <v>1500</v>
      </c>
      <c r="O39" s="48" t="n">
        <f aca="false">I39+J39+K39+L39+M39+N39</f>
        <v>1959.26433333333</v>
      </c>
      <c r="P39" s="30" t="n">
        <f aca="false">H39-O39</f>
        <v>-1959.26433333333</v>
      </c>
      <c r="Q39" s="42" t="n">
        <f aca="false">MAX(0,P39*'Plan-Annahmen'!$B$69)</f>
        <v>0</v>
      </c>
      <c r="R39" s="48" t="n">
        <f aca="false">P39-Q39</f>
        <v>-1959.26433333333</v>
      </c>
      <c r="S39" s="48" t="n">
        <f aca="false">S38+R39</f>
        <v>-3936.29966666667</v>
      </c>
      <c r="T39" s="42" t="n">
        <f aca="false">T38+'Plan-Kosten'!P$56</f>
        <v>1000</v>
      </c>
      <c r="U39" s="30" t="n">
        <f aca="false">S39-T39</f>
        <v>-4936.29966666667</v>
      </c>
      <c r="V39" s="26" t="n">
        <f aca="false">IF(P39&gt;0,1,0)</f>
        <v>0</v>
      </c>
      <c r="W39" s="82" t="n">
        <f aca="false">'Plan-Kunden'!P39</f>
        <v>30</v>
      </c>
      <c r="X39" s="95" t="n">
        <f aca="false">'Plan-Kunden'!Q39</f>
        <v>0</v>
      </c>
      <c r="Y39" s="95" t="n">
        <f aca="false">IF(D39&gt;='Plan-Phase B'!$C$21,1,0)</f>
        <v>0</v>
      </c>
      <c r="Z39" s="95" t="n">
        <f aca="false">IF(D39&gt;='Plan-Phase B'!$D$21,1,0)</f>
        <v>0</v>
      </c>
      <c r="AA39" s="95" t="n">
        <f aca="false">IF(D39&gt;='Plan-Phase B'!$E$21,1,0)</f>
        <v>0</v>
      </c>
      <c r="AB39" s="26" t="n">
        <f aca="false">IF(AND(U39&gt;=0,A39&gt;$K$35),1,0)</f>
        <v>0</v>
      </c>
    </row>
    <row r="40" customFormat="false" ht="15" hidden="false" customHeight="false" outlineLevel="0" collapsed="false">
      <c r="A40" s="26" t="n">
        <v>4</v>
      </c>
      <c r="B40" s="78" t="n">
        <f aca="false">'Plan-Kunden'!B40</f>
        <v>46357</v>
      </c>
      <c r="C40" s="82" t="n">
        <f aca="false">'Plan-Kunden'!E40</f>
        <v>1</v>
      </c>
      <c r="D40" s="82" t="n">
        <f aca="false">'Plan-Kunden'!K40</f>
        <v>1</v>
      </c>
      <c r="E40" s="82" t="n">
        <f aca="false">'Plan-Kunden'!I40</f>
        <v>1</v>
      </c>
      <c r="F40" s="82" t="n">
        <f aca="false">'Plan-Kunden'!J40</f>
        <v>0</v>
      </c>
      <c r="G40" s="94" t="n">
        <f aca="false">D40*'Plan-Annahmen'!$B$32</f>
        <v>8</v>
      </c>
      <c r="H40" s="42" t="n">
        <f aca="false">E40*'Plan-Annahmen'!$B$47+F40*'Plan-Annahmen'!$B$48</f>
        <v>29</v>
      </c>
      <c r="I40" s="42" t="n">
        <f aca="false">H40*('Plan-Annahmen'!$B$33+'Plan-Annahmen'!$B$34)</f>
        <v>0.87</v>
      </c>
      <c r="J40" s="42" t="n">
        <f aca="false">E40*('Plan-Annahmen'!$B$47*'Plan-Annahmen'!$B$51+'Plan-Annahmen'!$B$52)+F40*('Plan-Annahmen'!$B$48*'Plan-Annahmen'!$B$51+'Plan-Annahmen'!$B$52)</f>
        <v>0.685</v>
      </c>
      <c r="K40" s="42" t="n">
        <f aca="false">G40*'Plan-Annahmen'!$B$50/100</f>
        <v>0.2</v>
      </c>
      <c r="L40" s="42" t="n">
        <f aca="false">'Plan-Kunden'!D40*'Plan-Annahmen'!$B$48*'Plan-Annahmen'!$B$30</f>
        <v>0</v>
      </c>
      <c r="M40" s="42" t="n">
        <f aca="false">'Plan-Kosten'!Q$58</f>
        <v>479.264333333333</v>
      </c>
      <c r="N40" s="42" t="n">
        <f aca="false">'Plan-Kosten'!Q$55</f>
        <v>290</v>
      </c>
      <c r="O40" s="48" t="n">
        <f aca="false">I40+J40+K40+L40+M40+N40</f>
        <v>771.019333333333</v>
      </c>
      <c r="P40" s="30" t="n">
        <f aca="false">H40-O40</f>
        <v>-742.019333333333</v>
      </c>
      <c r="Q40" s="42" t="n">
        <f aca="false">MAX(0,P40*'Plan-Annahmen'!$B$69)</f>
        <v>0</v>
      </c>
      <c r="R40" s="48" t="n">
        <f aca="false">P40-Q40</f>
        <v>-742.019333333333</v>
      </c>
      <c r="S40" s="48" t="n">
        <f aca="false">S39+R40</f>
        <v>-4678.319</v>
      </c>
      <c r="T40" s="42" t="n">
        <f aca="false">T39+'Plan-Kosten'!Q$56</f>
        <v>1000</v>
      </c>
      <c r="U40" s="30" t="n">
        <f aca="false">S40-T40</f>
        <v>-5678.319</v>
      </c>
      <c r="V40" s="26" t="n">
        <f aca="false">IF(P40&gt;0,1,0)</f>
        <v>0</v>
      </c>
      <c r="W40" s="82" t="n">
        <f aca="false">'Plan-Kunden'!P40</f>
        <v>41.3</v>
      </c>
      <c r="X40" s="95" t="n">
        <f aca="false">'Plan-Kunden'!Q40</f>
        <v>0</v>
      </c>
      <c r="Y40" s="95" t="n">
        <f aca="false">IF(D40&gt;='Plan-Phase B'!$C$21,1,0)</f>
        <v>0</v>
      </c>
      <c r="Z40" s="95" t="n">
        <f aca="false">IF(D40&gt;='Plan-Phase B'!$D$21,1,0)</f>
        <v>0</v>
      </c>
      <c r="AA40" s="95" t="n">
        <f aca="false">IF(D40&gt;='Plan-Phase B'!$E$21,1,0)</f>
        <v>0</v>
      </c>
      <c r="AB40" s="26" t="n">
        <f aca="false">IF(AND(U40&gt;=0,A40&gt;$K$35),1,0)</f>
        <v>0</v>
      </c>
    </row>
    <row r="41" customFormat="false" ht="15" hidden="false" customHeight="false" outlineLevel="0" collapsed="false">
      <c r="A41" s="26" t="n">
        <v>5</v>
      </c>
      <c r="B41" s="78" t="n">
        <f aca="false">'Plan-Kunden'!B41</f>
        <v>46388</v>
      </c>
      <c r="C41" s="82" t="n">
        <f aca="false">'Plan-Kunden'!E41</f>
        <v>1.5</v>
      </c>
      <c r="D41" s="82" t="n">
        <f aca="false">'Plan-Kunden'!K41</f>
        <v>2.485</v>
      </c>
      <c r="E41" s="82" t="n">
        <f aca="false">'Plan-Kunden'!I41</f>
        <v>2.485</v>
      </c>
      <c r="F41" s="82" t="n">
        <f aca="false">'Plan-Kunden'!J41</f>
        <v>0</v>
      </c>
      <c r="G41" s="94" t="n">
        <f aca="false">D41*'Plan-Annahmen'!$B$32</f>
        <v>19.88</v>
      </c>
      <c r="H41" s="42" t="n">
        <f aca="false">E41*'Plan-Annahmen'!$B$47+F41*'Plan-Annahmen'!$B$48</f>
        <v>72.065</v>
      </c>
      <c r="I41" s="42" t="n">
        <f aca="false">H41*('Plan-Annahmen'!$B$33+'Plan-Annahmen'!$B$34)</f>
        <v>2.16195</v>
      </c>
      <c r="J41" s="42" t="n">
        <f aca="false">E41*('Plan-Annahmen'!$B$47*'Plan-Annahmen'!$B$51+'Plan-Annahmen'!$B$52)+F41*('Plan-Annahmen'!$B$48*'Plan-Annahmen'!$B$51+'Plan-Annahmen'!$B$52)</f>
        <v>1.702225</v>
      </c>
      <c r="K41" s="42" t="n">
        <f aca="false">G41*'Plan-Annahmen'!$B$50/100</f>
        <v>0.497</v>
      </c>
      <c r="L41" s="42" t="n">
        <f aca="false">'Plan-Kunden'!D41*'Plan-Annahmen'!$B$48*'Plan-Annahmen'!$B$30</f>
        <v>0</v>
      </c>
      <c r="M41" s="42" t="n">
        <f aca="false">'Plan-Kosten'!R$58</f>
        <v>479.264333333333</v>
      </c>
      <c r="N41" s="42" t="n">
        <f aca="false">'Plan-Kosten'!R$55</f>
        <v>0</v>
      </c>
      <c r="O41" s="48" t="n">
        <f aca="false">I41+J41+K41+L41+M41+N41</f>
        <v>483.625508333333</v>
      </c>
      <c r="P41" s="30" t="n">
        <f aca="false">H41-O41</f>
        <v>-411.560508333333</v>
      </c>
      <c r="Q41" s="42" t="n">
        <f aca="false">MAX(0,P41*'Plan-Annahmen'!$B$69)</f>
        <v>0</v>
      </c>
      <c r="R41" s="48" t="n">
        <f aca="false">P41-Q41</f>
        <v>-411.560508333333</v>
      </c>
      <c r="S41" s="48" t="n">
        <f aca="false">S40+R41</f>
        <v>-5089.87950833333</v>
      </c>
      <c r="T41" s="42" t="n">
        <f aca="false">T40+'Plan-Kosten'!R$56</f>
        <v>2000</v>
      </c>
      <c r="U41" s="30" t="n">
        <f aca="false">S41-T41</f>
        <v>-7089.87950833333</v>
      </c>
      <c r="V41" s="26" t="n">
        <f aca="false">IF(P41&gt;0,1,0)</f>
        <v>0</v>
      </c>
      <c r="W41" s="82" t="n">
        <f aca="false">'Plan-Kunden'!P41</f>
        <v>43.2455</v>
      </c>
      <c r="X41" s="95" t="n">
        <f aca="false">'Plan-Kunden'!Q41</f>
        <v>0</v>
      </c>
      <c r="Y41" s="95" t="n">
        <f aca="false">IF(D41&gt;='Plan-Phase B'!$C$21,1,0)</f>
        <v>0</v>
      </c>
      <c r="Z41" s="95" t="n">
        <f aca="false">IF(D41&gt;='Plan-Phase B'!$D$21,1,0)</f>
        <v>0</v>
      </c>
      <c r="AA41" s="95" t="n">
        <f aca="false">IF(D41&gt;='Plan-Phase B'!$E$21,1,0)</f>
        <v>0</v>
      </c>
      <c r="AB41" s="26" t="n">
        <f aca="false">IF(AND(U41&gt;=0,A41&gt;$K$35),1,0)</f>
        <v>0</v>
      </c>
    </row>
    <row r="42" customFormat="false" ht="15" hidden="false" customHeight="false" outlineLevel="0" collapsed="false">
      <c r="A42" s="26" t="n">
        <v>6</v>
      </c>
      <c r="B42" s="78" t="n">
        <f aca="false">'Plan-Kunden'!B42</f>
        <v>46419</v>
      </c>
      <c r="C42" s="82" t="n">
        <f aca="false">'Plan-Kunden'!E42</f>
        <v>2.5</v>
      </c>
      <c r="D42" s="82" t="n">
        <f aca="false">'Plan-Kunden'!K42</f>
        <v>4.947725</v>
      </c>
      <c r="E42" s="82" t="n">
        <f aca="false">'Plan-Kunden'!I42</f>
        <v>4.947725</v>
      </c>
      <c r="F42" s="82" t="n">
        <f aca="false">'Plan-Kunden'!J42</f>
        <v>0</v>
      </c>
      <c r="G42" s="94" t="n">
        <f aca="false">D42*'Plan-Annahmen'!$B$32</f>
        <v>39.5818</v>
      </c>
      <c r="H42" s="42" t="n">
        <f aca="false">E42*'Plan-Annahmen'!$B$47+F42*'Plan-Annahmen'!$B$48</f>
        <v>143.484025</v>
      </c>
      <c r="I42" s="42" t="n">
        <f aca="false">H42*('Plan-Annahmen'!$B$33+'Plan-Annahmen'!$B$34)</f>
        <v>4.30452075</v>
      </c>
      <c r="J42" s="42" t="n">
        <f aca="false">E42*('Plan-Annahmen'!$B$47*'Plan-Annahmen'!$B$51+'Plan-Annahmen'!$B$52)+F42*('Plan-Annahmen'!$B$48*'Plan-Annahmen'!$B$51+'Plan-Annahmen'!$B$52)</f>
        <v>3.389191625</v>
      </c>
      <c r="K42" s="42" t="n">
        <f aca="false">G42*'Plan-Annahmen'!$B$50/100</f>
        <v>0.989545</v>
      </c>
      <c r="L42" s="42" t="n">
        <f aca="false">'Plan-Kunden'!D42*'Plan-Annahmen'!$B$48*'Plan-Annahmen'!$B$30</f>
        <v>0</v>
      </c>
      <c r="M42" s="42" t="n">
        <f aca="false">'Plan-Kosten'!S$58</f>
        <v>479.264333333333</v>
      </c>
      <c r="N42" s="42" t="n">
        <f aca="false">'Plan-Kosten'!S$55</f>
        <v>0</v>
      </c>
      <c r="O42" s="48" t="n">
        <f aca="false">I42+J42+K42+L42+M42+N42</f>
        <v>487.947590708333</v>
      </c>
      <c r="P42" s="30" t="n">
        <f aca="false">H42-O42</f>
        <v>-344.463565708333</v>
      </c>
      <c r="Q42" s="42" t="n">
        <f aca="false">MAX(0,P42*'Plan-Annahmen'!$B$69)</f>
        <v>0</v>
      </c>
      <c r="R42" s="48" t="n">
        <f aca="false">P42-Q42</f>
        <v>-344.463565708333</v>
      </c>
      <c r="S42" s="48" t="n">
        <f aca="false">S41+R42</f>
        <v>-5434.34307404167</v>
      </c>
      <c r="T42" s="42" t="n">
        <f aca="false">T41+'Plan-Kosten'!S$56</f>
        <v>2000</v>
      </c>
      <c r="U42" s="30" t="n">
        <f aca="false">S42-T42</f>
        <v>-7434.34307404167</v>
      </c>
      <c r="V42" s="26" t="n">
        <f aca="false">IF(P42&gt;0,1,0)</f>
        <v>0</v>
      </c>
      <c r="W42" s="82" t="n">
        <f aca="false">'Plan-Kunden'!P42</f>
        <v>44.9843175</v>
      </c>
      <c r="X42" s="95" t="n">
        <f aca="false">'Plan-Kunden'!Q42</f>
        <v>0</v>
      </c>
      <c r="Y42" s="95" t="n">
        <f aca="false">IF(D42&gt;='Plan-Phase B'!$C$21,1,0)</f>
        <v>0</v>
      </c>
      <c r="Z42" s="95" t="n">
        <f aca="false">IF(D42&gt;='Plan-Phase B'!$D$21,1,0)</f>
        <v>0</v>
      </c>
      <c r="AA42" s="95" t="n">
        <f aca="false">IF(D42&gt;='Plan-Phase B'!$E$21,1,0)</f>
        <v>0</v>
      </c>
      <c r="AB42" s="26" t="n">
        <f aca="false">IF(AND(U42&gt;=0,A42&gt;$K$35),1,0)</f>
        <v>0</v>
      </c>
    </row>
    <row r="43" customFormat="false" ht="15" hidden="false" customHeight="false" outlineLevel="0" collapsed="false">
      <c r="A43" s="26" t="n">
        <v>7</v>
      </c>
      <c r="B43" s="78" t="n">
        <f aca="false">'Plan-Kunden'!B43</f>
        <v>46447</v>
      </c>
      <c r="C43" s="82" t="n">
        <f aca="false">'Plan-Kunden'!E43</f>
        <v>2.00833333333333</v>
      </c>
      <c r="D43" s="82" t="n">
        <f aca="false">'Plan-Kunden'!K43</f>
        <v>6.88184245833333</v>
      </c>
      <c r="E43" s="82" t="n">
        <f aca="false">'Plan-Kunden'!I43</f>
        <v>6.88184245833333</v>
      </c>
      <c r="F43" s="82" t="n">
        <f aca="false">'Plan-Kunden'!J43</f>
        <v>0</v>
      </c>
      <c r="G43" s="94" t="n">
        <f aca="false">D43*'Plan-Annahmen'!$B$32</f>
        <v>55.0547396666667</v>
      </c>
      <c r="H43" s="42" t="n">
        <f aca="false">E43*'Plan-Annahmen'!$B$47+F43*'Plan-Annahmen'!$B$48</f>
        <v>199.573431291667</v>
      </c>
      <c r="I43" s="42" t="n">
        <f aca="false">H43*('Plan-Annahmen'!$B$33+'Plan-Annahmen'!$B$34)</f>
        <v>5.98720293875</v>
      </c>
      <c r="J43" s="42" t="n">
        <f aca="false">E43*('Plan-Annahmen'!$B$47*'Plan-Annahmen'!$B$51+'Plan-Annahmen'!$B$52)+F43*('Plan-Annahmen'!$B$48*'Plan-Annahmen'!$B$51+'Plan-Annahmen'!$B$52)</f>
        <v>4.71406208395833</v>
      </c>
      <c r="K43" s="42" t="n">
        <f aca="false">G43*'Plan-Annahmen'!$B$50/100</f>
        <v>1.37636849166667</v>
      </c>
      <c r="L43" s="42" t="n">
        <f aca="false">'Plan-Kunden'!D43*'Plan-Annahmen'!$B$48*'Plan-Annahmen'!$B$30</f>
        <v>0</v>
      </c>
      <c r="M43" s="42" t="n">
        <f aca="false">'Plan-Kosten'!T$58</f>
        <v>522.264333333333</v>
      </c>
      <c r="N43" s="42" t="n">
        <f aca="false">'Plan-Kosten'!T$55</f>
        <v>0</v>
      </c>
      <c r="O43" s="48" t="n">
        <f aca="false">I43+J43+K43+L43+M43+N43</f>
        <v>534.341966847708</v>
      </c>
      <c r="P43" s="30" t="n">
        <f aca="false">H43-O43</f>
        <v>-334.768535556042</v>
      </c>
      <c r="Q43" s="42" t="n">
        <f aca="false">MAX(0,P43*'Plan-Annahmen'!$B$69)</f>
        <v>0</v>
      </c>
      <c r="R43" s="48" t="n">
        <f aca="false">P43-Q43</f>
        <v>-334.768535556042</v>
      </c>
      <c r="S43" s="48" t="n">
        <f aca="false">S42+R43</f>
        <v>-5769.11160959771</v>
      </c>
      <c r="T43" s="42" t="n">
        <f aca="false">T42+'Plan-Kosten'!T$56</f>
        <v>2000</v>
      </c>
      <c r="U43" s="30" t="n">
        <f aca="false">S43-T43</f>
        <v>-7769.11160959771</v>
      </c>
      <c r="V43" s="26" t="n">
        <f aca="false">IF(P43&gt;0,1,0)</f>
        <v>0</v>
      </c>
      <c r="W43" s="82" t="n">
        <f aca="false">'Plan-Kunden'!P43</f>
        <v>45.5728860708333</v>
      </c>
      <c r="X43" s="95" t="n">
        <f aca="false">'Plan-Kunden'!Q43</f>
        <v>0</v>
      </c>
      <c r="Y43" s="95" t="n">
        <f aca="false">IF(D43&gt;='Plan-Phase B'!$C$21,1,0)</f>
        <v>0</v>
      </c>
      <c r="Z43" s="95" t="n">
        <f aca="false">IF(D43&gt;='Plan-Phase B'!$D$21,1,0)</f>
        <v>0</v>
      </c>
      <c r="AA43" s="95" t="n">
        <f aca="false">IF(D43&gt;='Plan-Phase B'!$E$21,1,0)</f>
        <v>0</v>
      </c>
      <c r="AB43" s="26" t="n">
        <f aca="false">IF(AND(U43&gt;=0,A43&gt;$K$35),1,0)</f>
        <v>0</v>
      </c>
    </row>
    <row r="44" customFormat="false" ht="15" hidden="false" customHeight="false" outlineLevel="0" collapsed="false">
      <c r="A44" s="26" t="n">
        <v>8</v>
      </c>
      <c r="B44" s="78" t="n">
        <f aca="false">'Plan-Kunden'!B44</f>
        <v>46478</v>
      </c>
      <c r="C44" s="82" t="n">
        <f aca="false">'Plan-Kunden'!E44</f>
        <v>2.02070833333333</v>
      </c>
      <c r="D44" s="82" t="n">
        <f aca="false">'Plan-Kunden'!K44</f>
        <v>8.79932315479167</v>
      </c>
      <c r="E44" s="82" t="n">
        <f aca="false">'Plan-Kunden'!I44</f>
        <v>8.79932315479167</v>
      </c>
      <c r="F44" s="82" t="n">
        <f aca="false">'Plan-Kunden'!J44</f>
        <v>0</v>
      </c>
      <c r="G44" s="94" t="n">
        <f aca="false">D44*'Plan-Annahmen'!$B$32</f>
        <v>70.3945852383333</v>
      </c>
      <c r="H44" s="42" t="n">
        <f aca="false">E44*'Plan-Annahmen'!$B$47+F44*'Plan-Annahmen'!$B$48</f>
        <v>255.180371488958</v>
      </c>
      <c r="I44" s="42" t="n">
        <f aca="false">H44*('Plan-Annahmen'!$B$33+'Plan-Annahmen'!$B$34)</f>
        <v>7.65541114466875</v>
      </c>
      <c r="J44" s="42" t="n">
        <f aca="false">E44*('Plan-Annahmen'!$B$47*'Plan-Annahmen'!$B$51+'Plan-Annahmen'!$B$52)+F44*('Plan-Annahmen'!$B$48*'Plan-Annahmen'!$B$51+'Plan-Annahmen'!$B$52)</f>
        <v>6.02753636103229</v>
      </c>
      <c r="K44" s="42" t="n">
        <f aca="false">G44*'Plan-Annahmen'!$B$50/100</f>
        <v>1.75986463095833</v>
      </c>
      <c r="L44" s="42" t="n">
        <f aca="false">'Plan-Kunden'!D44*'Plan-Annahmen'!$B$48*'Plan-Annahmen'!$B$30</f>
        <v>0</v>
      </c>
      <c r="M44" s="42" t="n">
        <f aca="false">'Plan-Kosten'!U$58</f>
        <v>622.264333333333</v>
      </c>
      <c r="N44" s="42" t="n">
        <f aca="false">'Plan-Kosten'!U$55</f>
        <v>0</v>
      </c>
      <c r="O44" s="48" t="n">
        <f aca="false">I44+J44+K44+L44+M44+N44</f>
        <v>637.707145469993</v>
      </c>
      <c r="P44" s="30" t="n">
        <f aca="false">H44-O44</f>
        <v>-382.526773981034</v>
      </c>
      <c r="Q44" s="42" t="n">
        <f aca="false">MAX(0,P44*'Plan-Annahmen'!$B$69)</f>
        <v>0</v>
      </c>
      <c r="R44" s="48" t="n">
        <f aca="false">P44-Q44</f>
        <v>-382.526773981034</v>
      </c>
      <c r="S44" s="48" t="n">
        <f aca="false">S43+R44</f>
        <v>-6151.63838357874</v>
      </c>
      <c r="T44" s="42" t="n">
        <f aca="false">T43+'Plan-Kosten'!U$56</f>
        <v>2000</v>
      </c>
      <c r="U44" s="30" t="n">
        <f aca="false">S44-T44</f>
        <v>-8151.63838357874</v>
      </c>
      <c r="V44" s="26" t="n">
        <f aca="false">IF(P44&gt;0,1,0)</f>
        <v>0</v>
      </c>
      <c r="W44" s="82" t="n">
        <f aca="false">'Plan-Kunden'!P44</f>
        <v>50.1605052797708</v>
      </c>
      <c r="X44" s="95" t="n">
        <f aca="false">'Plan-Kunden'!Q44</f>
        <v>0</v>
      </c>
      <c r="Y44" s="95" t="n">
        <f aca="false">IF(D44&gt;='Plan-Phase B'!$C$21,1,0)</f>
        <v>0</v>
      </c>
      <c r="Z44" s="95" t="n">
        <f aca="false">IF(D44&gt;='Plan-Phase B'!$D$21,1,0)</f>
        <v>0</v>
      </c>
      <c r="AA44" s="95" t="n">
        <f aca="false">IF(D44&gt;='Plan-Phase B'!$E$21,1,0)</f>
        <v>0</v>
      </c>
      <c r="AB44" s="26" t="n">
        <f aca="false">IF(AND(U44&gt;=0,A44&gt;$K$35),1,0)</f>
        <v>0</v>
      </c>
    </row>
    <row r="45" customFormat="false" ht="15" hidden="false" customHeight="false" outlineLevel="0" collapsed="false">
      <c r="A45" s="26" t="n">
        <v>9</v>
      </c>
      <c r="B45" s="78" t="n">
        <f aca="false">'Plan-Kunden'!B45</f>
        <v>46508</v>
      </c>
      <c r="C45" s="82" t="n">
        <f aca="false">'Plan-Kunden'!E45</f>
        <v>1.29123104166667</v>
      </c>
      <c r="D45" s="82" t="n">
        <f aca="false">'Plan-Kunden'!K45</f>
        <v>9.95856434913646</v>
      </c>
      <c r="E45" s="82" t="n">
        <f aca="false">'Plan-Kunden'!I45</f>
        <v>9.95856434913646</v>
      </c>
      <c r="F45" s="82" t="n">
        <f aca="false">'Plan-Kunden'!J45</f>
        <v>0</v>
      </c>
      <c r="G45" s="94" t="n">
        <f aca="false">D45*'Plan-Annahmen'!$B$32</f>
        <v>79.6685147930917</v>
      </c>
      <c r="H45" s="42" t="n">
        <f aca="false">E45*'Plan-Annahmen'!$B$47+F45*'Plan-Annahmen'!$B$48</f>
        <v>288.798366124957</v>
      </c>
      <c r="I45" s="42" t="n">
        <f aca="false">H45*('Plan-Annahmen'!$B$33+'Plan-Annahmen'!$B$34)</f>
        <v>8.66395098374872</v>
      </c>
      <c r="J45" s="42" t="n">
        <f aca="false">E45*('Plan-Annahmen'!$B$47*'Plan-Annahmen'!$B$51+'Plan-Annahmen'!$B$52)+F45*('Plan-Annahmen'!$B$48*'Plan-Annahmen'!$B$51+'Plan-Annahmen'!$B$52)</f>
        <v>6.82161657915847</v>
      </c>
      <c r="K45" s="42" t="n">
        <f aca="false">G45*'Plan-Annahmen'!$B$50/100</f>
        <v>1.99171286982729</v>
      </c>
      <c r="L45" s="42" t="n">
        <f aca="false">'Plan-Kunden'!D45*'Plan-Annahmen'!$B$48*'Plan-Annahmen'!$B$30</f>
        <v>0</v>
      </c>
      <c r="M45" s="42" t="n">
        <f aca="false">'Plan-Kosten'!V$58</f>
        <v>522.264333333333</v>
      </c>
      <c r="N45" s="42" t="n">
        <f aca="false">'Plan-Kosten'!V$55</f>
        <v>0</v>
      </c>
      <c r="O45" s="48" t="n">
        <f aca="false">I45+J45+K45+L45+M45+N45</f>
        <v>539.741613766068</v>
      </c>
      <c r="P45" s="30" t="n">
        <f aca="false">H45-O45</f>
        <v>-250.943247641111</v>
      </c>
      <c r="Q45" s="42" t="n">
        <f aca="false">MAX(0,P45*'Plan-Annahmen'!$B$69)</f>
        <v>0</v>
      </c>
      <c r="R45" s="48" t="n">
        <f aca="false">P45-Q45</f>
        <v>-250.943247641111</v>
      </c>
      <c r="S45" s="48" t="n">
        <f aca="false">S44+R45</f>
        <v>-6402.58163121985</v>
      </c>
      <c r="T45" s="42" t="n">
        <f aca="false">T44+'Plan-Kosten'!V$56</f>
        <v>2000</v>
      </c>
      <c r="U45" s="30" t="n">
        <f aca="false">S45-T45</f>
        <v>-8402.58163121985</v>
      </c>
      <c r="V45" s="26" t="n">
        <f aca="false">IF(P45&gt;0,1,0)</f>
        <v>0</v>
      </c>
      <c r="W45" s="82" t="n">
        <f aca="false">'Plan-Kunden'!P45</f>
        <v>49.7788003464076</v>
      </c>
      <c r="X45" s="95" t="n">
        <f aca="false">'Plan-Kunden'!Q45</f>
        <v>0</v>
      </c>
      <c r="Y45" s="95" t="n">
        <f aca="false">IF(D45&gt;='Plan-Phase B'!$C$21,1,0)</f>
        <v>0</v>
      </c>
      <c r="Z45" s="95" t="n">
        <f aca="false">IF(D45&gt;='Plan-Phase B'!$D$21,1,0)</f>
        <v>0</v>
      </c>
      <c r="AA45" s="95" t="n">
        <f aca="false">IF(D45&gt;='Plan-Phase B'!$E$21,1,0)</f>
        <v>0</v>
      </c>
      <c r="AB45" s="26" t="n">
        <f aca="false">IF(AND(U45&gt;=0,A45&gt;$K$35),1,0)</f>
        <v>0</v>
      </c>
    </row>
    <row r="46" customFormat="false" ht="15" hidden="false" customHeight="false" outlineLevel="0" collapsed="false">
      <c r="A46" s="26" t="n">
        <v>10</v>
      </c>
      <c r="B46" s="78" t="n">
        <f aca="false">'Plan-Kunden'!B46</f>
        <v>46539</v>
      </c>
      <c r="C46" s="82" t="n">
        <f aca="false">'Plan-Kunden'!E46</f>
        <v>1.30734868715278</v>
      </c>
      <c r="D46" s="82" t="n">
        <f aca="false">'Plan-Kunden'!K46</f>
        <v>11.1165345710522</v>
      </c>
      <c r="E46" s="82" t="n">
        <f aca="false">'Plan-Kunden'!I46</f>
        <v>11.1165345710522</v>
      </c>
      <c r="F46" s="82" t="n">
        <f aca="false">'Plan-Kunden'!J46</f>
        <v>0</v>
      </c>
      <c r="G46" s="94" t="n">
        <f aca="false">D46*'Plan-Annahmen'!$B$32</f>
        <v>88.9322765684175</v>
      </c>
      <c r="H46" s="42" t="n">
        <f aca="false">E46*'Plan-Annahmen'!$B$47+F46*'Plan-Annahmen'!$B$48</f>
        <v>322.379502560513</v>
      </c>
      <c r="I46" s="42" t="n">
        <f aca="false">H46*('Plan-Annahmen'!$B$33+'Plan-Annahmen'!$B$34)</f>
        <v>9.6713850768154</v>
      </c>
      <c r="J46" s="42" t="n">
        <f aca="false">E46*('Plan-Annahmen'!$B$47*'Plan-Annahmen'!$B$51+'Plan-Annahmen'!$B$52)+F46*('Plan-Annahmen'!$B$48*'Plan-Annahmen'!$B$51+'Plan-Annahmen'!$B$52)</f>
        <v>7.61482618117075</v>
      </c>
      <c r="K46" s="42" t="n">
        <f aca="false">G46*'Plan-Annahmen'!$B$50/100</f>
        <v>2.22330691421044</v>
      </c>
      <c r="L46" s="42" t="n">
        <f aca="false">'Plan-Kunden'!D46*'Plan-Annahmen'!$B$48*'Plan-Annahmen'!$B$30</f>
        <v>0</v>
      </c>
      <c r="M46" s="42" t="n">
        <f aca="false">'Plan-Kosten'!W$58</f>
        <v>620.514333333333</v>
      </c>
      <c r="N46" s="42" t="n">
        <f aca="false">'Plan-Kosten'!W$55</f>
        <v>21.5</v>
      </c>
      <c r="O46" s="48" t="n">
        <f aca="false">I46+J46+K46+L46+M46+N46</f>
        <v>661.52385150553</v>
      </c>
      <c r="P46" s="30" t="n">
        <f aca="false">H46-O46</f>
        <v>-339.144348945017</v>
      </c>
      <c r="Q46" s="42" t="n">
        <f aca="false">MAX(0,P46*'Plan-Annahmen'!$B$69)</f>
        <v>0</v>
      </c>
      <c r="R46" s="48" t="n">
        <f aca="false">P46-Q46</f>
        <v>-339.144348945017</v>
      </c>
      <c r="S46" s="48" t="n">
        <f aca="false">S45+R46</f>
        <v>-6741.72598016487</v>
      </c>
      <c r="T46" s="42" t="n">
        <f aca="false">T45+'Plan-Kosten'!W$56</f>
        <v>2000</v>
      </c>
      <c r="U46" s="30" t="n">
        <f aca="false">S46-T46</f>
        <v>-8741.72598016487</v>
      </c>
      <c r="V46" s="26" t="n">
        <f aca="false">IF(P46&gt;0,1,0)</f>
        <v>0</v>
      </c>
      <c r="W46" s="82" t="n">
        <f aca="false">'Plan-Kunden'!P46</f>
        <v>49.1423090584684</v>
      </c>
      <c r="X46" s="95" t="n">
        <f aca="false">'Plan-Kunden'!Q46</f>
        <v>0</v>
      </c>
      <c r="Y46" s="95" t="n">
        <f aca="false">IF(D46&gt;='Plan-Phase B'!$C$21,1,0)</f>
        <v>0</v>
      </c>
      <c r="Z46" s="95" t="n">
        <f aca="false">IF(D46&gt;='Plan-Phase B'!$D$21,1,0)</f>
        <v>0</v>
      </c>
      <c r="AA46" s="95" t="n">
        <f aca="false">IF(D46&gt;='Plan-Phase B'!$E$21,1,0)</f>
        <v>0</v>
      </c>
      <c r="AB46" s="26" t="n">
        <f aca="false">IF(AND(U46&gt;=0,A46&gt;$K$35),1,0)</f>
        <v>0</v>
      </c>
    </row>
    <row r="47" customFormat="false" ht="15" hidden="false" customHeight="false" outlineLevel="0" collapsed="false">
      <c r="A47" s="26" t="n">
        <v>11</v>
      </c>
      <c r="B47" s="78" t="n">
        <f aca="false">'Plan-Kunden'!B47</f>
        <v>46569</v>
      </c>
      <c r="C47" s="82" t="n">
        <f aca="false">'Plan-Kunden'!E47</f>
        <v>2.3233276929566</v>
      </c>
      <c r="D47" s="82" t="n">
        <f aca="false">'Plan-Kunden'!K47</f>
        <v>13.273114245443</v>
      </c>
      <c r="E47" s="82" t="n">
        <f aca="false">'Plan-Kunden'!I47</f>
        <v>13.273114245443</v>
      </c>
      <c r="F47" s="82" t="n">
        <f aca="false">'Plan-Kunden'!J47</f>
        <v>0</v>
      </c>
      <c r="G47" s="94" t="n">
        <f aca="false">D47*'Plan-Annahmen'!$B$32</f>
        <v>106.184913963544</v>
      </c>
      <c r="H47" s="42" t="n">
        <f aca="false">E47*'Plan-Annahmen'!$B$47+F47*'Plan-Annahmen'!$B$48</f>
        <v>384.920313117847</v>
      </c>
      <c r="I47" s="42" t="n">
        <f aca="false">H47*('Plan-Annahmen'!$B$33+'Plan-Annahmen'!$B$34)</f>
        <v>11.5476093935354</v>
      </c>
      <c r="J47" s="42" t="n">
        <f aca="false">E47*('Plan-Annahmen'!$B$47*'Plan-Annahmen'!$B$51+'Plan-Annahmen'!$B$52)+F47*('Plan-Annahmen'!$B$48*'Plan-Annahmen'!$B$51+'Plan-Annahmen'!$B$52)</f>
        <v>9.09208325812846</v>
      </c>
      <c r="K47" s="42" t="n">
        <f aca="false">G47*'Plan-Annahmen'!$B$50/100</f>
        <v>2.6546228490886</v>
      </c>
      <c r="L47" s="42" t="n">
        <f aca="false">'Plan-Kunden'!D47*'Plan-Annahmen'!$B$48*'Plan-Annahmen'!$B$30</f>
        <v>0</v>
      </c>
      <c r="M47" s="42" t="n">
        <f aca="false">'Plan-Kosten'!X$58</f>
        <v>520.514333333333</v>
      </c>
      <c r="N47" s="42" t="n">
        <f aca="false">'Plan-Kosten'!X$55</f>
        <v>0</v>
      </c>
      <c r="O47" s="48" t="n">
        <f aca="false">I47+J47+K47+L47+M47+N47</f>
        <v>543.808648834086</v>
      </c>
      <c r="P47" s="30" t="n">
        <f aca="false">H47-O47</f>
        <v>-158.888335716239</v>
      </c>
      <c r="Q47" s="42" t="n">
        <f aca="false">MAX(0,P47*'Plan-Annahmen'!$B$69)</f>
        <v>0</v>
      </c>
      <c r="R47" s="48" t="n">
        <f aca="false">P47-Q47</f>
        <v>-158.888335716239</v>
      </c>
      <c r="S47" s="48" t="n">
        <f aca="false">S46+R47</f>
        <v>-6900.61431588111</v>
      </c>
      <c r="T47" s="42" t="n">
        <f aca="false">T46+'Plan-Kosten'!X$56</f>
        <v>2000</v>
      </c>
      <c r="U47" s="30" t="n">
        <f aca="false">S47-T47</f>
        <v>-8900.61431588111</v>
      </c>
      <c r="V47" s="26" t="n">
        <f aca="false">IF(P47&gt;0,1,0)</f>
        <v>0</v>
      </c>
      <c r="W47" s="82" t="n">
        <f aca="false">'Plan-Kunden'!P47</f>
        <v>50.8052619665895</v>
      </c>
      <c r="X47" s="95" t="n">
        <f aca="false">'Plan-Kunden'!Q47</f>
        <v>0</v>
      </c>
      <c r="Y47" s="95" t="n">
        <f aca="false">IF(D47&gt;='Plan-Phase B'!$C$21,1,0)</f>
        <v>0</v>
      </c>
      <c r="Z47" s="95" t="n">
        <f aca="false">IF(D47&gt;='Plan-Phase B'!$D$21,1,0)</f>
        <v>0</v>
      </c>
      <c r="AA47" s="95" t="n">
        <f aca="false">IF(D47&gt;='Plan-Phase B'!$E$21,1,0)</f>
        <v>0</v>
      </c>
      <c r="AB47" s="26" t="n">
        <f aca="false">IF(AND(U47&gt;=0,A47&gt;$K$35),1,0)</f>
        <v>0</v>
      </c>
    </row>
    <row r="48" customFormat="false" ht="15" hidden="false" customHeight="false" outlineLevel="0" collapsed="false">
      <c r="A48" s="26" t="n">
        <v>12</v>
      </c>
      <c r="B48" s="78" t="n">
        <f aca="false">'Plan-Kunden'!B48</f>
        <v>46600</v>
      </c>
      <c r="C48" s="82" t="n">
        <f aca="false">'Plan-Kunden'!E48</f>
        <v>2.0829880362428</v>
      </c>
      <c r="D48" s="82" t="n">
        <f aca="false">'Plan-Kunden'!K48</f>
        <v>15.1570055680042</v>
      </c>
      <c r="E48" s="82" t="n">
        <f aca="false">'Plan-Kunden'!I48</f>
        <v>15.1570055680042</v>
      </c>
      <c r="F48" s="82" t="n">
        <f aca="false">'Plan-Kunden'!J48</f>
        <v>0</v>
      </c>
      <c r="G48" s="94" t="n">
        <f aca="false">D48*'Plan-Annahmen'!$B$32</f>
        <v>121.256044544033</v>
      </c>
      <c r="H48" s="42" t="n">
        <f aca="false">E48*'Plan-Annahmen'!$B$47+F48*'Plan-Annahmen'!$B$48</f>
        <v>439.553161472121</v>
      </c>
      <c r="I48" s="42" t="n">
        <f aca="false">H48*('Plan-Annahmen'!$B$33+'Plan-Annahmen'!$B$34)</f>
        <v>13.1865948441636</v>
      </c>
      <c r="J48" s="42" t="n">
        <f aca="false">E48*('Plan-Annahmen'!$B$47*'Plan-Annahmen'!$B$51+'Plan-Annahmen'!$B$52)+F48*('Plan-Annahmen'!$B$48*'Plan-Annahmen'!$B$51+'Plan-Annahmen'!$B$52)</f>
        <v>10.3825488140828</v>
      </c>
      <c r="K48" s="42" t="n">
        <f aca="false">G48*'Plan-Annahmen'!$B$50/100</f>
        <v>3.03140111360083</v>
      </c>
      <c r="L48" s="42" t="n">
        <f aca="false">'Plan-Kunden'!D48*'Plan-Annahmen'!$B$48*'Plan-Annahmen'!$B$30</f>
        <v>0</v>
      </c>
      <c r="M48" s="42" t="n">
        <f aca="false">'Plan-Kosten'!Y$58</f>
        <v>620.514333333333</v>
      </c>
      <c r="N48" s="42" t="n">
        <f aca="false">'Plan-Kosten'!Y$55</f>
        <v>0</v>
      </c>
      <c r="O48" s="48" t="n">
        <f aca="false">I48+J48+K48+L48+M48+N48</f>
        <v>647.114878105181</v>
      </c>
      <c r="P48" s="30" t="n">
        <f aca="false">H48-O48</f>
        <v>-207.56171663306</v>
      </c>
      <c r="Q48" s="42" t="n">
        <f aca="false">MAX(0,P48*'Plan-Annahmen'!$B$69)</f>
        <v>0</v>
      </c>
      <c r="R48" s="48" t="n">
        <f aca="false">P48-Q48</f>
        <v>-207.56171663306</v>
      </c>
      <c r="S48" s="48" t="n">
        <f aca="false">S47+R48</f>
        <v>-7108.17603251417</v>
      </c>
      <c r="T48" s="42" t="n">
        <f aca="false">T47+'Plan-Kosten'!Y$56</f>
        <v>2000</v>
      </c>
      <c r="U48" s="30" t="n">
        <f aca="false">S48-T48</f>
        <v>-9108.17603251417</v>
      </c>
      <c r="V48" s="26" t="n">
        <f aca="false">IF(P48&gt;0,1,0)</f>
        <v>0</v>
      </c>
      <c r="W48" s="82" t="n">
        <f aca="false">'Plan-Kunden'!P48</f>
        <v>51.1300897066441</v>
      </c>
      <c r="X48" s="95" t="n">
        <f aca="false">'Plan-Kunden'!Q48</f>
        <v>0</v>
      </c>
      <c r="Y48" s="95" t="n">
        <f aca="false">IF(D48&gt;='Plan-Phase B'!$C$21,1,0)</f>
        <v>0</v>
      </c>
      <c r="Z48" s="95" t="n">
        <f aca="false">IF(D48&gt;='Plan-Phase B'!$D$21,1,0)</f>
        <v>0</v>
      </c>
      <c r="AA48" s="95" t="n">
        <f aca="false">IF(D48&gt;='Plan-Phase B'!$E$21,1,0)</f>
        <v>0</v>
      </c>
      <c r="AB48" s="26" t="n">
        <f aca="false">IF(AND(U48&gt;=0,A48&gt;$K$35),1,0)</f>
        <v>0</v>
      </c>
    </row>
    <row r="49" customFormat="false" ht="15" hidden="false" customHeight="false" outlineLevel="0" collapsed="false">
      <c r="A49" s="26" t="n">
        <v>13</v>
      </c>
      <c r="B49" s="78" t="n">
        <f aca="false">'Plan-Kunden'!B49</f>
        <v>46631</v>
      </c>
      <c r="C49" s="82" t="n">
        <f aca="false">'Plan-Kunden'!E49</f>
        <v>2.0926377880921</v>
      </c>
      <c r="D49" s="82" t="n">
        <f aca="false">'Plan-Kunden'!K49</f>
        <v>17.0222882725762</v>
      </c>
      <c r="E49" s="82" t="n">
        <f aca="false">'Plan-Kunden'!I49</f>
        <v>17.0222882725762</v>
      </c>
      <c r="F49" s="82" t="n">
        <f aca="false">'Plan-Kunden'!J49</f>
        <v>0</v>
      </c>
      <c r="G49" s="94" t="n">
        <f aca="false">D49*'Plan-Annahmen'!$B$32</f>
        <v>136.17830618061</v>
      </c>
      <c r="H49" s="42" t="n">
        <f aca="false">E49*'Plan-Annahmen'!$B$47+F49*'Plan-Annahmen'!$B$48</f>
        <v>493.64635990471</v>
      </c>
      <c r="I49" s="42" t="n">
        <f aca="false">H49*('Plan-Annahmen'!$B$33+'Plan-Annahmen'!$B$34)</f>
        <v>14.8093907971413</v>
      </c>
      <c r="J49" s="42" t="n">
        <f aca="false">E49*('Plan-Annahmen'!$B$47*'Plan-Annahmen'!$B$51+'Plan-Annahmen'!$B$52)+F49*('Plan-Annahmen'!$B$48*'Plan-Annahmen'!$B$51+'Plan-Annahmen'!$B$52)</f>
        <v>11.6602674667147</v>
      </c>
      <c r="K49" s="42" t="n">
        <f aca="false">G49*'Plan-Annahmen'!$B$50/100</f>
        <v>3.40445765451524</v>
      </c>
      <c r="L49" s="42" t="n">
        <f aca="false">'Plan-Kunden'!D49*'Plan-Annahmen'!$B$48*'Plan-Annahmen'!$B$30</f>
        <v>0</v>
      </c>
      <c r="M49" s="42" t="n">
        <f aca="false">'Plan-Kosten'!Z$58</f>
        <v>533.014333333333</v>
      </c>
      <c r="N49" s="42" t="n">
        <f aca="false">'Plan-Kosten'!Z$55</f>
        <v>0</v>
      </c>
      <c r="O49" s="48" t="n">
        <f aca="false">I49+J49+K49+L49+M49+N49</f>
        <v>562.888449251705</v>
      </c>
      <c r="P49" s="30" t="n">
        <f aca="false">H49-O49</f>
        <v>-69.2420893469948</v>
      </c>
      <c r="Q49" s="42" t="n">
        <f aca="false">MAX(0,P49*'Plan-Annahmen'!$B$69)</f>
        <v>0</v>
      </c>
      <c r="R49" s="48" t="n">
        <f aca="false">P49-Q49</f>
        <v>-69.2420893469948</v>
      </c>
      <c r="S49" s="48" t="n">
        <f aca="false">S48+R49</f>
        <v>-7177.41812186116</v>
      </c>
      <c r="T49" s="42" t="n">
        <f aca="false">T48+'Plan-Kosten'!Z$56</f>
        <v>2000</v>
      </c>
      <c r="U49" s="30" t="n">
        <f aca="false">S49-T49</f>
        <v>-9177.41812186116</v>
      </c>
      <c r="V49" s="26" t="n">
        <f aca="false">IF(P49&gt;0,1,0)</f>
        <v>0</v>
      </c>
      <c r="W49" s="82" t="n">
        <f aca="false">'Plan-Kunden'!P49</f>
        <v>51.699324269865</v>
      </c>
      <c r="X49" s="95" t="n">
        <f aca="false">'Plan-Kunden'!Q49</f>
        <v>0</v>
      </c>
      <c r="Y49" s="95" t="n">
        <f aca="false">IF(D49&gt;='Plan-Phase B'!$C$21,1,0)</f>
        <v>0</v>
      </c>
      <c r="Z49" s="95" t="n">
        <f aca="false">IF(D49&gt;='Plan-Phase B'!$D$21,1,0)</f>
        <v>0</v>
      </c>
      <c r="AA49" s="95" t="n">
        <f aca="false">IF(D49&gt;='Plan-Phase B'!$E$21,1,0)</f>
        <v>0</v>
      </c>
      <c r="AB49" s="26" t="n">
        <f aca="false">IF(AND(U49&gt;=0,A49&gt;$K$35),1,0)</f>
        <v>0</v>
      </c>
    </row>
    <row r="50" customFormat="false" ht="15" hidden="false" customHeight="false" outlineLevel="0" collapsed="false">
      <c r="A50" s="26" t="n">
        <v>14</v>
      </c>
      <c r="B50" s="78" t="n">
        <f aca="false">'Plan-Kunden'!B50</f>
        <v>46661</v>
      </c>
      <c r="C50" s="82" t="n">
        <f aca="false">'Plan-Kunden'!E50</f>
        <v>2.61060928537869</v>
      </c>
      <c r="D50" s="82" t="n">
        <f aca="false">'Plan-Kunden'!K50</f>
        <v>19.3775632338662</v>
      </c>
      <c r="E50" s="82" t="n">
        <f aca="false">'Plan-Kunden'!I50</f>
        <v>19.3775632338662</v>
      </c>
      <c r="F50" s="82" t="n">
        <f aca="false">'Plan-Kunden'!J50</f>
        <v>0</v>
      </c>
      <c r="G50" s="94" t="n">
        <f aca="false">D50*'Plan-Annahmen'!$B$32</f>
        <v>155.02050587093</v>
      </c>
      <c r="H50" s="42" t="n">
        <f aca="false">E50*'Plan-Annahmen'!$B$47+F50*'Plan-Annahmen'!$B$48</f>
        <v>561.949333782121</v>
      </c>
      <c r="I50" s="42" t="n">
        <f aca="false">H50*('Plan-Annahmen'!$B$33+'Plan-Annahmen'!$B$34)</f>
        <v>16.8584800134636</v>
      </c>
      <c r="J50" s="42" t="n">
        <f aca="false">E50*('Plan-Annahmen'!$B$47*'Plan-Annahmen'!$B$51+'Plan-Annahmen'!$B$52)+F50*('Plan-Annahmen'!$B$48*'Plan-Annahmen'!$B$51+'Plan-Annahmen'!$B$52)</f>
        <v>13.2736308151984</v>
      </c>
      <c r="K50" s="42" t="n">
        <f aca="false">G50*'Plan-Annahmen'!$B$50/100</f>
        <v>3.87551264677325</v>
      </c>
      <c r="L50" s="42" t="n">
        <f aca="false">'Plan-Kunden'!D50*'Plan-Annahmen'!$B$48*'Plan-Annahmen'!$B$30</f>
        <v>0</v>
      </c>
      <c r="M50" s="42" t="n">
        <f aca="false">'Plan-Kosten'!AA$58</f>
        <v>633.014333333333</v>
      </c>
      <c r="N50" s="42" t="n">
        <f aca="false">'Plan-Kosten'!AA$55</f>
        <v>0</v>
      </c>
      <c r="O50" s="48" t="n">
        <f aca="false">I50+J50+K50+L50+M50+N50</f>
        <v>667.021956808769</v>
      </c>
      <c r="P50" s="30" t="n">
        <f aca="false">H50-O50</f>
        <v>-105.072623026647</v>
      </c>
      <c r="Q50" s="42" t="n">
        <f aca="false">MAX(0,P50*'Plan-Annahmen'!$B$69)</f>
        <v>0</v>
      </c>
      <c r="R50" s="48" t="n">
        <f aca="false">P50-Q50</f>
        <v>-105.072623026647</v>
      </c>
      <c r="S50" s="48" t="n">
        <f aca="false">S49+R50</f>
        <v>-7282.49074488781</v>
      </c>
      <c r="T50" s="42" t="n">
        <f aca="false">T49+'Plan-Kosten'!AA$56</f>
        <v>2000</v>
      </c>
      <c r="U50" s="30" t="n">
        <f aca="false">S50-T50</f>
        <v>-9282.49074488781</v>
      </c>
      <c r="V50" s="26" t="n">
        <f aca="false">IF(P50&gt;0,1,0)</f>
        <v>0</v>
      </c>
      <c r="W50" s="82" t="n">
        <f aca="false">'Plan-Kunden'!P50</f>
        <v>52.9238782555386</v>
      </c>
      <c r="X50" s="95" t="n">
        <f aca="false">'Plan-Kunden'!Q50</f>
        <v>0</v>
      </c>
      <c r="Y50" s="95" t="n">
        <f aca="false">IF(D50&gt;='Plan-Phase B'!$C$21,1,0)</f>
        <v>0</v>
      </c>
      <c r="Z50" s="95" t="n">
        <f aca="false">IF(D50&gt;='Plan-Phase B'!$D$21,1,0)</f>
        <v>0</v>
      </c>
      <c r="AA50" s="95" t="n">
        <f aca="false">IF(D50&gt;='Plan-Phase B'!$E$21,1,0)</f>
        <v>0</v>
      </c>
      <c r="AB50" s="26" t="n">
        <f aca="false">IF(AND(U50&gt;=0,A50&gt;$K$35),1,0)</f>
        <v>0</v>
      </c>
    </row>
    <row r="51" customFormat="false" ht="15" hidden="false" customHeight="false" outlineLevel="0" collapsed="false">
      <c r="A51" s="26" t="n">
        <v>15</v>
      </c>
      <c r="B51" s="78" t="n">
        <f aca="false">'Plan-Kunden'!B51</f>
        <v>46692</v>
      </c>
      <c r="C51" s="82" t="n">
        <f aca="false">'Plan-Kunden'!E51</f>
        <v>2.12630837973337</v>
      </c>
      <c r="D51" s="82" t="n">
        <f aca="false">'Plan-Kunden'!K51</f>
        <v>21.2132081650916</v>
      </c>
      <c r="E51" s="82" t="n">
        <f aca="false">'Plan-Kunden'!I51</f>
        <v>21.2132081650916</v>
      </c>
      <c r="F51" s="82" t="n">
        <f aca="false">'Plan-Kunden'!J51</f>
        <v>0</v>
      </c>
      <c r="G51" s="94" t="n">
        <f aca="false">D51*'Plan-Annahmen'!$B$32</f>
        <v>169.705665320733</v>
      </c>
      <c r="H51" s="42" t="n">
        <f aca="false">E51*'Plan-Annahmen'!$B$47+F51*'Plan-Annahmen'!$B$48</f>
        <v>615.183036787657</v>
      </c>
      <c r="I51" s="42" t="n">
        <f aca="false">H51*('Plan-Annahmen'!$B$33+'Plan-Annahmen'!$B$34)</f>
        <v>18.4554911036297</v>
      </c>
      <c r="J51" s="42" t="n">
        <f aca="false">E51*('Plan-Annahmen'!$B$47*'Plan-Annahmen'!$B$51+'Plan-Annahmen'!$B$52)+F51*('Plan-Annahmen'!$B$48*'Plan-Annahmen'!$B$51+'Plan-Annahmen'!$B$52)</f>
        <v>14.5310475930878</v>
      </c>
      <c r="K51" s="42" t="n">
        <f aca="false">G51*'Plan-Annahmen'!$B$50/100</f>
        <v>4.24264163301833</v>
      </c>
      <c r="L51" s="42" t="n">
        <f aca="false">'Plan-Kunden'!D51*'Plan-Annahmen'!$B$48*'Plan-Annahmen'!$B$30</f>
        <v>0</v>
      </c>
      <c r="M51" s="42" t="n">
        <f aca="false">'Plan-Kosten'!AB$58</f>
        <v>533.014333333333</v>
      </c>
      <c r="N51" s="42" t="n">
        <f aca="false">'Plan-Kosten'!AB$55</f>
        <v>0</v>
      </c>
      <c r="O51" s="48" t="n">
        <f aca="false">I51+J51+K51+L51+M51+N51</f>
        <v>570.243513663069</v>
      </c>
      <c r="P51" s="30" t="n">
        <f aca="false">H51-O51</f>
        <v>44.9395231245879</v>
      </c>
      <c r="Q51" s="42" t="n">
        <f aca="false">MAX(0,P51*'Plan-Annahmen'!$B$69)</f>
        <v>13.8579454703157</v>
      </c>
      <c r="R51" s="48" t="n">
        <f aca="false">P51-Q51</f>
        <v>31.0815776542722</v>
      </c>
      <c r="S51" s="48" t="n">
        <f aca="false">S50+R51</f>
        <v>-7251.40916723354</v>
      </c>
      <c r="T51" s="42" t="n">
        <f aca="false">T50+'Plan-Kosten'!AB$56</f>
        <v>2000</v>
      </c>
      <c r="U51" s="30" t="n">
        <f aca="false">S51-T51</f>
        <v>-9251.40916723354</v>
      </c>
      <c r="V51" s="26" t="n">
        <f aca="false">IF(P51&gt;0,1,0)</f>
        <v>1</v>
      </c>
      <c r="W51" s="82" t="n">
        <f aca="false">'Plan-Kunden'!P51</f>
        <v>52.9902708292609</v>
      </c>
      <c r="X51" s="95" t="n">
        <f aca="false">'Plan-Kunden'!Q51</f>
        <v>0</v>
      </c>
      <c r="Y51" s="95" t="n">
        <f aca="false">IF(D51&gt;='Plan-Phase B'!$C$21,1,0)</f>
        <v>0</v>
      </c>
      <c r="Z51" s="95" t="n">
        <f aca="false">IF(D51&gt;='Plan-Phase B'!$D$21,1,0)</f>
        <v>0</v>
      </c>
      <c r="AA51" s="95" t="n">
        <f aca="false">IF(D51&gt;='Plan-Phase B'!$E$21,1,0)</f>
        <v>0</v>
      </c>
      <c r="AB51" s="26" t="n">
        <f aca="false">IF(AND(U51&gt;=0,A51&gt;$K$35),1,0)</f>
        <v>0</v>
      </c>
    </row>
    <row r="52" customFormat="false" ht="15" hidden="false" customHeight="false" outlineLevel="0" collapsed="false">
      <c r="A52" s="26" t="n">
        <v>16</v>
      </c>
      <c r="B52" s="78" t="n">
        <f aca="false">'Plan-Kunden'!B52</f>
        <v>46722</v>
      </c>
      <c r="C52" s="82" t="n">
        <f aca="false">'Plan-Kunden'!E52</f>
        <v>2.39185240227147</v>
      </c>
      <c r="D52" s="82" t="n">
        <f aca="false">'Plan-Kunden'!K52</f>
        <v>23.2868624448867</v>
      </c>
      <c r="E52" s="82" t="n">
        <f aca="false">'Plan-Kunden'!I52</f>
        <v>23.0315174647256</v>
      </c>
      <c r="F52" s="82" t="n">
        <f aca="false">'Plan-Kunden'!J52</f>
        <v>0.255344980161141</v>
      </c>
      <c r="G52" s="94" t="n">
        <f aca="false">D52*'Plan-Annahmen'!$B$32</f>
        <v>186.294899559094</v>
      </c>
      <c r="H52" s="42" t="n">
        <f aca="false">E52*'Plan-Annahmen'!$B$47+F52*'Plan-Annahmen'!$B$48</f>
        <v>680.425910504938</v>
      </c>
      <c r="I52" s="42" t="n">
        <f aca="false">H52*('Plan-Annahmen'!$B$33+'Plan-Annahmen'!$B$34)</f>
        <v>20.4127773151481</v>
      </c>
      <c r="J52" s="42" t="n">
        <f aca="false">E52*('Plan-Annahmen'!$B$47*'Plan-Annahmen'!$B$51+'Plan-Annahmen'!$B$52)+F52*('Plan-Annahmen'!$B$48*'Plan-Annahmen'!$B$51+'Plan-Annahmen'!$B$52)</f>
        <v>16.0281042687957</v>
      </c>
      <c r="K52" s="42" t="n">
        <f aca="false">G52*'Plan-Annahmen'!$B$50/100</f>
        <v>4.65737248897734</v>
      </c>
      <c r="L52" s="42" t="n">
        <f aca="false">'Plan-Kunden'!D52*'Plan-Annahmen'!$B$48*'Plan-Annahmen'!$B$30</f>
        <v>0</v>
      </c>
      <c r="M52" s="42" t="n">
        <f aca="false">'Plan-Kosten'!AC$58</f>
        <v>633.014333333333</v>
      </c>
      <c r="N52" s="42" t="n">
        <f aca="false">'Plan-Kosten'!AC$55</f>
        <v>0</v>
      </c>
      <c r="O52" s="48" t="n">
        <f aca="false">I52+J52+K52+L52+M52+N52</f>
        <v>674.112587406255</v>
      </c>
      <c r="P52" s="30" t="n">
        <f aca="false">H52-O52</f>
        <v>6.31332309868299</v>
      </c>
      <c r="Q52" s="42" t="n">
        <f aca="false">MAX(0,P52*'Plan-Annahmen'!$B$69)</f>
        <v>1.94683167855346</v>
      </c>
      <c r="R52" s="48" t="n">
        <f aca="false">P52-Q52</f>
        <v>4.36649142012953</v>
      </c>
      <c r="S52" s="48" t="n">
        <f aca="false">S51+R52</f>
        <v>-7247.04267581341</v>
      </c>
      <c r="T52" s="42" t="n">
        <f aca="false">T51+'Plan-Kosten'!AC$56</f>
        <v>2000</v>
      </c>
      <c r="U52" s="30" t="n">
        <f aca="false">S52-T52</f>
        <v>-9247.04267581341</v>
      </c>
      <c r="V52" s="26" t="n">
        <f aca="false">IF(P52&gt;0,1,0)</f>
        <v>1</v>
      </c>
      <c r="W52" s="82" t="n">
        <f aca="false">'Plan-Kunden'!P52</f>
        <v>53.8779111357375</v>
      </c>
      <c r="X52" s="95" t="n">
        <f aca="false">'Plan-Kunden'!Q52</f>
        <v>0</v>
      </c>
      <c r="Y52" s="95" t="n">
        <f aca="false">IF(D52&gt;='Plan-Phase B'!$C$21,1,0)</f>
        <v>0</v>
      </c>
      <c r="Z52" s="95" t="n">
        <f aca="false">IF(D52&gt;='Plan-Phase B'!$D$21,1,0)</f>
        <v>0</v>
      </c>
      <c r="AA52" s="95" t="n">
        <f aca="false">IF(D52&gt;='Plan-Phase B'!$E$21,1,0)</f>
        <v>0</v>
      </c>
      <c r="AB52" s="26" t="n">
        <f aca="false">IF(AND(U52&gt;=0,A52&gt;$K$35),1,0)</f>
        <v>0</v>
      </c>
    </row>
    <row r="53" customFormat="false" ht="15" hidden="false" customHeight="false" outlineLevel="0" collapsed="false">
      <c r="A53" s="26" t="n">
        <v>17</v>
      </c>
      <c r="B53" s="78" t="n">
        <f aca="false">'Plan-Kunden'!B53</f>
        <v>46753</v>
      </c>
      <c r="C53" s="82" t="n">
        <f aca="false">'Plan-Kunden'!E53</f>
        <v>3.41147969361555</v>
      </c>
      <c r="D53" s="82" t="n">
        <f aca="false">'Plan-Kunden'!K53</f>
        <v>26.3426555773249</v>
      </c>
      <c r="E53" s="82" t="n">
        <f aca="false">'Plan-Kunden'!I53</f>
        <v>22.6860447027547</v>
      </c>
      <c r="F53" s="82" t="n">
        <f aca="false">'Plan-Kunden'!J53</f>
        <v>3.65661087457025</v>
      </c>
      <c r="G53" s="94" t="n">
        <f aca="false">D53*'Plan-Annahmen'!$B$32</f>
        <v>210.7412446186</v>
      </c>
      <c r="H53" s="42" t="n">
        <f aca="false">E53*'Plan-Annahmen'!$B$47+F53*'Plan-Annahmen'!$B$48</f>
        <v>837.069229233828</v>
      </c>
      <c r="I53" s="42" t="n">
        <f aca="false">H53*('Plan-Annahmen'!$B$33+'Plan-Annahmen'!$B$34)</f>
        <v>25.1120768770148</v>
      </c>
      <c r="J53" s="42" t="n">
        <f aca="false">E53*('Plan-Annahmen'!$B$47*'Plan-Annahmen'!$B$51+'Plan-Annahmen'!$B$52)+F53*('Plan-Annahmen'!$B$48*'Plan-Annahmen'!$B$51+'Plan-Annahmen'!$B$52)</f>
        <v>19.1417023328387</v>
      </c>
      <c r="K53" s="42" t="n">
        <f aca="false">G53*'Plan-Annahmen'!$B$50/100</f>
        <v>5.26853111546499</v>
      </c>
      <c r="L53" s="42" t="n">
        <f aca="false">'Plan-Kunden'!D53*'Plan-Annahmen'!$B$48*'Plan-Annahmen'!$B$30</f>
        <v>0</v>
      </c>
      <c r="M53" s="42" t="n">
        <f aca="false">'Plan-Kosten'!AD$58</f>
        <v>533.014333333333</v>
      </c>
      <c r="N53" s="42" t="n">
        <f aca="false">'Plan-Kosten'!AD$55</f>
        <v>0</v>
      </c>
      <c r="O53" s="48" t="n">
        <f aca="false">I53+J53+K53+L53+M53+N53</f>
        <v>582.536643658652</v>
      </c>
      <c r="P53" s="30" t="n">
        <f aca="false">H53-O53</f>
        <v>254.532585575176</v>
      </c>
      <c r="Q53" s="42" t="n">
        <f aca="false">MAX(0,P53*'Plan-Annahmen'!$B$69)</f>
        <v>78.4899003387369</v>
      </c>
      <c r="R53" s="48" t="n">
        <f aca="false">P53-Q53</f>
        <v>176.042685236439</v>
      </c>
      <c r="S53" s="48" t="n">
        <f aca="false">S52+R53</f>
        <v>-7070.99999057697</v>
      </c>
      <c r="T53" s="42" t="n">
        <f aca="false">T52+'Plan-Kosten'!AD$56</f>
        <v>2000</v>
      </c>
      <c r="U53" s="30" t="n">
        <f aca="false">S53-T53</f>
        <v>-9070.99999057697</v>
      </c>
      <c r="V53" s="26" t="n">
        <f aca="false">IF(P53&gt;0,1,0)</f>
        <v>1</v>
      </c>
      <c r="W53" s="82" t="n">
        <f aca="false">'Plan-Kunden'!P53</f>
        <v>55.814276366813</v>
      </c>
      <c r="X53" s="95" t="n">
        <f aca="false">'Plan-Kunden'!Q53</f>
        <v>0</v>
      </c>
      <c r="Y53" s="95" t="n">
        <f aca="false">IF(D53&gt;='Plan-Phase B'!$C$21,1,0)</f>
        <v>0</v>
      </c>
      <c r="Z53" s="95" t="n">
        <f aca="false">IF(D53&gt;='Plan-Phase B'!$D$21,1,0)</f>
        <v>0</v>
      </c>
      <c r="AA53" s="95" t="n">
        <f aca="false">IF(D53&gt;='Plan-Phase B'!$E$21,1,0)</f>
        <v>0</v>
      </c>
      <c r="AB53" s="26" t="n">
        <f aca="false">IF(AND(U53&gt;=0,A53&gt;$K$35),1,0)</f>
        <v>0</v>
      </c>
    </row>
    <row r="54" customFormat="false" ht="15" hidden="false" customHeight="false" outlineLevel="0" collapsed="false">
      <c r="A54" s="26" t="n">
        <v>18</v>
      </c>
      <c r="B54" s="78" t="n">
        <f aca="false">'Plan-Kunden'!B54</f>
        <v>46784</v>
      </c>
      <c r="C54" s="82" t="n">
        <f aca="false">'Plan-Kunden'!E54</f>
        <v>2.9267767347091</v>
      </c>
      <c r="D54" s="82" t="n">
        <f aca="false">'Plan-Kunden'!K54</f>
        <v>28.7828772065099</v>
      </c>
      <c r="E54" s="82" t="n">
        <f aca="false">'Plan-Kunden'!I54</f>
        <v>22.3457540322134</v>
      </c>
      <c r="F54" s="82" t="n">
        <f aca="false">'Plan-Kunden'!J54</f>
        <v>6.43712317429653</v>
      </c>
      <c r="G54" s="94" t="n">
        <f aca="false">D54*'Plan-Annahmen'!$B$32</f>
        <v>230.263017652079</v>
      </c>
      <c r="H54" s="42" t="n">
        <f aca="false">E54*'Plan-Annahmen'!$B$47+F54*'Plan-Annahmen'!$B$48</f>
        <v>963.445902474718</v>
      </c>
      <c r="I54" s="42" t="n">
        <f aca="false">H54*('Plan-Annahmen'!$B$33+'Plan-Annahmen'!$B$34)</f>
        <v>28.9033770742415</v>
      </c>
      <c r="J54" s="42" t="n">
        <f aca="false">E54*('Plan-Annahmen'!$B$47*'Plan-Annahmen'!$B$51+'Plan-Annahmen'!$B$52)+F54*('Plan-Annahmen'!$B$48*'Plan-Annahmen'!$B$51+'Plan-Annahmen'!$B$52)</f>
        <v>21.6474078387482</v>
      </c>
      <c r="K54" s="42" t="n">
        <f aca="false">G54*'Plan-Annahmen'!$B$50/100</f>
        <v>5.75657544130198</v>
      </c>
      <c r="L54" s="42" t="n">
        <f aca="false">'Plan-Kunden'!D54*'Plan-Annahmen'!$B$48*'Plan-Annahmen'!$B$30</f>
        <v>0</v>
      </c>
      <c r="M54" s="42" t="n">
        <f aca="false">'Plan-Kosten'!AE$58</f>
        <v>633.014333333333</v>
      </c>
      <c r="N54" s="42" t="n">
        <f aca="false">'Plan-Kosten'!AE$55</f>
        <v>0</v>
      </c>
      <c r="O54" s="48" t="n">
        <f aca="false">I54+J54+K54+L54+M54+N54</f>
        <v>689.321693687625</v>
      </c>
      <c r="P54" s="30" t="n">
        <f aca="false">H54-O54</f>
        <v>274.124208787093</v>
      </c>
      <c r="Q54" s="42" t="n">
        <f aca="false">MAX(0,P54*'Plan-Annahmen'!$B$69)</f>
        <v>84.531345090899</v>
      </c>
      <c r="R54" s="48" t="n">
        <f aca="false">P54-Q54</f>
        <v>189.592863696194</v>
      </c>
      <c r="S54" s="48" t="n">
        <f aca="false">S53+R54</f>
        <v>-6881.40712688078</v>
      </c>
      <c r="T54" s="42" t="n">
        <f aca="false">T53+'Plan-Kosten'!AE$56</f>
        <v>2000</v>
      </c>
      <c r="U54" s="30" t="n">
        <f aca="false">S54-T54</f>
        <v>-8881.40712688078</v>
      </c>
      <c r="V54" s="26" t="n">
        <f aca="false">IF(P54&gt;0,1,0)</f>
        <v>1</v>
      </c>
      <c r="W54" s="82" t="n">
        <f aca="false">'Plan-Kunden'!P54</f>
        <v>56.0616398966621</v>
      </c>
      <c r="X54" s="95" t="n">
        <f aca="false">'Plan-Kunden'!Q54</f>
        <v>0</v>
      </c>
      <c r="Y54" s="95" t="n">
        <f aca="false">IF(D54&gt;='Plan-Phase B'!$C$21,1,0)</f>
        <v>0</v>
      </c>
      <c r="Z54" s="95" t="n">
        <f aca="false">IF(D54&gt;='Plan-Phase B'!$D$21,1,0)</f>
        <v>0</v>
      </c>
      <c r="AA54" s="95" t="n">
        <f aca="false">IF(D54&gt;='Plan-Phase B'!$E$21,1,0)</f>
        <v>0</v>
      </c>
      <c r="AB54" s="26" t="n">
        <f aca="false">IF(AND(U54&gt;=0,A54&gt;$K$35),1,0)</f>
        <v>0</v>
      </c>
    </row>
    <row r="55" customFormat="false" ht="15" hidden="false" customHeight="false" outlineLevel="0" collapsed="false">
      <c r="A55" s="26" t="n">
        <v>19</v>
      </c>
      <c r="B55" s="78" t="n">
        <f aca="false">'Plan-Kunden'!B55</f>
        <v>46813</v>
      </c>
      <c r="C55" s="82" t="n">
        <f aca="false">'Plan-Kunden'!E55</f>
        <v>3.44405718704072</v>
      </c>
      <c r="D55" s="82" t="n">
        <f aca="false">'Plan-Kunden'!K55</f>
        <v>31.6342631560956</v>
      </c>
      <c r="E55" s="82" t="n">
        <f aca="false">'Plan-Kunden'!I55</f>
        <v>22.0105677217302</v>
      </c>
      <c r="F55" s="82" t="n">
        <f aca="false">'Plan-Kunden'!J55</f>
        <v>9.6236954343654</v>
      </c>
      <c r="G55" s="94" t="n">
        <f aca="false">D55*'Plan-Annahmen'!$B$32</f>
        <v>253.074105248764</v>
      </c>
      <c r="H55" s="42" t="n">
        <f aca="false">E55*'Plan-Annahmen'!$B$47+F55*'Plan-Annahmen'!$B$48</f>
        <v>1109.86754021408</v>
      </c>
      <c r="I55" s="42" t="n">
        <f aca="false">H55*('Plan-Annahmen'!$B$33+'Plan-Annahmen'!$B$34)</f>
        <v>33.2960262064224</v>
      </c>
      <c r="J55" s="42" t="n">
        <f aca="false">E55*('Plan-Annahmen'!$B$47*'Plan-Annahmen'!$B$51+'Plan-Annahmen'!$B$52)+F55*('Plan-Annahmen'!$B$48*'Plan-Annahmen'!$B$51+'Plan-Annahmen'!$B$52)</f>
        <v>24.5565788922351</v>
      </c>
      <c r="K55" s="42" t="n">
        <f aca="false">G55*'Plan-Annahmen'!$B$50/100</f>
        <v>6.32685263121911</v>
      </c>
      <c r="L55" s="42" t="n">
        <f aca="false">'Plan-Kunden'!D55*'Plan-Annahmen'!$B$48*'Plan-Annahmen'!$B$30</f>
        <v>0</v>
      </c>
      <c r="M55" s="42" t="n">
        <f aca="false">'Plan-Kosten'!AF$58</f>
        <v>533.014333333333</v>
      </c>
      <c r="N55" s="42" t="n">
        <f aca="false">'Plan-Kosten'!AF$55</f>
        <v>0</v>
      </c>
      <c r="O55" s="48" t="n">
        <f aca="false">I55+J55+K55+L55+M55+N55</f>
        <v>597.19379106321</v>
      </c>
      <c r="P55" s="30" t="n">
        <f aca="false">H55-O55</f>
        <v>512.673749150869</v>
      </c>
      <c r="Q55" s="42" t="n">
        <f aca="false">MAX(0,P55*'Plan-Annahmen'!$B$69)</f>
        <v>158.092573436942</v>
      </c>
      <c r="R55" s="48" t="n">
        <f aca="false">P55-Q55</f>
        <v>354.581175713927</v>
      </c>
      <c r="S55" s="48" t="n">
        <f aca="false">S54+R55</f>
        <v>-6526.82595116685</v>
      </c>
      <c r="T55" s="42" t="n">
        <f aca="false">T54+'Plan-Kosten'!AF$56</f>
        <v>2000</v>
      </c>
      <c r="U55" s="30" t="n">
        <f aca="false">S55-T55</f>
        <v>-8526.82595116685</v>
      </c>
      <c r="V55" s="26" t="n">
        <f aca="false">IF(P55&gt;0,1,0)</f>
        <v>1</v>
      </c>
      <c r="W55" s="82" t="n">
        <f aca="false">'Plan-Kunden'!P55</f>
        <v>57.4343361338694</v>
      </c>
      <c r="X55" s="95" t="n">
        <f aca="false">'Plan-Kunden'!Q55</f>
        <v>0</v>
      </c>
      <c r="Y55" s="95" t="n">
        <f aca="false">IF(D55&gt;='Plan-Phase B'!$C$21,1,0)</f>
        <v>0</v>
      </c>
      <c r="Z55" s="95" t="n">
        <f aca="false">IF(D55&gt;='Plan-Phase B'!$D$21,1,0)</f>
        <v>0</v>
      </c>
      <c r="AA55" s="95" t="n">
        <f aca="false">IF(D55&gt;='Plan-Phase B'!$E$21,1,0)</f>
        <v>0</v>
      </c>
      <c r="AB55" s="26" t="n">
        <f aca="false">IF(AND(U55&gt;=0,A55&gt;$K$35),1,0)</f>
        <v>0</v>
      </c>
    </row>
    <row r="56" customFormat="false" ht="15" hidden="false" customHeight="false" outlineLevel="0" collapsed="false">
      <c r="A56" s="26" t="n">
        <v>20</v>
      </c>
      <c r="B56" s="78" t="n">
        <f aca="false">'Plan-Kunden'!B56</f>
        <v>46844</v>
      </c>
      <c r="C56" s="82" t="n">
        <f aca="false">'Plan-Kunden'!E56</f>
        <v>4.21952212981104</v>
      </c>
      <c r="D56" s="82" t="n">
        <f aca="false">'Plan-Kunden'!K56</f>
        <v>35.138678952706</v>
      </c>
      <c r="E56" s="82" t="n">
        <f aca="false">'Plan-Kunden'!I56</f>
        <v>21.6804092059042</v>
      </c>
      <c r="F56" s="82" t="n">
        <f aca="false">'Plan-Kunden'!J56</f>
        <v>13.4582697468018</v>
      </c>
      <c r="G56" s="94" t="n">
        <f aca="false">D56*'Plan-Annahmen'!$B$32</f>
        <v>281.109431621648</v>
      </c>
      <c r="H56" s="42" t="n">
        <f aca="false">E56*'Plan-Annahmen'!$B$47+F56*'Plan-Annahmen'!$B$48</f>
        <v>1288.18708456451</v>
      </c>
      <c r="I56" s="42" t="n">
        <f aca="false">H56*('Plan-Annahmen'!$B$33+'Plan-Annahmen'!$B$34)</f>
        <v>38.6456125369353</v>
      </c>
      <c r="J56" s="42" t="n">
        <f aca="false">E56*('Plan-Annahmen'!$B$47*'Plan-Annahmen'!$B$51+'Plan-Annahmen'!$B$52)+F56*('Plan-Annahmen'!$B$48*'Plan-Annahmen'!$B$51+'Plan-Annahmen'!$B$52)</f>
        <v>28.1074760066442</v>
      </c>
      <c r="K56" s="42" t="n">
        <f aca="false">G56*'Plan-Annahmen'!$B$50/100</f>
        <v>7.02773579054121</v>
      </c>
      <c r="L56" s="42" t="n">
        <f aca="false">'Plan-Kunden'!D56*'Plan-Annahmen'!$B$48*'Plan-Annahmen'!$B$30</f>
        <v>0</v>
      </c>
      <c r="M56" s="42" t="n">
        <f aca="false">'Plan-Kosten'!AG$58</f>
        <v>633.014333333333</v>
      </c>
      <c r="N56" s="42" t="n">
        <f aca="false">'Plan-Kosten'!AG$55</f>
        <v>0</v>
      </c>
      <c r="O56" s="48" t="n">
        <f aca="false">I56+J56+K56+L56+M56+N56</f>
        <v>706.795157667454</v>
      </c>
      <c r="P56" s="30" t="n">
        <f aca="false">H56-O56</f>
        <v>581.391926897057</v>
      </c>
      <c r="Q56" s="42" t="n">
        <f aca="false">MAX(0,P56*'Plan-Annahmen'!$B$69)</f>
        <v>179.283113385175</v>
      </c>
      <c r="R56" s="48" t="n">
        <f aca="false">P56-Q56</f>
        <v>402.108813511882</v>
      </c>
      <c r="S56" s="48" t="n">
        <f aca="false">S55+R56</f>
        <v>-6124.71713765497</v>
      </c>
      <c r="T56" s="42" t="n">
        <f aca="false">T55+'Plan-Kosten'!AG$56</f>
        <v>2000</v>
      </c>
      <c r="U56" s="30" t="n">
        <f aca="false">S56-T56</f>
        <v>-8124.71713765497</v>
      </c>
      <c r="V56" s="26" t="n">
        <f aca="false">IF(P56&gt;0,1,0)</f>
        <v>1</v>
      </c>
      <c r="W56" s="82" t="n">
        <f aca="false">'Plan-Kunden'!P56</f>
        <v>59.2611258156229</v>
      </c>
      <c r="X56" s="95" t="n">
        <f aca="false">'Plan-Kunden'!Q56</f>
        <v>0</v>
      </c>
      <c r="Y56" s="95" t="n">
        <f aca="false">IF(D56&gt;='Plan-Phase B'!$C$21,1,0)</f>
        <v>0</v>
      </c>
      <c r="Z56" s="95" t="n">
        <f aca="false">IF(D56&gt;='Plan-Phase B'!$D$21,1,0)</f>
        <v>0</v>
      </c>
      <c r="AA56" s="95" t="n">
        <f aca="false">IF(D56&gt;='Plan-Phase B'!$E$21,1,0)</f>
        <v>0</v>
      </c>
      <c r="AB56" s="26" t="n">
        <f aca="false">IF(AND(U56&gt;=0,A56&gt;$K$35),1,0)</f>
        <v>0</v>
      </c>
    </row>
    <row r="57" customFormat="false" ht="15" hidden="false" customHeight="false" outlineLevel="0" collapsed="false">
      <c r="A57" s="26" t="n">
        <v>21</v>
      </c>
      <c r="B57" s="78" t="n">
        <f aca="false">'Plan-Kunden'!B57</f>
        <v>46874</v>
      </c>
      <c r="C57" s="82" t="n">
        <f aca="false">'Plan-Kunden'!E57</f>
        <v>3.73985731005425</v>
      </c>
      <c r="D57" s="82" t="n">
        <f aca="false">'Plan-Kunden'!K57</f>
        <v>38.0149993347996</v>
      </c>
      <c r="E57" s="82" t="n">
        <f aca="false">'Plan-Kunden'!I57</f>
        <v>21.3552030678156</v>
      </c>
      <c r="F57" s="82" t="n">
        <f aca="false">'Plan-Kunden'!J57</f>
        <v>16.659796266984</v>
      </c>
      <c r="G57" s="94" t="n">
        <f aca="false">D57*'Plan-Annahmen'!$B$32</f>
        <v>304.119994678397</v>
      </c>
      <c r="H57" s="42" t="n">
        <f aca="false">E57*'Plan-Annahmen'!$B$47+F57*'Plan-Annahmen'!$B$48</f>
        <v>1435.63090604887</v>
      </c>
      <c r="I57" s="42" t="n">
        <f aca="false">H57*('Plan-Annahmen'!$B$33+'Plan-Annahmen'!$B$34)</f>
        <v>43.0689271814661</v>
      </c>
      <c r="J57" s="42" t="n">
        <f aca="false">E57*('Plan-Annahmen'!$B$47*'Plan-Annahmen'!$B$51+'Plan-Annahmen'!$B$52)+F57*('Plan-Annahmen'!$B$48*'Plan-Annahmen'!$B$51+'Plan-Annahmen'!$B$52)</f>
        <v>31.038213424433</v>
      </c>
      <c r="K57" s="42" t="n">
        <f aca="false">G57*'Plan-Annahmen'!$B$50/100</f>
        <v>7.60299986695993</v>
      </c>
      <c r="L57" s="42" t="n">
        <f aca="false">'Plan-Kunden'!D57*'Plan-Annahmen'!$B$48*'Plan-Annahmen'!$B$30</f>
        <v>0</v>
      </c>
      <c r="M57" s="42" t="n">
        <f aca="false">'Plan-Kosten'!AH$58</f>
        <v>533.014333333333</v>
      </c>
      <c r="N57" s="42" t="n">
        <f aca="false">'Plan-Kosten'!AH$55</f>
        <v>0</v>
      </c>
      <c r="O57" s="48" t="n">
        <f aca="false">I57+J57+K57+L57+M57+N57</f>
        <v>614.724473806192</v>
      </c>
      <c r="P57" s="30" t="n">
        <f aca="false">H57-O57</f>
        <v>820.906432242678</v>
      </c>
      <c r="Q57" s="42" t="n">
        <f aca="false">MAX(0,P57*'Plan-Annahmen'!$B$69)</f>
        <v>253.141906795763</v>
      </c>
      <c r="R57" s="48" t="n">
        <f aca="false">P57-Q57</f>
        <v>567.764525446915</v>
      </c>
      <c r="S57" s="48" t="n">
        <f aca="false">S56+R57</f>
        <v>-5556.95261220805</v>
      </c>
      <c r="T57" s="42" t="n">
        <f aca="false">T56+'Plan-Kosten'!AH$56</f>
        <v>2000</v>
      </c>
      <c r="U57" s="30" t="n">
        <f aca="false">S57-T57</f>
        <v>-7556.95261220805</v>
      </c>
      <c r="V57" s="26" t="n">
        <f aca="false">IF(P57&gt;0,1,0)</f>
        <v>1</v>
      </c>
      <c r="W57" s="82" t="n">
        <f aca="false">'Plan-Kunden'!P57</f>
        <v>59.6443571104941</v>
      </c>
      <c r="X57" s="95" t="n">
        <f aca="false">'Plan-Kunden'!Q57</f>
        <v>0</v>
      </c>
      <c r="Y57" s="95" t="n">
        <f aca="false">IF(D57&gt;='Plan-Phase B'!$C$21,1,0)</f>
        <v>1</v>
      </c>
      <c r="Z57" s="95" t="n">
        <f aca="false">IF(D57&gt;='Plan-Phase B'!$D$21,1,0)</f>
        <v>0</v>
      </c>
      <c r="AA57" s="95" t="n">
        <f aca="false">IF(D57&gt;='Plan-Phase B'!$E$21,1,0)</f>
        <v>0</v>
      </c>
      <c r="AB57" s="26" t="n">
        <f aca="false">IF(AND(U57&gt;=0,A57&gt;$K$35),1,0)</f>
        <v>0</v>
      </c>
    </row>
    <row r="58" customFormat="false" ht="15" hidden="false" customHeight="false" outlineLevel="0" collapsed="false">
      <c r="A58" s="26" t="n">
        <v>22</v>
      </c>
      <c r="B58" s="78" t="n">
        <f aca="false">'Plan-Kunden'!B58</f>
        <v>46905</v>
      </c>
      <c r="C58" s="82" t="n">
        <f aca="false">'Plan-Kunden'!E58</f>
        <v>3.76361885963413</v>
      </c>
      <c r="D58" s="82" t="n">
        <f aca="false">'Plan-Kunden'!K58</f>
        <v>40.7918982977372</v>
      </c>
      <c r="E58" s="82" t="n">
        <f aca="false">'Plan-Kunden'!I58</f>
        <v>21.0348750217984</v>
      </c>
      <c r="F58" s="82" t="n">
        <f aca="false">'Plan-Kunden'!J58</f>
        <v>19.7570232759388</v>
      </c>
      <c r="G58" s="94" t="n">
        <f aca="false">D58*'Plan-Annahmen'!$B$32</f>
        <v>326.335186381897</v>
      </c>
      <c r="H58" s="42" t="n">
        <f aca="false">E58*'Plan-Annahmen'!$B$47+F58*'Plan-Annahmen'!$B$48</f>
        <v>1578.10551615315</v>
      </c>
      <c r="I58" s="42" t="n">
        <f aca="false">H58*('Plan-Annahmen'!$B$33+'Plan-Annahmen'!$B$34)</f>
        <v>47.3431654845946</v>
      </c>
      <c r="J58" s="42" t="n">
        <f aca="false">E58*('Plan-Annahmen'!$B$47*'Plan-Annahmen'!$B$51+'Plan-Annahmen'!$B$52)+F58*('Plan-Annahmen'!$B$48*'Plan-Annahmen'!$B$51+'Plan-Annahmen'!$B$52)</f>
        <v>33.8695573167316</v>
      </c>
      <c r="K58" s="42" t="n">
        <f aca="false">G58*'Plan-Annahmen'!$B$50/100</f>
        <v>8.15837965954744</v>
      </c>
      <c r="L58" s="42" t="n">
        <f aca="false">'Plan-Kunden'!D58*'Plan-Annahmen'!$B$48*'Plan-Annahmen'!$B$30</f>
        <v>0</v>
      </c>
      <c r="M58" s="42" t="n">
        <f aca="false">'Plan-Kosten'!AI$58</f>
        <v>633.014333333333</v>
      </c>
      <c r="N58" s="42" t="n">
        <f aca="false">'Plan-Kosten'!AI$55</f>
        <v>0</v>
      </c>
      <c r="O58" s="48" t="n">
        <f aca="false">I58+J58+K58+L58+M58+N58</f>
        <v>722.385435794207</v>
      </c>
      <c r="P58" s="30" t="n">
        <f aca="false">H58-O58</f>
        <v>855.720080358947</v>
      </c>
      <c r="Q58" s="42" t="n">
        <f aca="false">MAX(0,P58*'Plan-Annahmen'!$B$69)</f>
        <v>263.87734864459</v>
      </c>
      <c r="R58" s="48" t="n">
        <f aca="false">P58-Q58</f>
        <v>591.842731714357</v>
      </c>
      <c r="S58" s="48" t="n">
        <f aca="false">S57+R58</f>
        <v>-4965.1098804937</v>
      </c>
      <c r="T58" s="42" t="n">
        <f aca="false">T57+'Plan-Kosten'!AI$56</f>
        <v>2000</v>
      </c>
      <c r="U58" s="30" t="n">
        <f aca="false">S58-T58</f>
        <v>-6965.1098804937</v>
      </c>
      <c r="V58" s="26" t="n">
        <f aca="false">IF(P58&gt;0,1,0)</f>
        <v>1</v>
      </c>
      <c r="W58" s="82" t="n">
        <f aca="false">'Plan-Kunden'!P58</f>
        <v>60.5011883489553</v>
      </c>
      <c r="X58" s="95" t="n">
        <f aca="false">'Plan-Kunden'!Q58</f>
        <v>0</v>
      </c>
      <c r="Y58" s="95" t="n">
        <f aca="false">IF(D58&gt;='Plan-Phase B'!$C$21,1,0)</f>
        <v>1</v>
      </c>
      <c r="Z58" s="95" t="n">
        <f aca="false">IF(D58&gt;='Plan-Phase B'!$D$21,1,0)</f>
        <v>0</v>
      </c>
      <c r="AA58" s="95" t="n">
        <f aca="false">IF(D58&gt;='Plan-Phase B'!$E$21,1,0)</f>
        <v>0</v>
      </c>
      <c r="AB58" s="26" t="n">
        <f aca="false">IF(AND(U58&gt;=0,A58&gt;$K$35),1,0)</f>
        <v>0</v>
      </c>
    </row>
    <row r="59" customFormat="false" ht="15" hidden="false" customHeight="false" outlineLevel="0" collapsed="false">
      <c r="A59" s="26" t="n">
        <v>23</v>
      </c>
      <c r="B59" s="78" t="n">
        <f aca="false">'Plan-Kunden'!B59</f>
        <v>46935</v>
      </c>
      <c r="C59" s="82" t="n">
        <f aca="false">'Plan-Kunden'!E59</f>
        <v>4.29282232460588</v>
      </c>
      <c r="D59" s="82" t="n">
        <f aca="false">'Plan-Kunden'!K59</f>
        <v>43.9789165659785</v>
      </c>
      <c r="E59" s="82" t="n">
        <f aca="false">'Plan-Kunden'!I59</f>
        <v>20.7193518964714</v>
      </c>
      <c r="F59" s="82" t="n">
        <f aca="false">'Plan-Kunden'!J59</f>
        <v>23.2595646695071</v>
      </c>
      <c r="G59" s="94" t="n">
        <f aca="false">D59*'Plan-Annahmen'!$B$32</f>
        <v>351.831332527828</v>
      </c>
      <c r="H59" s="42" t="n">
        <f aca="false">E59*'Plan-Annahmen'!$B$47+F59*'Plan-Annahmen'!$B$48</f>
        <v>1740.57987380352</v>
      </c>
      <c r="I59" s="42" t="n">
        <f aca="false">H59*('Plan-Annahmen'!$B$33+'Plan-Annahmen'!$B$34)</f>
        <v>52.2173962141056</v>
      </c>
      <c r="J59" s="42" t="n">
        <f aca="false">E59*('Plan-Annahmen'!$B$47*'Plan-Annahmen'!$B$51+'Plan-Annahmen'!$B$52)+F59*('Plan-Annahmen'!$B$48*'Plan-Annahmen'!$B$51+'Plan-Annahmen'!$B$52)</f>
        <v>37.1034272485474</v>
      </c>
      <c r="K59" s="42" t="n">
        <f aca="false">G59*'Plan-Annahmen'!$B$50/100</f>
        <v>8.79578331319571</v>
      </c>
      <c r="L59" s="42" t="n">
        <f aca="false">'Plan-Kunden'!D59*'Plan-Annahmen'!$B$48*'Plan-Annahmen'!$B$30</f>
        <v>0</v>
      </c>
      <c r="M59" s="42" t="n">
        <f aca="false">'Plan-Kosten'!AJ$58</f>
        <v>533.014333333333</v>
      </c>
      <c r="N59" s="42" t="n">
        <f aca="false">'Plan-Kosten'!AJ$55</f>
        <v>0</v>
      </c>
      <c r="O59" s="48" t="n">
        <f aca="false">I59+J59+K59+L59+M59+N59</f>
        <v>631.130940109182</v>
      </c>
      <c r="P59" s="30" t="n">
        <f aca="false">H59-O59</f>
        <v>1109.44893369434</v>
      </c>
      <c r="Q59" s="42" t="n">
        <f aca="false">MAX(0,P59*'Plan-Annahmen'!$B$69)</f>
        <v>342.119403061134</v>
      </c>
      <c r="R59" s="48" t="n">
        <f aca="false">P59-Q59</f>
        <v>767.329530633203</v>
      </c>
      <c r="S59" s="48" t="n">
        <f aca="false">S58+R59</f>
        <v>-4197.78034986049</v>
      </c>
      <c r="T59" s="42" t="n">
        <f aca="false">T58+'Plan-Kosten'!AJ$56</f>
        <v>2000</v>
      </c>
      <c r="U59" s="30" t="n">
        <f aca="false">S59-T59</f>
        <v>-6197.78034986049</v>
      </c>
      <c r="V59" s="26" t="n">
        <f aca="false">IF(P59&gt;0,1,0)</f>
        <v>1</v>
      </c>
      <c r="W59" s="82" t="n">
        <f aca="false">'Plan-Kunden'!P59</f>
        <v>61.9864972943995</v>
      </c>
      <c r="X59" s="95" t="n">
        <f aca="false">'Plan-Kunden'!Q59</f>
        <v>0</v>
      </c>
      <c r="Y59" s="95" t="n">
        <f aca="false">IF(D59&gt;='Plan-Phase B'!$C$21,1,0)</f>
        <v>1</v>
      </c>
      <c r="Z59" s="95" t="n">
        <f aca="false">IF(D59&gt;='Plan-Phase B'!$D$21,1,0)</f>
        <v>0</v>
      </c>
      <c r="AA59" s="95" t="n">
        <f aca="false">IF(D59&gt;='Plan-Phase B'!$E$21,1,0)</f>
        <v>0</v>
      </c>
      <c r="AB59" s="26" t="n">
        <f aca="false">IF(AND(U59&gt;=0,A59&gt;$K$35),1,0)</f>
        <v>0</v>
      </c>
    </row>
    <row r="60" customFormat="false" ht="15" hidden="false" customHeight="false" outlineLevel="0" collapsed="false">
      <c r="A60" s="26" t="n">
        <v>24</v>
      </c>
      <c r="B60" s="78" t="n">
        <f aca="false">'Plan-Kunden'!B60</f>
        <v>46966</v>
      </c>
      <c r="C60" s="82" t="n">
        <f aca="false">'Plan-Kunden'!E60</f>
        <v>3.81679166112333</v>
      </c>
      <c r="D60" s="82" t="n">
        <f aca="false">'Plan-Kunden'!K60</f>
        <v>46.5545353618745</v>
      </c>
      <c r="E60" s="82" t="n">
        <f aca="false">'Plan-Kunden'!I60</f>
        <v>20.4085616180244</v>
      </c>
      <c r="F60" s="82" t="n">
        <f aca="false">'Plan-Kunden'!J60</f>
        <v>26.1459737438501</v>
      </c>
      <c r="G60" s="94" t="n">
        <f aca="false">D60*'Plan-Annahmen'!$B$32</f>
        <v>372.436282894996</v>
      </c>
      <c r="H60" s="42" t="n">
        <f aca="false">E60*'Plan-Annahmen'!$B$47+F60*'Plan-Annahmen'!$B$48</f>
        <v>1873.00100037136</v>
      </c>
      <c r="I60" s="42" t="n">
        <f aca="false">H60*('Plan-Annahmen'!$B$33+'Plan-Annahmen'!$B$34)</f>
        <v>56.1900300111409</v>
      </c>
      <c r="J60" s="42" t="n">
        <f aca="false">E60*('Plan-Annahmen'!$B$47*'Plan-Annahmen'!$B$51+'Plan-Annahmen'!$B$52)+F60*('Plan-Annahmen'!$B$48*'Plan-Annahmen'!$B$51+'Plan-Annahmen'!$B$52)</f>
        <v>39.7336488460391</v>
      </c>
      <c r="K60" s="42" t="n">
        <f aca="false">G60*'Plan-Annahmen'!$B$50/100</f>
        <v>9.3109070723749</v>
      </c>
      <c r="L60" s="42" t="n">
        <f aca="false">'Plan-Kunden'!D60*'Plan-Annahmen'!$B$48*'Plan-Annahmen'!$B$30</f>
        <v>0</v>
      </c>
      <c r="M60" s="42" t="n">
        <f aca="false">'Plan-Kosten'!AK$58</f>
        <v>633.014333333333</v>
      </c>
      <c r="N60" s="42" t="n">
        <f aca="false">'Plan-Kosten'!AK$55</f>
        <v>0</v>
      </c>
      <c r="O60" s="48" t="n">
        <f aca="false">I60+J60+K60+L60+M60+N60</f>
        <v>738.248919262888</v>
      </c>
      <c r="P60" s="30" t="n">
        <f aca="false">H60-O60</f>
        <v>1134.75208110848</v>
      </c>
      <c r="Q60" s="42" t="n">
        <f aca="false">MAX(0,P60*'Plan-Annahmen'!$B$69)</f>
        <v>349.922103506361</v>
      </c>
      <c r="R60" s="48" t="n">
        <f aca="false">P60-Q60</f>
        <v>784.829977602115</v>
      </c>
      <c r="S60" s="48" t="n">
        <f aca="false">S59+R60</f>
        <v>-3412.95037225838</v>
      </c>
      <c r="T60" s="42" t="n">
        <f aca="false">T59+'Plan-Kosten'!AK$56</f>
        <v>2000</v>
      </c>
      <c r="U60" s="30" t="n">
        <f aca="false">S60-T60</f>
        <v>-5412.95037225838</v>
      </c>
      <c r="V60" s="26" t="n">
        <f aca="false">IF(P60&gt;0,1,0)</f>
        <v>1</v>
      </c>
      <c r="W60" s="82" t="n">
        <f aca="false">'Plan-Kunden'!P60</f>
        <v>62.2831522696857</v>
      </c>
      <c r="X60" s="95" t="n">
        <f aca="false">'Plan-Kunden'!Q60</f>
        <v>0</v>
      </c>
      <c r="Y60" s="95" t="n">
        <f aca="false">IF(D60&gt;='Plan-Phase B'!$C$21,1,0)</f>
        <v>1</v>
      </c>
      <c r="Z60" s="95" t="n">
        <f aca="false">IF(D60&gt;='Plan-Phase B'!$D$21,1,0)</f>
        <v>1</v>
      </c>
      <c r="AA60" s="95" t="n">
        <f aca="false">IF(D60&gt;='Plan-Phase B'!$E$21,1,0)</f>
        <v>0</v>
      </c>
      <c r="AB60" s="26" t="n">
        <f aca="false">IF(AND(U60&gt;=0,A60&gt;$K$35),1,0)</f>
        <v>0</v>
      </c>
    </row>
    <row r="61" customFormat="false" ht="15" hidden="false" customHeight="false" outlineLevel="0" collapsed="false">
      <c r="A61" s="13" t="s">
        <v>687</v>
      </c>
      <c r="B61" s="14"/>
      <c r="C61" s="14"/>
      <c r="D61" s="14"/>
      <c r="E61" s="14"/>
      <c r="F61" s="14"/>
      <c r="G61" s="14"/>
      <c r="H61" s="16" t="n">
        <f aca="false">SUM(H37:H60)</f>
        <v>15312.0458648995</v>
      </c>
      <c r="I61" s="16" t="n">
        <f aca="false">SUM(I37:I60)</f>
        <v>459.361375946986</v>
      </c>
      <c r="J61" s="16" t="n">
        <f aca="false">SUM(J37:J60)</f>
        <v>341.120151952545</v>
      </c>
      <c r="K61" s="16" t="n">
        <f aca="false">SUM(K37:K60)</f>
        <v>89.1515711832416</v>
      </c>
      <c r="L61" s="16" t="n">
        <f aca="false">SUM(L37:L60)</f>
        <v>0</v>
      </c>
      <c r="M61" s="16" t="n">
        <f aca="false">SUM(M37:M60)</f>
        <v>13142.6006666667</v>
      </c>
      <c r="N61" s="16" t="n">
        <f aca="false">SUM(N37:N60)</f>
        <v>2967.5</v>
      </c>
      <c r="O61" s="16" t="n">
        <f aca="false">SUM(O37:O60)</f>
        <v>16999.7337657494</v>
      </c>
      <c r="P61" s="16" t="n">
        <f aca="false">SUM(P37:P60)</f>
        <v>-1687.68790084991</v>
      </c>
      <c r="Q61" s="16" t="n">
        <f aca="false">SUM(Q37:Q60)</f>
        <v>1725.26247140847</v>
      </c>
      <c r="R61" s="16" t="n">
        <f aca="false">SUM(R37:R60)</f>
        <v>-3412.95037225838</v>
      </c>
      <c r="S61" s="14"/>
      <c r="T61" s="14"/>
      <c r="U61" s="14"/>
      <c r="V61" s="14"/>
      <c r="W61" s="14"/>
      <c r="X61" s="14"/>
      <c r="Y61" s="14"/>
      <c r="Z61" s="14"/>
      <c r="AA61" s="14"/>
      <c r="AB61" s="14"/>
    </row>
    <row r="64" customFormat="false" ht="15" hidden="false" customHeight="false" outlineLevel="0" collapsed="false">
      <c r="A64" s="36" t="s">
        <v>533</v>
      </c>
      <c r="H64" s="53" t="s">
        <v>664</v>
      </c>
      <c r="K64" s="36" t="n">
        <f aca="false">MATCH(MIN(U66:U89),U66:U89,0)</f>
        <v>10</v>
      </c>
    </row>
    <row r="65" customFormat="false" ht="39.55" hidden="false" customHeight="false" outlineLevel="0" collapsed="false">
      <c r="A65" s="3" t="s">
        <v>309</v>
      </c>
      <c r="B65" s="3" t="s">
        <v>513</v>
      </c>
      <c r="C65" s="3" t="s">
        <v>665</v>
      </c>
      <c r="D65" s="3" t="s">
        <v>666</v>
      </c>
      <c r="E65" s="3" t="s">
        <v>312</v>
      </c>
      <c r="F65" s="3" t="s">
        <v>313</v>
      </c>
      <c r="G65" s="3" t="s">
        <v>418</v>
      </c>
      <c r="H65" s="3" t="s">
        <v>667</v>
      </c>
      <c r="I65" s="3" t="s">
        <v>668</v>
      </c>
      <c r="J65" s="3" t="s">
        <v>669</v>
      </c>
      <c r="K65" s="3" t="s">
        <v>670</v>
      </c>
      <c r="L65" s="3" t="s">
        <v>671</v>
      </c>
      <c r="M65" s="3" t="s">
        <v>672</v>
      </c>
      <c r="N65" s="3" t="s">
        <v>673</v>
      </c>
      <c r="O65" s="3" t="s">
        <v>674</v>
      </c>
      <c r="P65" s="3" t="s">
        <v>675</v>
      </c>
      <c r="Q65" s="3" t="s">
        <v>676</v>
      </c>
      <c r="R65" s="3" t="s">
        <v>677</v>
      </c>
      <c r="S65" s="3" t="s">
        <v>678</v>
      </c>
      <c r="T65" s="3" t="s">
        <v>679</v>
      </c>
      <c r="U65" s="3" t="s">
        <v>680</v>
      </c>
      <c r="V65" s="3" t="s">
        <v>681</v>
      </c>
      <c r="W65" s="3" t="s">
        <v>527</v>
      </c>
      <c r="X65" s="3" t="s">
        <v>682</v>
      </c>
      <c r="Y65" s="3" t="s">
        <v>683</v>
      </c>
      <c r="Z65" s="3" t="s">
        <v>684</v>
      </c>
      <c r="AA65" s="3" t="s">
        <v>685</v>
      </c>
      <c r="AB65" s="3" t="s">
        <v>686</v>
      </c>
    </row>
    <row r="66" customFormat="false" ht="15" hidden="false" customHeight="false" outlineLevel="0" collapsed="false">
      <c r="A66" s="26" t="n">
        <v>1</v>
      </c>
      <c r="B66" s="78" t="n">
        <f aca="false">'Plan-Kunden'!B66</f>
        <v>46266</v>
      </c>
      <c r="C66" s="82" t="n">
        <f aca="false">'Plan-Kunden'!E66</f>
        <v>0</v>
      </c>
      <c r="D66" s="82" t="n">
        <f aca="false">'Plan-Kunden'!K66</f>
        <v>0</v>
      </c>
      <c r="E66" s="82" t="n">
        <f aca="false">'Plan-Kunden'!I66</f>
        <v>0</v>
      </c>
      <c r="F66" s="82" t="n">
        <f aca="false">'Plan-Kunden'!J66</f>
        <v>0</v>
      </c>
      <c r="G66" s="94" t="n">
        <f aca="false">D66*'Plan-Annahmen'!$B$32</f>
        <v>0</v>
      </c>
      <c r="H66" s="42" t="n">
        <f aca="false">E66*'Plan-Annahmen'!$B$47+F66*'Plan-Annahmen'!$B$48</f>
        <v>0</v>
      </c>
      <c r="I66" s="42" t="n">
        <f aca="false">H66*('Plan-Annahmen'!$B$33+'Plan-Annahmen'!$B$34)</f>
        <v>0</v>
      </c>
      <c r="J66" s="42" t="n">
        <f aca="false">E66*('Plan-Annahmen'!$B$47*'Plan-Annahmen'!$B$51+'Plan-Annahmen'!$B$52)+F66*('Plan-Annahmen'!$B$48*'Plan-Annahmen'!$B$51+'Plan-Annahmen'!$B$52)</f>
        <v>0</v>
      </c>
      <c r="K66" s="42" t="n">
        <f aca="false">G66*'Plan-Annahmen'!$B$50/100</f>
        <v>0</v>
      </c>
      <c r="L66" s="42" t="n">
        <f aca="false">'Plan-Kunden'!D66*'Plan-Annahmen'!$B$48*'Plan-Annahmen'!$B$30</f>
        <v>0</v>
      </c>
      <c r="M66" s="42" t="n">
        <f aca="false">'Plan-Kosten'!N$58</f>
        <v>135.104333333333</v>
      </c>
      <c r="N66" s="42" t="n">
        <f aca="false">'Plan-Kosten'!N$55</f>
        <v>150</v>
      </c>
      <c r="O66" s="48" t="n">
        <f aca="false">I66+J66+K66+L66+M66+N66</f>
        <v>285.104333333333</v>
      </c>
      <c r="P66" s="30" t="n">
        <f aca="false">H66-O66</f>
        <v>-285.104333333333</v>
      </c>
      <c r="Q66" s="42" t="n">
        <f aca="false">MAX(0,P66*'Plan-Annahmen'!$B$69)</f>
        <v>0</v>
      </c>
      <c r="R66" s="48" t="n">
        <f aca="false">P66-Q66</f>
        <v>-285.104333333333</v>
      </c>
      <c r="S66" s="48" t="n">
        <f aca="false">R66</f>
        <v>-285.104333333333</v>
      </c>
      <c r="T66" s="42" t="n">
        <f aca="false">'Plan-Kosten'!N$56</f>
        <v>0</v>
      </c>
      <c r="U66" s="30" t="n">
        <f aca="false">S66-T66</f>
        <v>-285.104333333333</v>
      </c>
      <c r="V66" s="26" t="n">
        <f aca="false">IF(P66&gt;0,1,0)</f>
        <v>0</v>
      </c>
      <c r="W66" s="82" t="n">
        <f aca="false">'Plan-Kunden'!P66</f>
        <v>29</v>
      </c>
      <c r="X66" s="95" t="n">
        <f aca="false">'Plan-Kunden'!Q66</f>
        <v>0</v>
      </c>
      <c r="Y66" s="95" t="n">
        <f aca="false">IF(D66&gt;='Plan-Phase B'!$C$21,1,0)</f>
        <v>0</v>
      </c>
      <c r="Z66" s="95" t="n">
        <f aca="false">IF(D66&gt;='Plan-Phase B'!$D$21,1,0)</f>
        <v>0</v>
      </c>
      <c r="AA66" s="95" t="n">
        <f aca="false">IF(D66&gt;='Plan-Phase B'!$E$21,1,0)</f>
        <v>0</v>
      </c>
      <c r="AB66" s="26" t="n">
        <f aca="false">IF(AND(U66&gt;=0,A66&gt;$K$64),1,0)</f>
        <v>0</v>
      </c>
    </row>
    <row r="67" customFormat="false" ht="15" hidden="false" customHeight="false" outlineLevel="0" collapsed="false">
      <c r="A67" s="26" t="n">
        <v>2</v>
      </c>
      <c r="B67" s="78" t="n">
        <f aca="false">'Plan-Kunden'!B67</f>
        <v>46296</v>
      </c>
      <c r="C67" s="82" t="n">
        <f aca="false">'Plan-Kunden'!E67</f>
        <v>0</v>
      </c>
      <c r="D67" s="82" t="n">
        <f aca="false">'Plan-Kunden'!K67</f>
        <v>0</v>
      </c>
      <c r="E67" s="82" t="n">
        <f aca="false">'Plan-Kunden'!I67</f>
        <v>0</v>
      </c>
      <c r="F67" s="82" t="n">
        <f aca="false">'Plan-Kunden'!J67</f>
        <v>0</v>
      </c>
      <c r="G67" s="94" t="n">
        <f aca="false">D67*'Plan-Annahmen'!$B$32</f>
        <v>0</v>
      </c>
      <c r="H67" s="42" t="n">
        <f aca="false">E67*'Plan-Annahmen'!$B$47+F67*'Plan-Annahmen'!$B$48</f>
        <v>0</v>
      </c>
      <c r="I67" s="42" t="n">
        <f aca="false">H67*('Plan-Annahmen'!$B$33+'Plan-Annahmen'!$B$34)</f>
        <v>0</v>
      </c>
      <c r="J67" s="42" t="n">
        <f aca="false">E67*('Plan-Annahmen'!$B$47*'Plan-Annahmen'!$B$51+'Plan-Annahmen'!$B$52)+F67*('Plan-Annahmen'!$B$48*'Plan-Annahmen'!$B$51+'Plan-Annahmen'!$B$52)</f>
        <v>0</v>
      </c>
      <c r="K67" s="42" t="n">
        <f aca="false">G67*'Plan-Annahmen'!$B$50/100</f>
        <v>0</v>
      </c>
      <c r="L67" s="42" t="n">
        <f aca="false">'Plan-Kunden'!D67*'Plan-Annahmen'!$B$48*'Plan-Annahmen'!$B$30</f>
        <v>0</v>
      </c>
      <c r="M67" s="42" t="n">
        <f aca="false">'Plan-Kosten'!O$58</f>
        <v>685.931</v>
      </c>
      <c r="N67" s="42" t="n">
        <f aca="false">'Plan-Kosten'!O$55</f>
        <v>1006</v>
      </c>
      <c r="O67" s="48" t="n">
        <f aca="false">I67+J67+K67+L67+M67+N67</f>
        <v>1691.931</v>
      </c>
      <c r="P67" s="30" t="n">
        <f aca="false">H67-O67</f>
        <v>-1691.931</v>
      </c>
      <c r="Q67" s="42" t="n">
        <f aca="false">MAX(0,P67*'Plan-Annahmen'!$B$69)</f>
        <v>0</v>
      </c>
      <c r="R67" s="48" t="n">
        <f aca="false">P67-Q67</f>
        <v>-1691.931</v>
      </c>
      <c r="S67" s="48" t="n">
        <f aca="false">S66+R67</f>
        <v>-1977.03533333333</v>
      </c>
      <c r="T67" s="42" t="n">
        <f aca="false">T66+'Plan-Kosten'!O$56</f>
        <v>1000</v>
      </c>
      <c r="U67" s="30" t="n">
        <f aca="false">S67-T67</f>
        <v>-2977.03533333333</v>
      </c>
      <c r="V67" s="26" t="n">
        <f aca="false">IF(P67&gt;0,1,0)</f>
        <v>0</v>
      </c>
      <c r="W67" s="82" t="n">
        <f aca="false">'Plan-Kunden'!P67</f>
        <v>43</v>
      </c>
      <c r="X67" s="95" t="n">
        <f aca="false">'Plan-Kunden'!Q67</f>
        <v>0</v>
      </c>
      <c r="Y67" s="95" t="n">
        <f aca="false">IF(D67&gt;='Plan-Phase B'!$C$21,1,0)</f>
        <v>0</v>
      </c>
      <c r="Z67" s="95" t="n">
        <f aca="false">IF(D67&gt;='Plan-Phase B'!$D$21,1,0)</f>
        <v>0</v>
      </c>
      <c r="AA67" s="95" t="n">
        <f aca="false">IF(D67&gt;='Plan-Phase B'!$E$21,1,0)</f>
        <v>0</v>
      </c>
      <c r="AB67" s="26" t="n">
        <f aca="false">IF(AND(U67&gt;=0,A67&gt;$K$64),1,0)</f>
        <v>0</v>
      </c>
    </row>
    <row r="68" customFormat="false" ht="15" hidden="false" customHeight="false" outlineLevel="0" collapsed="false">
      <c r="A68" s="26" t="n">
        <v>3</v>
      </c>
      <c r="B68" s="78" t="n">
        <f aca="false">'Plan-Kunden'!B68</f>
        <v>46327</v>
      </c>
      <c r="C68" s="82" t="n">
        <f aca="false">'Plan-Kunden'!E68</f>
        <v>0</v>
      </c>
      <c r="D68" s="82" t="n">
        <f aca="false">'Plan-Kunden'!K68</f>
        <v>0</v>
      </c>
      <c r="E68" s="82" t="n">
        <f aca="false">'Plan-Kunden'!I68</f>
        <v>0</v>
      </c>
      <c r="F68" s="82" t="n">
        <f aca="false">'Plan-Kunden'!J68</f>
        <v>0</v>
      </c>
      <c r="G68" s="94" t="n">
        <f aca="false">D68*'Plan-Annahmen'!$B$32</f>
        <v>0</v>
      </c>
      <c r="H68" s="42" t="n">
        <f aca="false">E68*'Plan-Annahmen'!$B$47+F68*'Plan-Annahmen'!$B$48</f>
        <v>0</v>
      </c>
      <c r="I68" s="42" t="n">
        <f aca="false">H68*('Plan-Annahmen'!$B$33+'Plan-Annahmen'!$B$34)</f>
        <v>0</v>
      </c>
      <c r="J68" s="42" t="n">
        <f aca="false">E68*('Plan-Annahmen'!$B$47*'Plan-Annahmen'!$B$51+'Plan-Annahmen'!$B$52)+F68*('Plan-Annahmen'!$B$48*'Plan-Annahmen'!$B$51+'Plan-Annahmen'!$B$52)</f>
        <v>0</v>
      </c>
      <c r="K68" s="42" t="n">
        <f aca="false">G68*'Plan-Annahmen'!$B$50/100</f>
        <v>0</v>
      </c>
      <c r="L68" s="42" t="n">
        <f aca="false">'Plan-Kunden'!D68*'Plan-Annahmen'!$B$48*'Plan-Annahmen'!$B$30</f>
        <v>0</v>
      </c>
      <c r="M68" s="42" t="n">
        <f aca="false">'Plan-Kosten'!P$58</f>
        <v>459.264333333333</v>
      </c>
      <c r="N68" s="42" t="n">
        <f aca="false">'Plan-Kosten'!P$55</f>
        <v>1500</v>
      </c>
      <c r="O68" s="48" t="n">
        <f aca="false">I68+J68+K68+L68+M68+N68</f>
        <v>1959.26433333333</v>
      </c>
      <c r="P68" s="30" t="n">
        <f aca="false">H68-O68</f>
        <v>-1959.26433333333</v>
      </c>
      <c r="Q68" s="42" t="n">
        <f aca="false">MAX(0,P68*'Plan-Annahmen'!$B$69)</f>
        <v>0</v>
      </c>
      <c r="R68" s="48" t="n">
        <f aca="false">P68-Q68</f>
        <v>-1959.26433333333</v>
      </c>
      <c r="S68" s="48" t="n">
        <f aca="false">S67+R68</f>
        <v>-3936.29966666667</v>
      </c>
      <c r="T68" s="42" t="n">
        <f aca="false">T67+'Plan-Kosten'!P$56</f>
        <v>1000</v>
      </c>
      <c r="U68" s="30" t="n">
        <f aca="false">S68-T68</f>
        <v>-4936.29966666667</v>
      </c>
      <c r="V68" s="26" t="n">
        <f aca="false">IF(P68&gt;0,1,0)</f>
        <v>0</v>
      </c>
      <c r="W68" s="82" t="n">
        <f aca="false">'Plan-Kunden'!P68</f>
        <v>30</v>
      </c>
      <c r="X68" s="95" t="n">
        <f aca="false">'Plan-Kunden'!Q68</f>
        <v>0</v>
      </c>
      <c r="Y68" s="95" t="n">
        <f aca="false">IF(D68&gt;='Plan-Phase B'!$C$21,1,0)</f>
        <v>0</v>
      </c>
      <c r="Z68" s="95" t="n">
        <f aca="false">IF(D68&gt;='Plan-Phase B'!$D$21,1,0)</f>
        <v>0</v>
      </c>
      <c r="AA68" s="95" t="n">
        <f aca="false">IF(D68&gt;='Plan-Phase B'!$E$21,1,0)</f>
        <v>0</v>
      </c>
      <c r="AB68" s="26" t="n">
        <f aca="false">IF(AND(U68&gt;=0,A68&gt;$K$64),1,0)</f>
        <v>0</v>
      </c>
    </row>
    <row r="69" customFormat="false" ht="15" hidden="false" customHeight="false" outlineLevel="0" collapsed="false">
      <c r="A69" s="26" t="n">
        <v>4</v>
      </c>
      <c r="B69" s="78" t="n">
        <f aca="false">'Plan-Kunden'!B69</f>
        <v>46357</v>
      </c>
      <c r="C69" s="82" t="n">
        <f aca="false">'Plan-Kunden'!E69</f>
        <v>1</v>
      </c>
      <c r="D69" s="82" t="n">
        <f aca="false">'Plan-Kunden'!K69</f>
        <v>1</v>
      </c>
      <c r="E69" s="82" t="n">
        <f aca="false">'Plan-Kunden'!I69</f>
        <v>1</v>
      </c>
      <c r="F69" s="82" t="n">
        <f aca="false">'Plan-Kunden'!J69</f>
        <v>0</v>
      </c>
      <c r="G69" s="94" t="n">
        <f aca="false">D69*'Plan-Annahmen'!$B$32</f>
        <v>8</v>
      </c>
      <c r="H69" s="42" t="n">
        <f aca="false">E69*'Plan-Annahmen'!$B$47+F69*'Plan-Annahmen'!$B$48</f>
        <v>29</v>
      </c>
      <c r="I69" s="42" t="n">
        <f aca="false">H69*('Plan-Annahmen'!$B$33+'Plan-Annahmen'!$B$34)</f>
        <v>0.87</v>
      </c>
      <c r="J69" s="42" t="n">
        <f aca="false">E69*('Plan-Annahmen'!$B$47*'Plan-Annahmen'!$B$51+'Plan-Annahmen'!$B$52)+F69*('Plan-Annahmen'!$B$48*'Plan-Annahmen'!$B$51+'Plan-Annahmen'!$B$52)</f>
        <v>0.685</v>
      </c>
      <c r="K69" s="42" t="n">
        <f aca="false">G69*'Plan-Annahmen'!$B$50/100</f>
        <v>0.2</v>
      </c>
      <c r="L69" s="42" t="n">
        <f aca="false">'Plan-Kunden'!D69*'Plan-Annahmen'!$B$48*'Plan-Annahmen'!$B$30</f>
        <v>0</v>
      </c>
      <c r="M69" s="42" t="n">
        <f aca="false">'Plan-Kosten'!Q$58</f>
        <v>479.264333333333</v>
      </c>
      <c r="N69" s="42" t="n">
        <f aca="false">'Plan-Kosten'!Q$55</f>
        <v>290</v>
      </c>
      <c r="O69" s="48" t="n">
        <f aca="false">I69+J69+K69+L69+M69+N69</f>
        <v>771.019333333333</v>
      </c>
      <c r="P69" s="30" t="n">
        <f aca="false">H69-O69</f>
        <v>-742.019333333333</v>
      </c>
      <c r="Q69" s="42" t="n">
        <f aca="false">MAX(0,P69*'Plan-Annahmen'!$B$69)</f>
        <v>0</v>
      </c>
      <c r="R69" s="48" t="n">
        <f aca="false">P69-Q69</f>
        <v>-742.019333333333</v>
      </c>
      <c r="S69" s="48" t="n">
        <f aca="false">S68+R69</f>
        <v>-4678.319</v>
      </c>
      <c r="T69" s="42" t="n">
        <f aca="false">T68+'Plan-Kosten'!Q$56</f>
        <v>1000</v>
      </c>
      <c r="U69" s="30" t="n">
        <f aca="false">S69-T69</f>
        <v>-5678.319</v>
      </c>
      <c r="V69" s="26" t="n">
        <f aca="false">IF(P69&gt;0,1,0)</f>
        <v>0</v>
      </c>
      <c r="W69" s="82" t="n">
        <f aca="false">'Plan-Kunden'!P69</f>
        <v>41.3</v>
      </c>
      <c r="X69" s="95" t="n">
        <f aca="false">'Plan-Kunden'!Q69</f>
        <v>0</v>
      </c>
      <c r="Y69" s="95" t="n">
        <f aca="false">IF(D69&gt;='Plan-Phase B'!$C$21,1,0)</f>
        <v>0</v>
      </c>
      <c r="Z69" s="95" t="n">
        <f aca="false">IF(D69&gt;='Plan-Phase B'!$D$21,1,0)</f>
        <v>0</v>
      </c>
      <c r="AA69" s="95" t="n">
        <f aca="false">IF(D69&gt;='Plan-Phase B'!$E$21,1,0)</f>
        <v>0</v>
      </c>
      <c r="AB69" s="26" t="n">
        <f aca="false">IF(AND(U69&gt;=0,A69&gt;$K$64),1,0)</f>
        <v>0</v>
      </c>
    </row>
    <row r="70" customFormat="false" ht="15" hidden="false" customHeight="false" outlineLevel="0" collapsed="false">
      <c r="A70" s="26" t="n">
        <v>5</v>
      </c>
      <c r="B70" s="78" t="n">
        <f aca="false">'Plan-Kunden'!B70</f>
        <v>46388</v>
      </c>
      <c r="C70" s="82" t="n">
        <f aca="false">'Plan-Kunden'!E70</f>
        <v>2.5</v>
      </c>
      <c r="D70" s="82" t="n">
        <f aca="false">'Plan-Kunden'!K70</f>
        <v>3.49</v>
      </c>
      <c r="E70" s="82" t="n">
        <f aca="false">'Plan-Kunden'!I70</f>
        <v>3.49</v>
      </c>
      <c r="F70" s="82" t="n">
        <f aca="false">'Plan-Kunden'!J70</f>
        <v>0</v>
      </c>
      <c r="G70" s="94" t="n">
        <f aca="false">D70*'Plan-Annahmen'!$B$32</f>
        <v>27.92</v>
      </c>
      <c r="H70" s="42" t="n">
        <f aca="false">E70*'Plan-Annahmen'!$B$47+F70*'Plan-Annahmen'!$B$48</f>
        <v>101.21</v>
      </c>
      <c r="I70" s="42" t="n">
        <f aca="false">H70*('Plan-Annahmen'!$B$33+'Plan-Annahmen'!$B$34)</f>
        <v>3.0363</v>
      </c>
      <c r="J70" s="42" t="n">
        <f aca="false">E70*('Plan-Annahmen'!$B$47*'Plan-Annahmen'!$B$51+'Plan-Annahmen'!$B$52)+F70*('Plan-Annahmen'!$B$48*'Plan-Annahmen'!$B$51+'Plan-Annahmen'!$B$52)</f>
        <v>2.39065</v>
      </c>
      <c r="K70" s="42" t="n">
        <f aca="false">G70*'Plan-Annahmen'!$B$50/100</f>
        <v>0.698</v>
      </c>
      <c r="L70" s="42" t="n">
        <f aca="false">'Plan-Kunden'!D70*'Plan-Annahmen'!$B$48*'Plan-Annahmen'!$B$30</f>
        <v>0</v>
      </c>
      <c r="M70" s="42" t="n">
        <f aca="false">'Plan-Kosten'!R$58</f>
        <v>479.264333333333</v>
      </c>
      <c r="N70" s="42" t="n">
        <f aca="false">'Plan-Kosten'!R$55</f>
        <v>0</v>
      </c>
      <c r="O70" s="48" t="n">
        <f aca="false">I70+J70+K70+L70+M70+N70</f>
        <v>485.389283333333</v>
      </c>
      <c r="P70" s="30" t="n">
        <f aca="false">H70-O70</f>
        <v>-384.179283333333</v>
      </c>
      <c r="Q70" s="42" t="n">
        <f aca="false">MAX(0,P70*'Plan-Annahmen'!$B$69)</f>
        <v>0</v>
      </c>
      <c r="R70" s="48" t="n">
        <f aca="false">P70-Q70</f>
        <v>-384.179283333333</v>
      </c>
      <c r="S70" s="48" t="n">
        <f aca="false">S69+R70</f>
        <v>-5062.49828333333</v>
      </c>
      <c r="T70" s="42" t="n">
        <f aca="false">T69+'Plan-Kosten'!R$56</f>
        <v>2000</v>
      </c>
      <c r="U70" s="30" t="n">
        <f aca="false">S70-T70</f>
        <v>-7062.49828333333</v>
      </c>
      <c r="V70" s="26" t="n">
        <f aca="false">IF(P70&gt;0,1,0)</f>
        <v>0</v>
      </c>
      <c r="W70" s="82" t="n">
        <f aca="false">'Plan-Kunden'!P70</f>
        <v>44.547</v>
      </c>
      <c r="X70" s="95" t="n">
        <f aca="false">'Plan-Kunden'!Q70</f>
        <v>0</v>
      </c>
      <c r="Y70" s="95" t="n">
        <f aca="false">IF(D70&gt;='Plan-Phase B'!$C$21,1,0)</f>
        <v>0</v>
      </c>
      <c r="Z70" s="95" t="n">
        <f aca="false">IF(D70&gt;='Plan-Phase B'!$D$21,1,0)</f>
        <v>0</v>
      </c>
      <c r="AA70" s="95" t="n">
        <f aca="false">IF(D70&gt;='Plan-Phase B'!$E$21,1,0)</f>
        <v>0</v>
      </c>
      <c r="AB70" s="26" t="n">
        <f aca="false">IF(AND(U70&gt;=0,A70&gt;$K$64),1,0)</f>
        <v>0</v>
      </c>
    </row>
    <row r="71" customFormat="false" ht="15" hidden="false" customHeight="false" outlineLevel="0" collapsed="false">
      <c r="A71" s="26" t="n">
        <v>6</v>
      </c>
      <c r="B71" s="78" t="n">
        <f aca="false">'Plan-Kunden'!B71</f>
        <v>46419</v>
      </c>
      <c r="C71" s="82" t="n">
        <f aca="false">'Plan-Kunden'!E71</f>
        <v>4.0175</v>
      </c>
      <c r="D71" s="82" t="n">
        <f aca="false">'Plan-Kunden'!K71</f>
        <v>7.4726</v>
      </c>
      <c r="E71" s="82" t="n">
        <f aca="false">'Plan-Kunden'!I71</f>
        <v>7.4726</v>
      </c>
      <c r="F71" s="82" t="n">
        <f aca="false">'Plan-Kunden'!J71</f>
        <v>0</v>
      </c>
      <c r="G71" s="94" t="n">
        <f aca="false">D71*'Plan-Annahmen'!$B$32</f>
        <v>59.7808</v>
      </c>
      <c r="H71" s="42" t="n">
        <f aca="false">E71*'Plan-Annahmen'!$B$47+F71*'Plan-Annahmen'!$B$48</f>
        <v>216.7054</v>
      </c>
      <c r="I71" s="42" t="n">
        <f aca="false">H71*('Plan-Annahmen'!$B$33+'Plan-Annahmen'!$B$34)</f>
        <v>6.501162</v>
      </c>
      <c r="J71" s="42" t="n">
        <f aca="false">E71*('Plan-Annahmen'!$B$47*'Plan-Annahmen'!$B$51+'Plan-Annahmen'!$B$52)+F71*('Plan-Annahmen'!$B$48*'Plan-Annahmen'!$B$51+'Plan-Annahmen'!$B$52)</f>
        <v>5.118731</v>
      </c>
      <c r="K71" s="42" t="n">
        <f aca="false">G71*'Plan-Annahmen'!$B$50/100</f>
        <v>1.49452</v>
      </c>
      <c r="L71" s="42" t="n">
        <f aca="false">'Plan-Kunden'!D71*'Plan-Annahmen'!$B$48*'Plan-Annahmen'!$B$30</f>
        <v>0</v>
      </c>
      <c r="M71" s="42" t="n">
        <f aca="false">'Plan-Kosten'!S$58</f>
        <v>479.264333333333</v>
      </c>
      <c r="N71" s="42" t="n">
        <f aca="false">'Plan-Kosten'!S$55</f>
        <v>0</v>
      </c>
      <c r="O71" s="48" t="n">
        <f aca="false">I71+J71+K71+L71+M71+N71</f>
        <v>492.378746333333</v>
      </c>
      <c r="P71" s="30" t="n">
        <f aca="false">H71-O71</f>
        <v>-275.673346333333</v>
      </c>
      <c r="Q71" s="42" t="n">
        <f aca="false">MAX(0,P71*'Plan-Annahmen'!$B$69)</f>
        <v>0</v>
      </c>
      <c r="R71" s="48" t="n">
        <f aca="false">P71-Q71</f>
        <v>-275.673346333333</v>
      </c>
      <c r="S71" s="48" t="n">
        <f aca="false">S70+R71</f>
        <v>-5338.17162966667</v>
      </c>
      <c r="T71" s="42" t="n">
        <f aca="false">T70+'Plan-Kosten'!S$56</f>
        <v>2000</v>
      </c>
      <c r="U71" s="30" t="n">
        <f aca="false">S71-T71</f>
        <v>-7338.17162966667</v>
      </c>
      <c r="V71" s="26" t="n">
        <f aca="false">IF(P71&gt;0,1,0)</f>
        <v>0</v>
      </c>
      <c r="W71" s="82" t="n">
        <f aca="false">'Plan-Kunden'!P71</f>
        <v>47.25928</v>
      </c>
      <c r="X71" s="95" t="n">
        <f aca="false">'Plan-Kunden'!Q71</f>
        <v>0</v>
      </c>
      <c r="Y71" s="95" t="n">
        <f aca="false">IF(D71&gt;='Plan-Phase B'!$C$21,1,0)</f>
        <v>0</v>
      </c>
      <c r="Z71" s="95" t="n">
        <f aca="false">IF(D71&gt;='Plan-Phase B'!$D$21,1,0)</f>
        <v>0</v>
      </c>
      <c r="AA71" s="95" t="n">
        <f aca="false">IF(D71&gt;='Plan-Phase B'!$E$21,1,0)</f>
        <v>0</v>
      </c>
      <c r="AB71" s="26" t="n">
        <f aca="false">IF(AND(U71&gt;=0,A71&gt;$K$64),1,0)</f>
        <v>0</v>
      </c>
    </row>
    <row r="72" customFormat="false" ht="15" hidden="false" customHeight="false" outlineLevel="0" collapsed="false">
      <c r="A72" s="26" t="n">
        <v>7</v>
      </c>
      <c r="B72" s="78" t="n">
        <f aca="false">'Plan-Kunden'!B72</f>
        <v>46447</v>
      </c>
      <c r="C72" s="82" t="n">
        <f aca="false">'Plan-Kunden'!E72</f>
        <v>4.061075</v>
      </c>
      <c r="D72" s="82" t="n">
        <f aca="false">'Plan-Kunden'!K72</f>
        <v>11.458949</v>
      </c>
      <c r="E72" s="82" t="n">
        <f aca="false">'Plan-Kunden'!I72</f>
        <v>11.458949</v>
      </c>
      <c r="F72" s="82" t="n">
        <f aca="false">'Plan-Kunden'!J72</f>
        <v>0</v>
      </c>
      <c r="G72" s="94" t="n">
        <f aca="false">D72*'Plan-Annahmen'!$B$32</f>
        <v>91.671592</v>
      </c>
      <c r="H72" s="42" t="n">
        <f aca="false">E72*'Plan-Annahmen'!$B$47+F72*'Plan-Annahmen'!$B$48</f>
        <v>332.309521</v>
      </c>
      <c r="I72" s="42" t="n">
        <f aca="false">H72*('Plan-Annahmen'!$B$33+'Plan-Annahmen'!$B$34)</f>
        <v>9.96928563</v>
      </c>
      <c r="J72" s="42" t="n">
        <f aca="false">E72*('Plan-Annahmen'!$B$47*'Plan-Annahmen'!$B$51+'Plan-Annahmen'!$B$52)+F72*('Plan-Annahmen'!$B$48*'Plan-Annahmen'!$B$51+'Plan-Annahmen'!$B$52)</f>
        <v>7.849380065</v>
      </c>
      <c r="K72" s="42" t="n">
        <f aca="false">G72*'Plan-Annahmen'!$B$50/100</f>
        <v>2.2917898</v>
      </c>
      <c r="L72" s="42" t="n">
        <f aca="false">'Plan-Kunden'!D72*'Plan-Annahmen'!$B$48*'Plan-Annahmen'!$B$30</f>
        <v>0</v>
      </c>
      <c r="M72" s="42" t="n">
        <f aca="false">'Plan-Kosten'!T$58</f>
        <v>522.264333333333</v>
      </c>
      <c r="N72" s="42" t="n">
        <f aca="false">'Plan-Kosten'!T$55</f>
        <v>0</v>
      </c>
      <c r="O72" s="48" t="n">
        <f aca="false">I72+J72+K72+L72+M72+N72</f>
        <v>542.374788828333</v>
      </c>
      <c r="P72" s="30" t="n">
        <f aca="false">H72-O72</f>
        <v>-210.065267828333</v>
      </c>
      <c r="Q72" s="42" t="n">
        <f aca="false">MAX(0,P72*'Plan-Annahmen'!$B$69)</f>
        <v>0</v>
      </c>
      <c r="R72" s="48" t="n">
        <f aca="false">P72-Q72</f>
        <v>-210.065267828333</v>
      </c>
      <c r="S72" s="48" t="n">
        <f aca="false">S71+R72</f>
        <v>-5548.236897495</v>
      </c>
      <c r="T72" s="42" t="n">
        <f aca="false">T71+'Plan-Kosten'!T$56</f>
        <v>2000</v>
      </c>
      <c r="U72" s="30" t="n">
        <f aca="false">S72-T72</f>
        <v>-7548.236897495</v>
      </c>
      <c r="V72" s="26" t="n">
        <f aca="false">IF(P72&gt;0,1,0)</f>
        <v>0</v>
      </c>
      <c r="W72" s="82" t="n">
        <f aca="false">'Plan-Kunden'!P72</f>
        <v>48.9987597</v>
      </c>
      <c r="X72" s="95" t="n">
        <f aca="false">'Plan-Kunden'!Q72</f>
        <v>0</v>
      </c>
      <c r="Y72" s="95" t="n">
        <f aca="false">IF(D72&gt;='Plan-Phase B'!$C$21,1,0)</f>
        <v>0</v>
      </c>
      <c r="Z72" s="95" t="n">
        <f aca="false">IF(D72&gt;='Plan-Phase B'!$D$21,1,0)</f>
        <v>0</v>
      </c>
      <c r="AA72" s="95" t="n">
        <f aca="false">IF(D72&gt;='Plan-Phase B'!$E$21,1,0)</f>
        <v>0</v>
      </c>
      <c r="AB72" s="26" t="n">
        <f aca="false">IF(AND(U72&gt;=0,A72&gt;$K$64),1,0)</f>
        <v>0</v>
      </c>
    </row>
    <row r="73" customFormat="false" ht="15" hidden="false" customHeight="false" outlineLevel="0" collapsed="false">
      <c r="A73" s="26" t="n">
        <v>8</v>
      </c>
      <c r="B73" s="78" t="n">
        <f aca="false">'Plan-Kunden'!B73</f>
        <v>46478</v>
      </c>
      <c r="C73" s="82" t="n">
        <f aca="false">'Plan-Kunden'!E73</f>
        <v>3.1307705</v>
      </c>
      <c r="D73" s="82" t="n">
        <f aca="false">'Plan-Kunden'!K73</f>
        <v>14.47513001</v>
      </c>
      <c r="E73" s="82" t="n">
        <f aca="false">'Plan-Kunden'!I73</f>
        <v>14.47513001</v>
      </c>
      <c r="F73" s="82" t="n">
        <f aca="false">'Plan-Kunden'!J73</f>
        <v>0</v>
      </c>
      <c r="G73" s="94" t="n">
        <f aca="false">D73*'Plan-Annahmen'!$B$32</f>
        <v>115.80104008</v>
      </c>
      <c r="H73" s="42" t="n">
        <f aca="false">E73*'Plan-Annahmen'!$B$47+F73*'Plan-Annahmen'!$B$48</f>
        <v>419.77877029</v>
      </c>
      <c r="I73" s="42" t="n">
        <f aca="false">H73*('Plan-Annahmen'!$B$33+'Plan-Annahmen'!$B$34)</f>
        <v>12.5933631087</v>
      </c>
      <c r="J73" s="42" t="n">
        <f aca="false">E73*('Plan-Annahmen'!$B$47*'Plan-Annahmen'!$B$51+'Plan-Annahmen'!$B$52)+F73*('Plan-Annahmen'!$B$48*'Plan-Annahmen'!$B$51+'Plan-Annahmen'!$B$52)</f>
        <v>9.91546405685</v>
      </c>
      <c r="K73" s="42" t="n">
        <f aca="false">G73*'Plan-Annahmen'!$B$50/100</f>
        <v>2.895026002</v>
      </c>
      <c r="L73" s="42" t="n">
        <f aca="false">'Plan-Kunden'!D73*'Plan-Annahmen'!$B$48*'Plan-Annahmen'!$B$30</f>
        <v>0</v>
      </c>
      <c r="M73" s="42" t="n">
        <f aca="false">'Plan-Kosten'!U$58</f>
        <v>622.264333333333</v>
      </c>
      <c r="N73" s="42" t="n">
        <f aca="false">'Plan-Kosten'!U$55</f>
        <v>0</v>
      </c>
      <c r="O73" s="48" t="n">
        <f aca="false">I73+J73+K73+L73+M73+N73</f>
        <v>647.668186500883</v>
      </c>
      <c r="P73" s="30" t="n">
        <f aca="false">H73-O73</f>
        <v>-227.889416210883</v>
      </c>
      <c r="Q73" s="42" t="n">
        <f aca="false">MAX(0,P73*'Plan-Annahmen'!$B$69)</f>
        <v>0</v>
      </c>
      <c r="R73" s="48" t="n">
        <f aca="false">P73-Q73</f>
        <v>-227.889416210883</v>
      </c>
      <c r="S73" s="48" t="n">
        <f aca="false">S72+R73</f>
        <v>-5776.12631370588</v>
      </c>
      <c r="T73" s="42" t="n">
        <f aca="false">T72+'Plan-Kosten'!U$56</f>
        <v>2000</v>
      </c>
      <c r="U73" s="30" t="n">
        <f aca="false">S73-T73</f>
        <v>-7776.12631370588</v>
      </c>
      <c r="V73" s="26" t="n">
        <f aca="false">IF(P73&gt;0,1,0)</f>
        <v>0</v>
      </c>
      <c r="W73" s="82" t="n">
        <f aca="false">'Plan-Kunden'!P73</f>
        <v>52.973309503</v>
      </c>
      <c r="X73" s="95" t="n">
        <f aca="false">'Plan-Kunden'!Q73</f>
        <v>0</v>
      </c>
      <c r="Y73" s="95" t="n">
        <f aca="false">IF(D73&gt;='Plan-Phase B'!$C$21,1,0)</f>
        <v>0</v>
      </c>
      <c r="Z73" s="95" t="n">
        <f aca="false">IF(D73&gt;='Plan-Phase B'!$D$21,1,0)</f>
        <v>0</v>
      </c>
      <c r="AA73" s="95" t="n">
        <f aca="false">IF(D73&gt;='Plan-Phase B'!$E$21,1,0)</f>
        <v>0</v>
      </c>
      <c r="AB73" s="26" t="n">
        <f aca="false">IF(AND(U73&gt;=0,A73&gt;$K$64),1,0)</f>
        <v>0</v>
      </c>
    </row>
    <row r="74" customFormat="false" ht="15" hidden="false" customHeight="false" outlineLevel="0" collapsed="false">
      <c r="A74" s="26" t="n">
        <v>9</v>
      </c>
      <c r="B74" s="78" t="n">
        <f aca="false">'Plan-Kunden'!B74</f>
        <v>46508</v>
      </c>
      <c r="C74" s="82" t="n">
        <f aca="false">'Plan-Kunden'!E74</f>
        <v>3.7005316075</v>
      </c>
      <c r="D74" s="82" t="n">
        <f aca="false">'Plan-Kunden'!K74</f>
        <v>18.0309103174</v>
      </c>
      <c r="E74" s="82" t="n">
        <f aca="false">'Plan-Kunden'!I74</f>
        <v>18.0309103174</v>
      </c>
      <c r="F74" s="82" t="n">
        <f aca="false">'Plan-Kunden'!J74</f>
        <v>0</v>
      </c>
      <c r="G74" s="94" t="n">
        <f aca="false">D74*'Plan-Annahmen'!$B$32</f>
        <v>144.2472825392</v>
      </c>
      <c r="H74" s="42" t="n">
        <f aca="false">E74*'Plan-Annahmen'!$B$47+F74*'Plan-Annahmen'!$B$48</f>
        <v>522.8963992046</v>
      </c>
      <c r="I74" s="42" t="n">
        <f aca="false">H74*('Plan-Annahmen'!$B$33+'Plan-Annahmen'!$B$34)</f>
        <v>15.686891976138</v>
      </c>
      <c r="J74" s="42" t="n">
        <f aca="false">E74*('Plan-Annahmen'!$B$47*'Plan-Annahmen'!$B$51+'Plan-Annahmen'!$B$52)+F74*('Plan-Annahmen'!$B$48*'Plan-Annahmen'!$B$51+'Plan-Annahmen'!$B$52)</f>
        <v>12.351173567419</v>
      </c>
      <c r="K74" s="42" t="n">
        <f aca="false">G74*'Plan-Annahmen'!$B$50/100</f>
        <v>3.60618206348</v>
      </c>
      <c r="L74" s="42" t="n">
        <f aca="false">'Plan-Kunden'!D74*'Plan-Annahmen'!$B$48*'Plan-Annahmen'!$B$30</f>
        <v>0</v>
      </c>
      <c r="M74" s="42" t="n">
        <f aca="false">'Plan-Kosten'!V$58</f>
        <v>522.264333333333</v>
      </c>
      <c r="N74" s="42" t="n">
        <f aca="false">'Plan-Kosten'!V$55</f>
        <v>0</v>
      </c>
      <c r="O74" s="48" t="n">
        <f aca="false">I74+J74+K74+L74+M74+N74</f>
        <v>553.90858094037</v>
      </c>
      <c r="P74" s="30" t="n">
        <f aca="false">H74-O74</f>
        <v>-31.0121817357702</v>
      </c>
      <c r="Q74" s="42" t="n">
        <f aca="false">MAX(0,P74*'Plan-Annahmen'!$B$69)</f>
        <v>0</v>
      </c>
      <c r="R74" s="48" t="n">
        <f aca="false">P74-Q74</f>
        <v>-31.0121817357702</v>
      </c>
      <c r="S74" s="48" t="n">
        <f aca="false">S73+R74</f>
        <v>-5807.13849544165</v>
      </c>
      <c r="T74" s="42" t="n">
        <f aca="false">T73+'Plan-Kosten'!V$56</f>
        <v>2000</v>
      </c>
      <c r="U74" s="30" t="n">
        <f aca="false">S74-T74</f>
        <v>-7807.13849544165</v>
      </c>
      <c r="V74" s="26" t="n">
        <f aca="false">IF(P74&gt;0,1,0)</f>
        <v>0</v>
      </c>
      <c r="W74" s="82" t="n">
        <f aca="false">'Plan-Kunden'!P74</f>
        <v>54.60980470272</v>
      </c>
      <c r="X74" s="95" t="n">
        <f aca="false">'Plan-Kunden'!Q74</f>
        <v>0</v>
      </c>
      <c r="Y74" s="95" t="n">
        <f aca="false">IF(D74&gt;='Plan-Phase B'!$C$21,1,0)</f>
        <v>0</v>
      </c>
      <c r="Z74" s="95" t="n">
        <f aca="false">IF(D74&gt;='Plan-Phase B'!$D$21,1,0)</f>
        <v>0</v>
      </c>
      <c r="AA74" s="95" t="n">
        <f aca="false">IF(D74&gt;='Plan-Phase B'!$E$21,1,0)</f>
        <v>0</v>
      </c>
      <c r="AB74" s="26" t="n">
        <f aca="false">IF(AND(U74&gt;=0,A74&gt;$K$64),1,0)</f>
        <v>0</v>
      </c>
    </row>
    <row r="75" customFormat="false" ht="15" hidden="false" customHeight="false" outlineLevel="0" collapsed="false">
      <c r="A75" s="26" t="n">
        <v>10</v>
      </c>
      <c r="B75" s="78" t="n">
        <f aca="false">'Plan-Kunden'!B75</f>
        <v>46539</v>
      </c>
      <c r="C75" s="82" t="n">
        <f aca="false">'Plan-Kunden'!E75</f>
        <v>3.753314775175</v>
      </c>
      <c r="D75" s="82" t="n">
        <f aca="false">'Plan-Kunden'!K75</f>
        <v>21.603915989401</v>
      </c>
      <c r="E75" s="82" t="n">
        <f aca="false">'Plan-Kunden'!I75</f>
        <v>21.603915989401</v>
      </c>
      <c r="F75" s="82" t="n">
        <f aca="false">'Plan-Kunden'!J75</f>
        <v>0</v>
      </c>
      <c r="G75" s="94" t="n">
        <f aca="false">D75*'Plan-Annahmen'!$B$32</f>
        <v>172.831327915208</v>
      </c>
      <c r="H75" s="42" t="n">
        <f aca="false">E75*'Plan-Annahmen'!$B$47+F75*'Plan-Annahmen'!$B$48</f>
        <v>626.513563692629</v>
      </c>
      <c r="I75" s="42" t="n">
        <f aca="false">H75*('Plan-Annahmen'!$B$33+'Plan-Annahmen'!$B$34)</f>
        <v>18.7954069107789</v>
      </c>
      <c r="J75" s="42" t="n">
        <f aca="false">E75*('Plan-Annahmen'!$B$47*'Plan-Annahmen'!$B$51+'Plan-Annahmen'!$B$52)+F75*('Plan-Annahmen'!$B$48*'Plan-Annahmen'!$B$51+'Plan-Annahmen'!$B$52)</f>
        <v>14.7986824527397</v>
      </c>
      <c r="K75" s="42" t="n">
        <f aca="false">G75*'Plan-Annahmen'!$B$50/100</f>
        <v>4.3207831978802</v>
      </c>
      <c r="L75" s="42" t="n">
        <f aca="false">'Plan-Kunden'!D75*'Plan-Annahmen'!$B$48*'Plan-Annahmen'!$B$30</f>
        <v>0</v>
      </c>
      <c r="M75" s="42" t="n">
        <f aca="false">'Plan-Kosten'!W$58</f>
        <v>620.514333333333</v>
      </c>
      <c r="N75" s="42" t="n">
        <f aca="false">'Plan-Kosten'!W$55</f>
        <v>21.5</v>
      </c>
      <c r="O75" s="48" t="n">
        <f aca="false">I75+J75+K75+L75+M75+N75</f>
        <v>679.929205894732</v>
      </c>
      <c r="P75" s="30" t="n">
        <f aca="false">H75-O75</f>
        <v>-53.4156422021031</v>
      </c>
      <c r="Q75" s="42" t="n">
        <f aca="false">MAX(0,P75*'Plan-Annahmen'!$B$69)</f>
        <v>0</v>
      </c>
      <c r="R75" s="48" t="n">
        <f aca="false">P75-Q75</f>
        <v>-53.4156422021031</v>
      </c>
      <c r="S75" s="48" t="n">
        <f aca="false">S74+R75</f>
        <v>-5860.55413764376</v>
      </c>
      <c r="T75" s="42" t="n">
        <f aca="false">T74+'Plan-Kosten'!W$56</f>
        <v>2000</v>
      </c>
      <c r="U75" s="30" t="n">
        <f aca="false">S75-T75</f>
        <v>-7860.55413764376</v>
      </c>
      <c r="V75" s="26" t="n">
        <f aca="false">IF(P75&gt;0,1,0)</f>
        <v>0</v>
      </c>
      <c r="W75" s="82" t="n">
        <f aca="false">'Plan-Kunden'!P75</f>
        <v>54.7344895719953</v>
      </c>
      <c r="X75" s="95" t="n">
        <f aca="false">'Plan-Kunden'!Q75</f>
        <v>0</v>
      </c>
      <c r="Y75" s="95" t="n">
        <f aca="false">IF(D75&gt;='Plan-Phase B'!$C$21,1,0)</f>
        <v>0</v>
      </c>
      <c r="Z75" s="95" t="n">
        <f aca="false">IF(D75&gt;='Plan-Phase B'!$D$21,1,0)</f>
        <v>0</v>
      </c>
      <c r="AA75" s="95" t="n">
        <f aca="false">IF(D75&gt;='Plan-Phase B'!$E$21,1,0)</f>
        <v>0</v>
      </c>
      <c r="AB75" s="26" t="n">
        <f aca="false">IF(AND(U75&gt;=0,A75&gt;$K$64),1,0)</f>
        <v>0</v>
      </c>
    </row>
    <row r="76" customFormat="false" ht="15" hidden="false" customHeight="false" outlineLevel="0" collapsed="false">
      <c r="A76" s="26" t="n">
        <v>11</v>
      </c>
      <c r="B76" s="78" t="n">
        <f aca="false">'Plan-Kunden'!B76</f>
        <v>46569</v>
      </c>
      <c r="C76" s="82" t="n">
        <f aca="false">'Plan-Kunden'!E76</f>
        <v>4.3155409305545</v>
      </c>
      <c r="D76" s="82" t="n">
        <f aca="false">'Plan-Kunden'!K76</f>
        <v>25.7034177600615</v>
      </c>
      <c r="E76" s="82" t="n">
        <f aca="false">'Plan-Kunden'!I76</f>
        <v>24.224684946832</v>
      </c>
      <c r="F76" s="82" t="n">
        <f aca="false">'Plan-Kunden'!J76</f>
        <v>1.4787328132295</v>
      </c>
      <c r="G76" s="94" t="n">
        <f aca="false">D76*'Plan-Annahmen'!$B$32</f>
        <v>205.627342080492</v>
      </c>
      <c r="H76" s="42" t="n">
        <f aca="false">E76*'Plan-Annahmen'!$B$47+F76*'Plan-Annahmen'!$B$48</f>
        <v>774.973771306373</v>
      </c>
      <c r="I76" s="42" t="n">
        <f aca="false">H76*('Plan-Annahmen'!$B$33+'Plan-Annahmen'!$B$34)</f>
        <v>23.2492131391912</v>
      </c>
      <c r="J76" s="42" t="n">
        <f aca="false">E76*('Plan-Annahmen'!$B$47*'Plan-Annahmen'!$B$51+'Plan-Annahmen'!$B$52)+F76*('Plan-Annahmen'!$B$48*'Plan-Annahmen'!$B$51+'Plan-Annahmen'!$B$52)</f>
        <v>18.050461009611</v>
      </c>
      <c r="K76" s="42" t="n">
        <f aca="false">G76*'Plan-Annahmen'!$B$50/100</f>
        <v>5.1406835520123</v>
      </c>
      <c r="L76" s="42" t="n">
        <f aca="false">'Plan-Kunden'!D76*'Plan-Annahmen'!$B$48*'Plan-Annahmen'!$B$30</f>
        <v>0</v>
      </c>
      <c r="M76" s="42" t="n">
        <f aca="false">'Plan-Kosten'!X$58</f>
        <v>520.514333333333</v>
      </c>
      <c r="N76" s="42" t="n">
        <f aca="false">'Plan-Kosten'!X$55</f>
        <v>0</v>
      </c>
      <c r="O76" s="48" t="n">
        <f aca="false">I76+J76+K76+L76+M76+N76</f>
        <v>566.954691034148</v>
      </c>
      <c r="P76" s="30" t="n">
        <f aca="false">H76-O76</f>
        <v>208.019080272225</v>
      </c>
      <c r="Q76" s="42" t="n">
        <f aca="false">MAX(0,P76*'Plan-Annahmen'!$B$69)</f>
        <v>64.1465879200774</v>
      </c>
      <c r="R76" s="48" t="n">
        <f aca="false">P76-Q76</f>
        <v>143.872492352148</v>
      </c>
      <c r="S76" s="48" t="n">
        <f aca="false">S75+R76</f>
        <v>-5716.68164529161</v>
      </c>
      <c r="T76" s="42" t="n">
        <f aca="false">T75+'Plan-Kosten'!X$56</f>
        <v>2000</v>
      </c>
      <c r="U76" s="30" t="n">
        <f aca="false">S76-T76</f>
        <v>-7716.68164529161</v>
      </c>
      <c r="V76" s="26" t="n">
        <f aca="false">IF(P76&gt;0,1,0)</f>
        <v>1</v>
      </c>
      <c r="W76" s="82" t="n">
        <f aca="false">'Plan-Kunden'!P76</f>
        <v>56.526566258573</v>
      </c>
      <c r="X76" s="95" t="n">
        <f aca="false">'Plan-Kunden'!Q76</f>
        <v>0</v>
      </c>
      <c r="Y76" s="95" t="n">
        <f aca="false">IF(D76&gt;='Plan-Phase B'!$C$21,1,0)</f>
        <v>0</v>
      </c>
      <c r="Z76" s="95" t="n">
        <f aca="false">IF(D76&gt;='Plan-Phase B'!$D$21,1,0)</f>
        <v>0</v>
      </c>
      <c r="AA76" s="95" t="n">
        <f aca="false">IF(D76&gt;='Plan-Phase B'!$E$21,1,0)</f>
        <v>0</v>
      </c>
      <c r="AB76" s="26" t="n">
        <f aca="false">IF(AND(U76&gt;=0,A76&gt;$K$64),1,0)</f>
        <v>0</v>
      </c>
    </row>
    <row r="77" customFormat="false" ht="15" hidden="false" customHeight="false" outlineLevel="0" collapsed="false">
      <c r="A77" s="26" t="n">
        <v>12</v>
      </c>
      <c r="B77" s="78" t="n">
        <f aca="false">'Plan-Kunden'!B77</f>
        <v>46600</v>
      </c>
      <c r="C77" s="82" t="n">
        <f aca="false">'Plan-Kunden'!E77</f>
        <v>4.87806852981452</v>
      </c>
      <c r="D77" s="82" t="n">
        <f aca="false">'Plan-Kunden'!K77</f>
        <v>30.2948774560108</v>
      </c>
      <c r="E77" s="82" t="n">
        <f aca="false">'Plan-Kunden'!I77</f>
        <v>23.9824380973637</v>
      </c>
      <c r="F77" s="82" t="n">
        <f aca="false">'Plan-Kunden'!J77</f>
        <v>6.31243935864713</v>
      </c>
      <c r="G77" s="94" t="n">
        <f aca="false">D77*'Plan-Annahmen'!$B$32</f>
        <v>242.359019648086</v>
      </c>
      <c r="H77" s="42" t="n">
        <f aca="false">E77*'Plan-Annahmen'!$B$47+F77*'Plan-Annahmen'!$B$48</f>
        <v>1004.80023339726</v>
      </c>
      <c r="I77" s="42" t="n">
        <f aca="false">H77*('Plan-Annahmen'!$B$33+'Plan-Annahmen'!$B$34)</f>
        <v>30.1440070019177</v>
      </c>
      <c r="J77" s="42" t="n">
        <f aca="false">E77*('Plan-Annahmen'!$B$47*'Plan-Annahmen'!$B$51+'Plan-Annahmen'!$B$52)+F77*('Plan-Annahmen'!$B$48*'Plan-Annahmen'!$B$51+'Plan-Annahmen'!$B$52)</f>
        <v>22.6457228649615</v>
      </c>
      <c r="K77" s="42" t="n">
        <f aca="false">G77*'Plan-Annahmen'!$B$50/100</f>
        <v>6.05897549120216</v>
      </c>
      <c r="L77" s="42" t="n">
        <f aca="false">'Plan-Kunden'!D77*'Plan-Annahmen'!$B$48*'Plan-Annahmen'!$B$30</f>
        <v>0</v>
      </c>
      <c r="M77" s="42" t="n">
        <f aca="false">'Plan-Kosten'!Y$58</f>
        <v>620.514333333333</v>
      </c>
      <c r="N77" s="42" t="n">
        <f aca="false">'Plan-Kosten'!Y$55</f>
        <v>0</v>
      </c>
      <c r="O77" s="48" t="n">
        <f aca="false">I77+J77+K77+L77+M77+N77</f>
        <v>679.363038691415</v>
      </c>
      <c r="P77" s="30" t="n">
        <f aca="false">H77-O77</f>
        <v>325.437194705841</v>
      </c>
      <c r="Q77" s="42" t="n">
        <f aca="false">MAX(0,P77*'Plan-Annahmen'!$B$69)</f>
        <v>100.354667443691</v>
      </c>
      <c r="R77" s="48" t="n">
        <f aca="false">P77-Q77</f>
        <v>225.08252726215</v>
      </c>
      <c r="S77" s="48" t="n">
        <f aca="false">S76+R77</f>
        <v>-5491.59911802946</v>
      </c>
      <c r="T77" s="42" t="n">
        <f aca="false">T76+'Plan-Kosten'!Y$56</f>
        <v>2000</v>
      </c>
      <c r="U77" s="30" t="n">
        <f aca="false">S77-T77</f>
        <v>-7491.59911802946</v>
      </c>
      <c r="V77" s="26" t="n">
        <f aca="false">IF(P77&gt;0,1,0)</f>
        <v>1</v>
      </c>
      <c r="W77" s="82" t="n">
        <f aca="false">'Plan-Kunden'!P77</f>
        <v>58.4665317666178</v>
      </c>
      <c r="X77" s="95" t="n">
        <f aca="false">'Plan-Kunden'!Q77</f>
        <v>0</v>
      </c>
      <c r="Y77" s="95" t="n">
        <f aca="false">IF(D77&gt;='Plan-Phase B'!$C$21,1,0)</f>
        <v>0</v>
      </c>
      <c r="Z77" s="95" t="n">
        <f aca="false">IF(D77&gt;='Plan-Phase B'!$D$21,1,0)</f>
        <v>0</v>
      </c>
      <c r="AA77" s="95" t="n">
        <f aca="false">IF(D77&gt;='Plan-Phase B'!$E$21,1,0)</f>
        <v>0</v>
      </c>
      <c r="AB77" s="26" t="n">
        <f aca="false">IF(AND(U77&gt;=0,A77&gt;$K$64),1,0)</f>
        <v>0</v>
      </c>
    </row>
    <row r="78" customFormat="false" ht="15" hidden="false" customHeight="false" outlineLevel="0" collapsed="false">
      <c r="A78" s="26" t="n">
        <v>13</v>
      </c>
      <c r="B78" s="78" t="n">
        <f aca="false">'Plan-Kunden'!B78</f>
        <v>46631</v>
      </c>
      <c r="C78" s="82" t="n">
        <f aca="false">'Plan-Kunden'!E78</f>
        <v>4.94980981080108</v>
      </c>
      <c r="D78" s="82" t="n">
        <f aca="false">'Plan-Kunden'!K78</f>
        <v>34.8154897050788</v>
      </c>
      <c r="E78" s="82" t="n">
        <f aca="false">'Plan-Kunden'!I78</f>
        <v>23.74261371639</v>
      </c>
      <c r="F78" s="82" t="n">
        <f aca="false">'Plan-Kunden'!J78</f>
        <v>11.0728759886888</v>
      </c>
      <c r="G78" s="94" t="n">
        <f aca="false">D78*'Plan-Annahmen'!$B$32</f>
        <v>278.523917640631</v>
      </c>
      <c r="H78" s="42" t="n">
        <f aca="false">E78*'Plan-Annahmen'!$B$47+F78*'Plan-Annahmen'!$B$48</f>
        <v>1231.10672122106</v>
      </c>
      <c r="I78" s="42" t="n">
        <f aca="false">H78*('Plan-Annahmen'!$B$33+'Plan-Annahmen'!$B$34)</f>
        <v>36.9332016366319</v>
      </c>
      <c r="J78" s="42" t="n">
        <f aca="false">E78*('Plan-Annahmen'!$B$47*'Plan-Annahmen'!$B$51+'Plan-Annahmen'!$B$52)+F78*('Plan-Annahmen'!$B$48*'Plan-Annahmen'!$B$51+'Plan-Annahmen'!$B$52)</f>
        <v>27.1704732445856</v>
      </c>
      <c r="K78" s="42" t="n">
        <f aca="false">G78*'Plan-Annahmen'!$B$50/100</f>
        <v>6.96309794101576</v>
      </c>
      <c r="L78" s="42" t="n">
        <f aca="false">'Plan-Kunden'!D78*'Plan-Annahmen'!$B$48*'Plan-Annahmen'!$B$30</f>
        <v>0</v>
      </c>
      <c r="M78" s="42" t="n">
        <f aca="false">'Plan-Kosten'!Z$58</f>
        <v>533.014333333333</v>
      </c>
      <c r="N78" s="42" t="n">
        <f aca="false">'Plan-Kosten'!Z$55</f>
        <v>0</v>
      </c>
      <c r="O78" s="48" t="n">
        <f aca="false">I78+J78+K78+L78+M78+N78</f>
        <v>604.081106155567</v>
      </c>
      <c r="P78" s="30" t="n">
        <f aca="false">H78-O78</f>
        <v>627.025615065495</v>
      </c>
      <c r="Q78" s="42" t="n">
        <f aca="false">MAX(0,P78*'Plan-Annahmen'!$B$69)</f>
        <v>193.35511767624</v>
      </c>
      <c r="R78" s="48" t="n">
        <f aca="false">P78-Q78</f>
        <v>433.670497389255</v>
      </c>
      <c r="S78" s="48" t="n">
        <f aca="false">S77+R78</f>
        <v>-5057.92862064021</v>
      </c>
      <c r="T78" s="42" t="n">
        <f aca="false">T77+'Plan-Kosten'!Z$56</f>
        <v>2000</v>
      </c>
      <c r="U78" s="30" t="n">
        <f aca="false">S78-T78</f>
        <v>-7057.92862064021</v>
      </c>
      <c r="V78" s="26" t="n">
        <f aca="false">IF(P78&gt;0,1,0)</f>
        <v>1</v>
      </c>
      <c r="W78" s="82" t="n">
        <f aca="false">'Plan-Kunden'!P78</f>
        <v>59.8944567223247</v>
      </c>
      <c r="X78" s="95" t="n">
        <f aca="false">'Plan-Kunden'!Q78</f>
        <v>0</v>
      </c>
      <c r="Y78" s="95" t="n">
        <f aca="false">IF(D78&gt;='Plan-Phase B'!$C$21,1,0)</f>
        <v>0</v>
      </c>
      <c r="Z78" s="95" t="n">
        <f aca="false">IF(D78&gt;='Plan-Phase B'!$D$21,1,0)</f>
        <v>0</v>
      </c>
      <c r="AA78" s="95" t="n">
        <f aca="false">IF(D78&gt;='Plan-Phase B'!$E$21,1,0)</f>
        <v>0</v>
      </c>
      <c r="AB78" s="26" t="n">
        <f aca="false">IF(AND(U78&gt;=0,A78&gt;$K$64),1,0)</f>
        <v>0</v>
      </c>
    </row>
    <row r="79" customFormat="false" ht="15" hidden="false" customHeight="false" outlineLevel="0" collapsed="false">
      <c r="A79" s="26" t="n">
        <v>14</v>
      </c>
      <c r="B79" s="78" t="n">
        <f aca="false">'Plan-Kunden'!B79</f>
        <v>46661</v>
      </c>
      <c r="C79" s="82" t="n">
        <f aca="false">'Plan-Kunden'!E79</f>
        <v>5.03016035548019</v>
      </c>
      <c r="D79" s="82" t="n">
        <f aca="false">'Plan-Kunden'!K79</f>
        <v>39.2760376437345</v>
      </c>
      <c r="E79" s="82" t="n">
        <f aca="false">'Plan-Kunden'!I79</f>
        <v>23.5051875792261</v>
      </c>
      <c r="F79" s="82" t="n">
        <f aca="false">'Plan-Kunden'!J79</f>
        <v>15.7708500645083</v>
      </c>
      <c r="G79" s="94" t="n">
        <f aca="false">D79*'Plan-Annahmen'!$B$32</f>
        <v>314.208301149876</v>
      </c>
      <c r="H79" s="42" t="n">
        <f aca="false">E79*'Plan-Annahmen'!$B$47+F79*'Plan-Annahmen'!$B$48</f>
        <v>1454.42209295847</v>
      </c>
      <c r="I79" s="42" t="n">
        <f aca="false">H79*('Plan-Annahmen'!$B$33+'Plan-Annahmen'!$B$34)</f>
        <v>43.632662788754</v>
      </c>
      <c r="J79" s="42" t="n">
        <f aca="false">E79*('Plan-Annahmen'!$B$47*'Plan-Annahmen'!$B$51+'Plan-Annahmen'!$B$52)+F79*('Plan-Annahmen'!$B$48*'Plan-Annahmen'!$B$51+'Plan-Annahmen'!$B$52)</f>
        <v>31.6353408053106</v>
      </c>
      <c r="K79" s="42" t="n">
        <f aca="false">G79*'Plan-Annahmen'!$B$50/100</f>
        <v>7.85520752874689</v>
      </c>
      <c r="L79" s="42" t="n">
        <f aca="false">'Plan-Kunden'!D79*'Plan-Annahmen'!$B$48*'Plan-Annahmen'!$B$30</f>
        <v>0</v>
      </c>
      <c r="M79" s="42" t="n">
        <f aca="false">'Plan-Kosten'!AA$58</f>
        <v>633.014333333333</v>
      </c>
      <c r="N79" s="42" t="n">
        <f aca="false">'Plan-Kosten'!AA$55</f>
        <v>0</v>
      </c>
      <c r="O79" s="48" t="n">
        <f aca="false">I79+J79+K79+L79+M79+N79</f>
        <v>716.137544456145</v>
      </c>
      <c r="P79" s="30" t="n">
        <f aca="false">H79-O79</f>
        <v>738.284548502321</v>
      </c>
      <c r="Q79" s="42" t="n">
        <f aca="false">MAX(0,P79*'Plan-Annahmen'!$B$69)</f>
        <v>227.663898131666</v>
      </c>
      <c r="R79" s="48" t="n">
        <f aca="false">P79-Q79</f>
        <v>510.620650370655</v>
      </c>
      <c r="S79" s="48" t="n">
        <f aca="false">S78+R79</f>
        <v>-4547.30797026955</v>
      </c>
      <c r="T79" s="42" t="n">
        <f aca="false">T78+'Plan-Kosten'!AA$56</f>
        <v>2000</v>
      </c>
      <c r="U79" s="30" t="n">
        <f aca="false">S79-T79</f>
        <v>-6547.30797026955</v>
      </c>
      <c r="V79" s="26" t="n">
        <f aca="false">IF(P79&gt;0,1,0)</f>
        <v>1</v>
      </c>
      <c r="W79" s="82" t="n">
        <f aca="false">'Plan-Kunden'!P79</f>
        <v>61.3129716486005</v>
      </c>
      <c r="X79" s="95" t="n">
        <f aca="false">'Plan-Kunden'!Q79</f>
        <v>0</v>
      </c>
      <c r="Y79" s="95" t="n">
        <f aca="false">IF(D79&gt;='Plan-Phase B'!$C$21,1,0)</f>
        <v>1</v>
      </c>
      <c r="Z79" s="95" t="n">
        <f aca="false">IF(D79&gt;='Plan-Phase B'!$D$21,1,0)</f>
        <v>0</v>
      </c>
      <c r="AA79" s="95" t="n">
        <f aca="false">IF(D79&gt;='Plan-Phase B'!$E$21,1,0)</f>
        <v>0</v>
      </c>
      <c r="AB79" s="26" t="n">
        <f aca="false">IF(AND(U79&gt;=0,A79&gt;$K$64),1,0)</f>
        <v>0</v>
      </c>
    </row>
    <row r="80" customFormat="false" ht="15" hidden="false" customHeight="false" outlineLevel="0" collapsed="false">
      <c r="A80" s="26" t="n">
        <v>15</v>
      </c>
      <c r="B80" s="78" t="n">
        <f aca="false">'Plan-Kunden'!B80</f>
        <v>46692</v>
      </c>
      <c r="C80" s="82" t="n">
        <f aca="false">'Plan-Kunden'!E80</f>
        <v>5.10927106983888</v>
      </c>
      <c r="D80" s="82" t="n">
        <f aca="false">'Plan-Kunden'!K80</f>
        <v>43.6771313358458</v>
      </c>
      <c r="E80" s="82" t="n">
        <f aca="false">'Plan-Kunden'!I80</f>
        <v>23.2701357034339</v>
      </c>
      <c r="F80" s="82" t="n">
        <f aca="false">'Plan-Kunden'!J80</f>
        <v>20.406995632412</v>
      </c>
      <c r="G80" s="94" t="n">
        <f aca="false">D80*'Plan-Annahmen'!$B$32</f>
        <v>349.417050686767</v>
      </c>
      <c r="H80" s="42" t="n">
        <f aca="false">E80*'Plan-Annahmen'!$B$47+F80*'Plan-Annahmen'!$B$48</f>
        <v>1674.77672138777</v>
      </c>
      <c r="I80" s="42" t="n">
        <f aca="false">H80*('Plan-Annahmen'!$B$33+'Plan-Annahmen'!$B$34)</f>
        <v>50.243301641633</v>
      </c>
      <c r="J80" s="42" t="n">
        <f aca="false">E80*('Plan-Annahmen'!$B$47*'Plan-Annahmen'!$B$51+'Plan-Annahmen'!$B$52)+F80*('Plan-Annahmen'!$B$48*'Plan-Annahmen'!$B$51+'Plan-Annahmen'!$B$52)</f>
        <v>36.040933654778</v>
      </c>
      <c r="K80" s="42" t="n">
        <f aca="false">G80*'Plan-Annahmen'!$B$50/100</f>
        <v>8.73542626716916</v>
      </c>
      <c r="L80" s="42" t="n">
        <f aca="false">'Plan-Kunden'!D80*'Plan-Annahmen'!$B$48*'Plan-Annahmen'!$B$30</f>
        <v>0</v>
      </c>
      <c r="M80" s="42" t="n">
        <f aca="false">'Plan-Kosten'!AB$58</f>
        <v>533.014333333333</v>
      </c>
      <c r="N80" s="42" t="n">
        <f aca="false">'Plan-Kosten'!AB$55</f>
        <v>0</v>
      </c>
      <c r="O80" s="48" t="n">
        <f aca="false">I80+J80+K80+L80+M80+N80</f>
        <v>628.033994896913</v>
      </c>
      <c r="P80" s="30" t="n">
        <f aca="false">H80-O80</f>
        <v>1046.74272649085</v>
      </c>
      <c r="Q80" s="42" t="n">
        <f aca="false">MAX(0,P80*'Plan-Annahmen'!$B$69)</f>
        <v>322.782767074431</v>
      </c>
      <c r="R80" s="48" t="n">
        <f aca="false">P80-Q80</f>
        <v>723.959959416423</v>
      </c>
      <c r="S80" s="48" t="n">
        <f aca="false">S79+R80</f>
        <v>-3823.34801085313</v>
      </c>
      <c r="T80" s="42" t="n">
        <f aca="false">T79+'Plan-Kosten'!AB$56</f>
        <v>2000</v>
      </c>
      <c r="U80" s="30" t="n">
        <f aca="false">S80-T80</f>
        <v>-5823.34801085313</v>
      </c>
      <c r="V80" s="26" t="n">
        <f aca="false">IF(P80&gt;0,1,0)</f>
        <v>1</v>
      </c>
      <c r="W80" s="82" t="n">
        <f aca="false">'Plan-Kunden'!P80</f>
        <v>62.7124104705926</v>
      </c>
      <c r="X80" s="95" t="n">
        <f aca="false">'Plan-Kunden'!Q80</f>
        <v>0</v>
      </c>
      <c r="Y80" s="95" t="n">
        <f aca="false">IF(D80&gt;='Plan-Phase B'!$C$21,1,0)</f>
        <v>1</v>
      </c>
      <c r="Z80" s="95" t="n">
        <f aca="false">IF(D80&gt;='Plan-Phase B'!$D$21,1,0)</f>
        <v>0</v>
      </c>
      <c r="AA80" s="95" t="n">
        <f aca="false">IF(D80&gt;='Plan-Phase B'!$E$21,1,0)</f>
        <v>0</v>
      </c>
      <c r="AB80" s="26" t="n">
        <f aca="false">IF(AND(U80&gt;=0,A80&gt;$K$64),1,0)</f>
        <v>0</v>
      </c>
    </row>
    <row r="81" customFormat="false" ht="15" hidden="false" customHeight="false" outlineLevel="0" collapsed="false">
      <c r="A81" s="26" t="n">
        <v>16</v>
      </c>
      <c r="B81" s="78" t="n">
        <f aca="false">'Plan-Kunden'!B81</f>
        <v>46722</v>
      </c>
      <c r="C81" s="82" t="n">
        <f aca="false">'Plan-Kunden'!E81</f>
        <v>5.43733065876535</v>
      </c>
      <c r="D81" s="82" t="n">
        <f aca="false">'Plan-Kunden'!K81</f>
        <v>48.2695507686045</v>
      </c>
      <c r="E81" s="82" t="n">
        <f aca="false">'Plan-Kunden'!I81</f>
        <v>23.0374343463995</v>
      </c>
      <c r="F81" s="82" t="n">
        <f aca="false">'Plan-Kunden'!J81</f>
        <v>25.2321164222049</v>
      </c>
      <c r="G81" s="94" t="n">
        <f aca="false">D81*'Plan-Annahmen'!$B$32</f>
        <v>386.156406148836</v>
      </c>
      <c r="H81" s="42" t="n">
        <f aca="false">E81*'Plan-Annahmen'!$B$47+F81*'Plan-Annahmen'!$B$48</f>
        <v>1904.45930073363</v>
      </c>
      <c r="I81" s="42" t="n">
        <f aca="false">H81*('Plan-Annahmen'!$B$33+'Plan-Annahmen'!$B$34)</f>
        <v>57.1337790220089</v>
      </c>
      <c r="J81" s="42" t="n">
        <f aca="false">E81*('Plan-Annahmen'!$B$47*'Plan-Annahmen'!$B$51+'Plan-Annahmen'!$B$52)+F81*('Plan-Annahmen'!$B$48*'Plan-Annahmen'!$B$51+'Plan-Annahmen'!$B$52)</f>
        <v>40.6342772031555</v>
      </c>
      <c r="K81" s="42" t="n">
        <f aca="false">G81*'Plan-Annahmen'!$B$50/100</f>
        <v>9.65391015372089</v>
      </c>
      <c r="L81" s="42" t="n">
        <f aca="false">'Plan-Kunden'!D81*'Plan-Annahmen'!$B$48*'Plan-Annahmen'!$B$30</f>
        <v>0</v>
      </c>
      <c r="M81" s="42" t="n">
        <f aca="false">'Plan-Kosten'!AC$58</f>
        <v>633.014333333333</v>
      </c>
      <c r="N81" s="42" t="n">
        <f aca="false">'Plan-Kosten'!AC$55</f>
        <v>0</v>
      </c>
      <c r="O81" s="48" t="n">
        <f aca="false">I81+J81+K81+L81+M81+N81</f>
        <v>740.436299712219</v>
      </c>
      <c r="P81" s="30" t="n">
        <f aca="false">H81-O81</f>
        <v>1164.02300102141</v>
      </c>
      <c r="Q81" s="42" t="n">
        <f aca="false">MAX(0,P81*'Plan-Annahmen'!$B$69)</f>
        <v>358.948341076681</v>
      </c>
      <c r="R81" s="48" t="n">
        <f aca="false">P81-Q81</f>
        <v>805.074659944729</v>
      </c>
      <c r="S81" s="48" t="n">
        <f aca="false">S80+R81</f>
        <v>-3018.2733509084</v>
      </c>
      <c r="T81" s="42" t="n">
        <f aca="false">T80+'Plan-Kosten'!AC$56</f>
        <v>2000</v>
      </c>
      <c r="U81" s="30" t="n">
        <f aca="false">S81-T81</f>
        <v>-5018.2733509084</v>
      </c>
      <c r="V81" s="26" t="n">
        <f aca="false">IF(P81&gt;0,1,0)</f>
        <v>1</v>
      </c>
      <c r="W81" s="82" t="n">
        <f aca="false">'Plan-Kunden'!P81</f>
        <v>64.4181958893467</v>
      </c>
      <c r="X81" s="95" t="n">
        <f aca="false">'Plan-Kunden'!Q81</f>
        <v>0</v>
      </c>
      <c r="Y81" s="95" t="n">
        <f aca="false">IF(D81&gt;='Plan-Phase B'!$C$21,1,0)</f>
        <v>1</v>
      </c>
      <c r="Z81" s="95" t="n">
        <f aca="false">IF(D81&gt;='Plan-Phase B'!$D$21,1,0)</f>
        <v>1</v>
      </c>
      <c r="AA81" s="95" t="n">
        <f aca="false">IF(D81&gt;='Plan-Phase B'!$E$21,1,0)</f>
        <v>0</v>
      </c>
      <c r="AB81" s="26" t="n">
        <f aca="false">IF(AND(U81&gt;=0,A81&gt;$K$64),1,0)</f>
        <v>0</v>
      </c>
    </row>
    <row r="82" customFormat="false" ht="15" hidden="false" customHeight="false" outlineLevel="0" collapsed="false">
      <c r="A82" s="26" t="n">
        <v>17</v>
      </c>
      <c r="B82" s="78" t="n">
        <f aca="false">'Plan-Kunden'!B82</f>
        <v>46753</v>
      </c>
      <c r="C82" s="82" t="n">
        <f aca="false">'Plan-Kunden'!E82</f>
        <v>7.5143497983773</v>
      </c>
      <c r="D82" s="82" t="n">
        <f aca="false">'Plan-Kunden'!K82</f>
        <v>54.7965627308516</v>
      </c>
      <c r="E82" s="82" t="n">
        <f aca="false">'Plan-Kunden'!I82</f>
        <v>22.8070600029355</v>
      </c>
      <c r="F82" s="82" t="n">
        <f aca="false">'Plan-Kunden'!J82</f>
        <v>31.9895027279161</v>
      </c>
      <c r="G82" s="94" t="n">
        <f aca="false">D82*'Plan-Annahmen'!$B$32</f>
        <v>438.372501846813</v>
      </c>
      <c r="H82" s="42" t="n">
        <f aca="false">E82*'Plan-Annahmen'!$B$47+F82*'Plan-Annahmen'!$B$48</f>
        <v>2228.89037375302</v>
      </c>
      <c r="I82" s="42" t="n">
        <f aca="false">H82*('Plan-Annahmen'!$B$33+'Plan-Annahmen'!$B$34)</f>
        <v>66.8667112125906</v>
      </c>
      <c r="J82" s="42" t="n">
        <f aca="false">E82*('Plan-Annahmen'!$B$47*'Plan-Annahmen'!$B$51+'Plan-Annahmen'!$B$52)+F82*('Plan-Annahmen'!$B$48*'Plan-Annahmen'!$B$51+'Plan-Annahmen'!$B$52)</f>
        <v>47.1324962890082</v>
      </c>
      <c r="K82" s="42" t="n">
        <f aca="false">G82*'Plan-Annahmen'!$B$50/100</f>
        <v>10.9593125461703</v>
      </c>
      <c r="L82" s="42" t="n">
        <f aca="false">'Plan-Kunden'!D82*'Plan-Annahmen'!$B$48*'Plan-Annahmen'!$B$30</f>
        <v>0</v>
      </c>
      <c r="M82" s="42" t="n">
        <f aca="false">'Plan-Kosten'!AD$58</f>
        <v>533.014333333333</v>
      </c>
      <c r="N82" s="42" t="n">
        <f aca="false">'Plan-Kosten'!AD$55</f>
        <v>0</v>
      </c>
      <c r="O82" s="48" t="n">
        <f aca="false">I82+J82+K82+L82+M82+N82</f>
        <v>657.972853381102</v>
      </c>
      <c r="P82" s="30" t="n">
        <f aca="false">H82-O82</f>
        <v>1570.91752037192</v>
      </c>
      <c r="Q82" s="42" t="n">
        <f aca="false">MAX(0,P82*'Plan-Annahmen'!$B$69)</f>
        <v>484.421903528538</v>
      </c>
      <c r="R82" s="48" t="n">
        <f aca="false">P82-Q82</f>
        <v>1086.49561684338</v>
      </c>
      <c r="S82" s="48" t="n">
        <f aca="false">S81+R82</f>
        <v>-1931.77773406502</v>
      </c>
      <c r="T82" s="42" t="n">
        <f aca="false">T81+'Plan-Kosten'!AD$56</f>
        <v>2000</v>
      </c>
      <c r="U82" s="30" t="n">
        <f aca="false">S82-T82</f>
        <v>-3931.77773406502</v>
      </c>
      <c r="V82" s="26" t="n">
        <f aca="false">IF(P82&gt;0,1,0)</f>
        <v>1</v>
      </c>
      <c r="W82" s="82" t="n">
        <f aca="false">'Plan-Kunden'!P82</f>
        <v>68.4533186176328</v>
      </c>
      <c r="X82" s="95" t="n">
        <f aca="false">'Plan-Kunden'!Q82</f>
        <v>1</v>
      </c>
      <c r="Y82" s="95" t="n">
        <f aca="false">IF(D82&gt;='Plan-Phase B'!$C$21,1,0)</f>
        <v>1</v>
      </c>
      <c r="Z82" s="95" t="n">
        <f aca="false">IF(D82&gt;='Plan-Phase B'!$D$21,1,0)</f>
        <v>1</v>
      </c>
      <c r="AA82" s="95" t="n">
        <f aca="false">IF(D82&gt;='Plan-Phase B'!$E$21,1,0)</f>
        <v>0</v>
      </c>
      <c r="AB82" s="26" t="n">
        <f aca="false">IF(AND(U82&gt;=0,A82&gt;$K$64),1,0)</f>
        <v>0</v>
      </c>
    </row>
    <row r="83" customFormat="false" ht="15" hidden="false" customHeight="false" outlineLevel="0" collapsed="false">
      <c r="A83" s="26" t="n">
        <v>18</v>
      </c>
      <c r="B83" s="78" t="n">
        <f aca="false">'Plan-Kunden'!B83</f>
        <v>46784</v>
      </c>
      <c r="C83" s="82" t="n">
        <f aca="false">'Plan-Kunden'!E83</f>
        <v>7.59471713845058</v>
      </c>
      <c r="D83" s="82" t="n">
        <f aca="false">'Plan-Kunden'!K83</f>
        <v>61.2035241874354</v>
      </c>
      <c r="E83" s="82" t="n">
        <f aca="false">'Plan-Kunden'!I83</f>
        <v>22.5789894029062</v>
      </c>
      <c r="F83" s="82" t="n">
        <f aca="false">'Plan-Kunden'!J83</f>
        <v>38.6245347845292</v>
      </c>
      <c r="G83" s="94" t="n">
        <f aca="false">D83*'Plan-Annahmen'!$B$32</f>
        <v>489.628193499483</v>
      </c>
      <c r="H83" s="42" t="n">
        <f aca="false">E83*'Plan-Annahmen'!$B$47+F83*'Plan-Annahmen'!$B$48</f>
        <v>2547.39289712621</v>
      </c>
      <c r="I83" s="42" t="n">
        <f aca="false">H83*('Plan-Annahmen'!$B$33+'Plan-Annahmen'!$B$34)</f>
        <v>76.4217869137863</v>
      </c>
      <c r="J83" s="42" t="n">
        <f aca="false">E83*('Plan-Annahmen'!$B$47*'Plan-Annahmen'!$B$51+'Plan-Annahmen'!$B$52)+F83*('Plan-Annahmen'!$B$48*'Plan-Annahmen'!$B$51+'Plan-Annahmen'!$B$52)</f>
        <v>53.511774503752</v>
      </c>
      <c r="K83" s="42" t="n">
        <f aca="false">G83*'Plan-Annahmen'!$B$50/100</f>
        <v>12.2407048374871</v>
      </c>
      <c r="L83" s="42" t="n">
        <f aca="false">'Plan-Kunden'!D83*'Plan-Annahmen'!$B$48*'Plan-Annahmen'!$B$30</f>
        <v>0</v>
      </c>
      <c r="M83" s="42" t="n">
        <f aca="false">'Plan-Kosten'!AE$58</f>
        <v>633.014333333333</v>
      </c>
      <c r="N83" s="42" t="n">
        <f aca="false">'Plan-Kosten'!AE$55</f>
        <v>0</v>
      </c>
      <c r="O83" s="48" t="n">
        <f aca="false">I83+J83+K83+L83+M83+N83</f>
        <v>775.188599588359</v>
      </c>
      <c r="P83" s="30" t="n">
        <f aca="false">H83-O83</f>
        <v>1772.20429753785</v>
      </c>
      <c r="Q83" s="42" t="n">
        <f aca="false">MAX(0,P83*'Plan-Annahmen'!$B$69)</f>
        <v>546.492459420461</v>
      </c>
      <c r="R83" s="48" t="n">
        <f aca="false">P83-Q83</f>
        <v>1225.71183811739</v>
      </c>
      <c r="S83" s="48" t="n">
        <f aca="false">S82+R83</f>
        <v>-706.06589594763</v>
      </c>
      <c r="T83" s="42" t="n">
        <f aca="false">T82+'Plan-Kosten'!AE$56</f>
        <v>2000</v>
      </c>
      <c r="U83" s="30" t="n">
        <f aca="false">S83-T83</f>
        <v>-2706.06589594763</v>
      </c>
      <c r="V83" s="26" t="n">
        <f aca="false">IF(P83&gt;0,1,0)</f>
        <v>1</v>
      </c>
      <c r="W83" s="82" t="n">
        <f aca="false">'Plan-Kunden'!P83</f>
        <v>70.4557743946812</v>
      </c>
      <c r="X83" s="95" t="n">
        <f aca="false">'Plan-Kunden'!Q83</f>
        <v>1</v>
      </c>
      <c r="Y83" s="95" t="n">
        <f aca="false">IF(D83&gt;='Plan-Phase B'!$C$21,1,0)</f>
        <v>1</v>
      </c>
      <c r="Z83" s="95" t="n">
        <f aca="false">IF(D83&gt;='Plan-Phase B'!$D$21,1,0)</f>
        <v>1</v>
      </c>
      <c r="AA83" s="95" t="n">
        <f aca="false">IF(D83&gt;='Plan-Phase B'!$E$21,1,0)</f>
        <v>0</v>
      </c>
      <c r="AB83" s="26" t="n">
        <f aca="false">IF(AND(U83&gt;=0,A83&gt;$K$64),1,0)</f>
        <v>0</v>
      </c>
    </row>
    <row r="84" customFormat="false" ht="15" hidden="false" customHeight="false" outlineLevel="0" collapsed="false">
      <c r="A84" s="26" t="n">
        <v>19</v>
      </c>
      <c r="B84" s="78" t="n">
        <f aca="false">'Plan-Kunden'!B84</f>
        <v>46813</v>
      </c>
      <c r="C84" s="82" t="n">
        <f aca="false">'Plan-Kunden'!E84</f>
        <v>7.7089398477899</v>
      </c>
      <c r="D84" s="82" t="n">
        <f aca="false">'Plan-Kunden'!K84</f>
        <v>67.5279380976603</v>
      </c>
      <c r="E84" s="82" t="n">
        <f aca="false">'Plan-Kunden'!I84</f>
        <v>22.3531995088771</v>
      </c>
      <c r="F84" s="82" t="n">
        <f aca="false">'Plan-Kunden'!J84</f>
        <v>45.1747385887832</v>
      </c>
      <c r="G84" s="94" t="n">
        <f aca="false">D84*'Plan-Annahmen'!$B$32</f>
        <v>540.223504781283</v>
      </c>
      <c r="H84" s="42" t="n">
        <f aca="false">E84*'Plan-Annahmen'!$B$47+F84*'Plan-Annahmen'!$B$48</f>
        <v>2861.80497660781</v>
      </c>
      <c r="I84" s="42" t="n">
        <f aca="false">H84*('Plan-Annahmen'!$B$33+'Plan-Annahmen'!$B$34)</f>
        <v>85.8541492982344</v>
      </c>
      <c r="J84" s="42" t="n">
        <f aca="false">E84*('Plan-Annahmen'!$B$47*'Plan-Annahmen'!$B$51+'Plan-Annahmen'!$B$52)+F84*('Plan-Annahmen'!$B$48*'Plan-Annahmen'!$B$51+'Plan-Annahmen'!$B$52)</f>
        <v>59.8090591735323</v>
      </c>
      <c r="K84" s="42" t="n">
        <f aca="false">G84*'Plan-Annahmen'!$B$50/100</f>
        <v>13.5055876195321</v>
      </c>
      <c r="L84" s="42" t="n">
        <f aca="false">'Plan-Kunden'!D84*'Plan-Annahmen'!$B$48*'Plan-Annahmen'!$B$30</f>
        <v>0</v>
      </c>
      <c r="M84" s="42" t="n">
        <f aca="false">'Plan-Kosten'!AF$58</f>
        <v>533.014333333333</v>
      </c>
      <c r="N84" s="42" t="n">
        <f aca="false">'Plan-Kosten'!AF$55</f>
        <v>0</v>
      </c>
      <c r="O84" s="48" t="n">
        <f aca="false">I84+J84+K84+L84+M84+N84</f>
        <v>692.183129424632</v>
      </c>
      <c r="P84" s="30" t="n">
        <f aca="false">H84-O84</f>
        <v>2169.62184718318</v>
      </c>
      <c r="Q84" s="42" t="n">
        <f aca="false">MAX(0,P84*'Plan-Annahmen'!$B$69)</f>
        <v>669.043620381006</v>
      </c>
      <c r="R84" s="48" t="n">
        <f aca="false">P84-Q84</f>
        <v>1500.57822680218</v>
      </c>
      <c r="S84" s="48" t="n">
        <f aca="false">S83+R84</f>
        <v>794.512330854546</v>
      </c>
      <c r="T84" s="42" t="n">
        <f aca="false">T83+'Plan-Kosten'!AF$56</f>
        <v>2000</v>
      </c>
      <c r="U84" s="30" t="n">
        <f aca="false">S84-T84</f>
        <v>-1205.48766914545</v>
      </c>
      <c r="V84" s="26" t="n">
        <f aca="false">IF(P84&gt;0,1,0)</f>
        <v>1</v>
      </c>
      <c r="W84" s="82" t="n">
        <f aca="false">'Plan-Kunden'!P84</f>
        <v>72.467321277088</v>
      </c>
      <c r="X84" s="95" t="n">
        <f aca="false">'Plan-Kunden'!Q84</f>
        <v>1</v>
      </c>
      <c r="Y84" s="95" t="n">
        <f aca="false">IF(D84&gt;='Plan-Phase B'!$C$21,1,0)</f>
        <v>1</v>
      </c>
      <c r="Z84" s="95" t="n">
        <f aca="false">IF(D84&gt;='Plan-Phase B'!$D$21,1,0)</f>
        <v>1</v>
      </c>
      <c r="AA84" s="95" t="n">
        <f aca="false">IF(D84&gt;='Plan-Phase B'!$E$21,1,0)</f>
        <v>0</v>
      </c>
      <c r="AB84" s="26" t="n">
        <f aca="false">IF(AND(U84&gt;=0,A84&gt;$K$64),1,0)</f>
        <v>0</v>
      </c>
    </row>
    <row r="85" customFormat="false" ht="15" hidden="false" customHeight="false" outlineLevel="0" collapsed="false">
      <c r="A85" s="26" t="n">
        <v>20</v>
      </c>
      <c r="B85" s="78" t="n">
        <f aca="false">'Plan-Kunden'!B85</f>
        <v>46844</v>
      </c>
      <c r="C85" s="82" t="n">
        <f aca="false">'Plan-Kunden'!E85</f>
        <v>8.07106167328012</v>
      </c>
      <c r="D85" s="82" t="n">
        <f aca="false">'Plan-Kunden'!K85</f>
        <v>74.0202256181882</v>
      </c>
      <c r="E85" s="82" t="n">
        <f aca="false">'Plan-Kunden'!I85</f>
        <v>22.1296675137883</v>
      </c>
      <c r="F85" s="82" t="n">
        <f aca="false">'Plan-Kunden'!J85</f>
        <v>51.8905581043998</v>
      </c>
      <c r="G85" s="94" t="n">
        <f aca="false">D85*'Plan-Annahmen'!$B$32</f>
        <v>592.161804945505</v>
      </c>
      <c r="H85" s="42" t="n">
        <f aca="false">E85*'Plan-Annahmen'!$B$47+F85*'Plan-Annahmen'!$B$48</f>
        <v>3184.39770501545</v>
      </c>
      <c r="I85" s="42" t="n">
        <f aca="false">H85*('Plan-Annahmen'!$B$33+'Plan-Annahmen'!$B$34)</f>
        <v>95.5319311504636</v>
      </c>
      <c r="J85" s="42" t="n">
        <f aca="false">E85*('Plan-Annahmen'!$B$47*'Plan-Annahmen'!$B$51+'Plan-Annahmen'!$B$52)+F85*('Plan-Annahmen'!$B$48*'Plan-Annahmen'!$B$51+'Plan-Annahmen'!$B$52)</f>
        <v>66.2710219797789</v>
      </c>
      <c r="K85" s="42" t="n">
        <f aca="false">G85*'Plan-Annahmen'!$B$50/100</f>
        <v>14.8040451236376</v>
      </c>
      <c r="L85" s="42" t="n">
        <f aca="false">'Plan-Kunden'!D85*'Plan-Annahmen'!$B$48*'Plan-Annahmen'!$B$30</f>
        <v>0</v>
      </c>
      <c r="M85" s="42" t="n">
        <f aca="false">'Plan-Kosten'!AG$58</f>
        <v>633.014333333333</v>
      </c>
      <c r="N85" s="42" t="n">
        <f aca="false">'Plan-Kosten'!AG$55</f>
        <v>0</v>
      </c>
      <c r="O85" s="48" t="n">
        <f aca="false">I85+J85+K85+L85+M85+N85</f>
        <v>809.621331587214</v>
      </c>
      <c r="P85" s="30" t="n">
        <f aca="false">H85-O85</f>
        <v>2374.77637342824</v>
      </c>
      <c r="Q85" s="42" t="n">
        <f aca="false">MAX(0,P85*'Plan-Annahmen'!$B$69)</f>
        <v>732.306869299127</v>
      </c>
      <c r="R85" s="48" t="n">
        <f aca="false">P85-Q85</f>
        <v>1642.46950412911</v>
      </c>
      <c r="S85" s="48" t="n">
        <f aca="false">S84+R85</f>
        <v>2436.98183498366</v>
      </c>
      <c r="T85" s="42" t="n">
        <f aca="false">T84+'Plan-Kosten'!AG$56</f>
        <v>2000</v>
      </c>
      <c r="U85" s="30" t="n">
        <f aca="false">S85-T85</f>
        <v>436.981834983659</v>
      </c>
      <c r="V85" s="26" t="n">
        <f aca="false">IF(P85&gt;0,1,0)</f>
        <v>1</v>
      </c>
      <c r="W85" s="82" t="n">
        <f aca="false">'Plan-Kunden'!P85</f>
        <v>74.7771293587366</v>
      </c>
      <c r="X85" s="95" t="n">
        <f aca="false">'Plan-Kunden'!Q85</f>
        <v>1</v>
      </c>
      <c r="Y85" s="95" t="n">
        <f aca="false">IF(D85&gt;='Plan-Phase B'!$C$21,1,0)</f>
        <v>1</v>
      </c>
      <c r="Z85" s="95" t="n">
        <f aca="false">IF(D85&gt;='Plan-Phase B'!$D$21,1,0)</f>
        <v>1</v>
      </c>
      <c r="AA85" s="95" t="n">
        <f aca="false">IF(D85&gt;='Plan-Phase B'!$E$21,1,0)</f>
        <v>0</v>
      </c>
      <c r="AB85" s="26" t="n">
        <f aca="false">IF(AND(U85&gt;=0,A85&gt;$K$64),1,0)</f>
        <v>1</v>
      </c>
    </row>
    <row r="86" customFormat="false" ht="15" hidden="false" customHeight="false" outlineLevel="0" collapsed="false">
      <c r="A86" s="26" t="n">
        <v>21</v>
      </c>
      <c r="B86" s="78" t="n">
        <f aca="false">'Plan-Kunden'!B86</f>
        <v>46874</v>
      </c>
      <c r="C86" s="82" t="n">
        <f aca="false">'Plan-Kunden'!E86</f>
        <v>8.18173891670906</v>
      </c>
      <c r="D86" s="82" t="n">
        <f aca="false">'Plan-Kunden'!K86</f>
        <v>80.4239511166274</v>
      </c>
      <c r="E86" s="82" t="n">
        <f aca="false">'Plan-Kunden'!I86</f>
        <v>21.9083708386505</v>
      </c>
      <c r="F86" s="82" t="n">
        <f aca="false">'Plan-Kunden'!J86</f>
        <v>58.5155802779769</v>
      </c>
      <c r="G86" s="94" t="n">
        <f aca="false">D86*'Plan-Annahmen'!$B$32</f>
        <v>643.391608933019</v>
      </c>
      <c r="H86" s="42" t="n">
        <f aca="false">E86*'Plan-Annahmen'!$B$47+F86*'Plan-Annahmen'!$B$48</f>
        <v>3502.60618794173</v>
      </c>
      <c r="I86" s="42" t="n">
        <f aca="false">H86*('Plan-Annahmen'!$B$33+'Plan-Annahmen'!$B$34)</f>
        <v>105.078185638252</v>
      </c>
      <c r="J86" s="42" t="n">
        <f aca="false">E86*('Plan-Annahmen'!$B$47*'Plan-Annahmen'!$B$51+'Plan-Annahmen'!$B$52)+F86*('Plan-Annahmen'!$B$48*'Plan-Annahmen'!$B$51+'Plan-Annahmen'!$B$52)</f>
        <v>72.6450805982828</v>
      </c>
      <c r="K86" s="42" t="n">
        <f aca="false">G86*'Plan-Annahmen'!$B$50/100</f>
        <v>16.0847902233255</v>
      </c>
      <c r="L86" s="42" t="n">
        <f aca="false">'Plan-Kunden'!D86*'Plan-Annahmen'!$B$48*'Plan-Annahmen'!$B$30</f>
        <v>0</v>
      </c>
      <c r="M86" s="42" t="n">
        <f aca="false">'Plan-Kosten'!AH$58</f>
        <v>533.014333333333</v>
      </c>
      <c r="N86" s="42" t="n">
        <f aca="false">'Plan-Kosten'!AH$55</f>
        <v>0</v>
      </c>
      <c r="O86" s="48" t="n">
        <f aca="false">I86+J86+K86+L86+M86+N86</f>
        <v>726.822389793194</v>
      </c>
      <c r="P86" s="30" t="n">
        <f aca="false">H86-O86</f>
        <v>2775.78379814854</v>
      </c>
      <c r="Q86" s="42" t="n">
        <f aca="false">MAX(0,P86*'Plan-Annahmen'!$B$69)</f>
        <v>855.965035620993</v>
      </c>
      <c r="R86" s="48" t="n">
        <f aca="false">P86-Q86</f>
        <v>1919.81876252754</v>
      </c>
      <c r="S86" s="48" t="n">
        <f aca="false">S85+R86</f>
        <v>4356.8005975112</v>
      </c>
      <c r="T86" s="42" t="n">
        <f aca="false">T85+'Plan-Kosten'!AH$56</f>
        <v>2000</v>
      </c>
      <c r="U86" s="30" t="n">
        <f aca="false">S86-T86</f>
        <v>2356.8005975112</v>
      </c>
      <c r="V86" s="26" t="n">
        <f aca="false">IF(P86&gt;0,1,0)</f>
        <v>1</v>
      </c>
      <c r="W86" s="82" t="n">
        <f aca="false">'Plan-Kunden'!P86</f>
        <v>76.8089242516973</v>
      </c>
      <c r="X86" s="95" t="n">
        <f aca="false">'Plan-Kunden'!Q86</f>
        <v>1</v>
      </c>
      <c r="Y86" s="95" t="n">
        <f aca="false">IF(D86&gt;='Plan-Phase B'!$C$21,1,0)</f>
        <v>1</v>
      </c>
      <c r="Z86" s="95" t="n">
        <f aca="false">IF(D86&gt;='Plan-Phase B'!$D$21,1,0)</f>
        <v>1</v>
      </c>
      <c r="AA86" s="95" t="n">
        <f aca="false">IF(D86&gt;='Plan-Phase B'!$E$21,1,0)</f>
        <v>0</v>
      </c>
      <c r="AB86" s="26" t="n">
        <f aca="false">IF(AND(U86&gt;=0,A86&gt;$K$64),1,0)</f>
        <v>1</v>
      </c>
    </row>
    <row r="87" customFormat="false" ht="15" hidden="false" customHeight="false" outlineLevel="0" collapsed="false">
      <c r="A87" s="26" t="n">
        <v>22</v>
      </c>
      <c r="B87" s="78" t="n">
        <f aca="false">'Plan-Kunden'!B87</f>
        <v>46905</v>
      </c>
      <c r="C87" s="82" t="n">
        <f aca="false">'Plan-Kunden'!E87</f>
        <v>8.29535394831829</v>
      </c>
      <c r="D87" s="82" t="n">
        <f aca="false">'Plan-Kunden'!K87</f>
        <v>86.7447539482199</v>
      </c>
      <c r="E87" s="82" t="n">
        <f aca="false">'Plan-Kunden'!I87</f>
        <v>21.689287130264</v>
      </c>
      <c r="F87" s="82" t="n">
        <f aca="false">'Plan-Kunden'!J87</f>
        <v>65.0554668179559</v>
      </c>
      <c r="G87" s="94" t="n">
        <f aca="false">D87*'Plan-Annahmen'!$B$32</f>
        <v>693.958031585759</v>
      </c>
      <c r="H87" s="42" t="n">
        <f aca="false">E87*'Plan-Annahmen'!$B$47+F87*'Plan-Annahmen'!$B$48</f>
        <v>3816.70720085749</v>
      </c>
      <c r="I87" s="42" t="n">
        <f aca="false">H87*('Plan-Annahmen'!$B$33+'Plan-Annahmen'!$B$34)</f>
        <v>114.501216025725</v>
      </c>
      <c r="J87" s="42" t="n">
        <f aca="false">E87*('Plan-Annahmen'!$B$47*'Plan-Annahmen'!$B$51+'Plan-Annahmen'!$B$52)+F87*('Plan-Annahmen'!$B$48*'Plan-Annahmen'!$B$51+'Plan-Annahmen'!$B$52)</f>
        <v>78.9367964999174</v>
      </c>
      <c r="K87" s="42" t="n">
        <f aca="false">G87*'Plan-Annahmen'!$B$50/100</f>
        <v>17.348950789644</v>
      </c>
      <c r="L87" s="42" t="n">
        <f aca="false">'Plan-Kunden'!D87*'Plan-Annahmen'!$B$48*'Plan-Annahmen'!$B$30</f>
        <v>0</v>
      </c>
      <c r="M87" s="42" t="n">
        <f aca="false">'Plan-Kosten'!AI$58</f>
        <v>633.014333333333</v>
      </c>
      <c r="N87" s="42" t="n">
        <f aca="false">'Plan-Kosten'!AI$55</f>
        <v>0</v>
      </c>
      <c r="O87" s="48" t="n">
        <f aca="false">I87+J87+K87+L87+M87+N87</f>
        <v>843.801296648619</v>
      </c>
      <c r="P87" s="30" t="n">
        <f aca="false">H87-O87</f>
        <v>2972.90590420887</v>
      </c>
      <c r="Q87" s="42" t="n">
        <f aca="false">MAX(0,P87*'Plan-Annahmen'!$B$69)</f>
        <v>916.751337006628</v>
      </c>
      <c r="R87" s="48" t="n">
        <f aca="false">P87-Q87</f>
        <v>2056.15456720225</v>
      </c>
      <c r="S87" s="48" t="n">
        <f aca="false">S86+R87</f>
        <v>6412.95516471345</v>
      </c>
      <c r="T87" s="42" t="n">
        <f aca="false">T86+'Plan-Kosten'!AI$56</f>
        <v>2000</v>
      </c>
      <c r="U87" s="30" t="n">
        <f aca="false">S87-T87</f>
        <v>4412.95516471345</v>
      </c>
      <c r="V87" s="26" t="n">
        <f aca="false">IF(P87&gt;0,1,0)</f>
        <v>1</v>
      </c>
      <c r="W87" s="82" t="n">
        <f aca="false">'Plan-Kunden'!P87</f>
        <v>78.8187801327842</v>
      </c>
      <c r="X87" s="95" t="n">
        <f aca="false">'Plan-Kunden'!Q87</f>
        <v>1</v>
      </c>
      <c r="Y87" s="95" t="n">
        <f aca="false">IF(D87&gt;='Plan-Phase B'!$C$21,1,0)</f>
        <v>1</v>
      </c>
      <c r="Z87" s="95" t="n">
        <f aca="false">IF(D87&gt;='Plan-Phase B'!$D$21,1,0)</f>
        <v>1</v>
      </c>
      <c r="AA87" s="95" t="n">
        <f aca="false">IF(D87&gt;='Plan-Phase B'!$E$21,1,0)</f>
        <v>0</v>
      </c>
      <c r="AB87" s="26" t="n">
        <f aca="false">IF(AND(U87&gt;=0,A87&gt;$K$64),1,0)</f>
        <v>1</v>
      </c>
    </row>
    <row r="88" customFormat="false" ht="15" hidden="false" customHeight="false" outlineLevel="0" collapsed="false">
      <c r="A88" s="26" t="n">
        <v>23</v>
      </c>
      <c r="B88" s="78" t="n">
        <f aca="false">'Plan-Kunden'!B88</f>
        <v>46935</v>
      </c>
      <c r="C88" s="82" t="n">
        <f aca="false">'Plan-Kunden'!E88</f>
        <v>8.40741914454098</v>
      </c>
      <c r="D88" s="82" t="n">
        <f aca="false">'Plan-Kunden'!K88</f>
        <v>92.9836162169195</v>
      </c>
      <c r="E88" s="82" t="n">
        <f aca="false">'Plan-Kunden'!I88</f>
        <v>21.4723942589613</v>
      </c>
      <c r="F88" s="82" t="n">
        <f aca="false">'Plan-Kunden'!J88</f>
        <v>71.5112219579582</v>
      </c>
      <c r="G88" s="94" t="n">
        <f aca="false">D88*'Plan-Annahmen'!$B$32</f>
        <v>743.868929735356</v>
      </c>
      <c r="H88" s="42" t="n">
        <f aca="false">E88*'Plan-Annahmen'!$B$47+F88*'Plan-Annahmen'!$B$48</f>
        <v>4126.74930944983</v>
      </c>
      <c r="I88" s="42" t="n">
        <f aca="false">H88*('Plan-Annahmen'!$B$33+'Plan-Annahmen'!$B$34)</f>
        <v>123.802479283495</v>
      </c>
      <c r="J88" s="42" t="n">
        <f aca="false">E88*('Plan-Annahmen'!$B$47*'Plan-Annahmen'!$B$51+'Plan-Annahmen'!$B$52)+F88*('Plan-Annahmen'!$B$48*'Plan-Annahmen'!$B$51+'Plan-Annahmen'!$B$52)</f>
        <v>85.1471436959773</v>
      </c>
      <c r="K88" s="42" t="n">
        <f aca="false">G88*'Plan-Annahmen'!$B$50/100</f>
        <v>18.5967232433839</v>
      </c>
      <c r="L88" s="42" t="n">
        <f aca="false">'Plan-Kunden'!D88*'Plan-Annahmen'!$B$48*'Plan-Annahmen'!$B$30</f>
        <v>0</v>
      </c>
      <c r="M88" s="42" t="n">
        <f aca="false">'Plan-Kosten'!AJ$58</f>
        <v>533.014333333333</v>
      </c>
      <c r="N88" s="42" t="n">
        <f aca="false">'Plan-Kosten'!AJ$55</f>
        <v>0</v>
      </c>
      <c r="O88" s="48" t="n">
        <f aca="false">I88+J88+K88+L88+M88+N88</f>
        <v>760.560679556189</v>
      </c>
      <c r="P88" s="30" t="n">
        <f aca="false">H88-O88</f>
        <v>3366.18862989364</v>
      </c>
      <c r="Q88" s="42" t="n">
        <f aca="false">MAX(0,P88*'Plan-Annahmen'!$B$69)</f>
        <v>1038.02744738829</v>
      </c>
      <c r="R88" s="48" t="n">
        <f aca="false">P88-Q88</f>
        <v>2328.16118250535</v>
      </c>
      <c r="S88" s="48" t="n">
        <f aca="false">S87+R88</f>
        <v>8741.1163472188</v>
      </c>
      <c r="T88" s="42" t="n">
        <f aca="false">T87+'Plan-Kosten'!AJ$56</f>
        <v>2000</v>
      </c>
      <c r="U88" s="30" t="n">
        <f aca="false">S88-T88</f>
        <v>6741.1163472188</v>
      </c>
      <c r="V88" s="26" t="n">
        <f aca="false">IF(P88&gt;0,1,0)</f>
        <v>1</v>
      </c>
      <c r="W88" s="82" t="n">
        <f aca="false">'Plan-Kunden'!P88</f>
        <v>80.8025040096168</v>
      </c>
      <c r="X88" s="95" t="n">
        <f aca="false">'Plan-Kunden'!Q88</f>
        <v>1</v>
      </c>
      <c r="Y88" s="95" t="n">
        <f aca="false">IF(D88&gt;='Plan-Phase B'!$C$21,1,0)</f>
        <v>1</v>
      </c>
      <c r="Z88" s="95" t="n">
        <f aca="false">IF(D88&gt;='Plan-Phase B'!$D$21,1,0)</f>
        <v>1</v>
      </c>
      <c r="AA88" s="95" t="n">
        <f aca="false">IF(D88&gt;='Plan-Phase B'!$E$21,1,0)</f>
        <v>0</v>
      </c>
      <c r="AB88" s="26" t="n">
        <f aca="false">IF(AND(U88&gt;=0,A88&gt;$K$64),1,0)</f>
        <v>1</v>
      </c>
    </row>
    <row r="89" customFormat="false" ht="15" hidden="false" customHeight="false" outlineLevel="0" collapsed="false">
      <c r="A89" s="26" t="n">
        <v>24</v>
      </c>
      <c r="B89" s="78" t="n">
        <f aca="false">'Plan-Kunden'!B89</f>
        <v>46966</v>
      </c>
      <c r="C89" s="82" t="n">
        <f aca="false">'Plan-Kunden'!E89</f>
        <v>8.51803319409385</v>
      </c>
      <c r="D89" s="82" t="n">
        <f aca="false">'Plan-Kunden'!K89</f>
        <v>99.141588809685</v>
      </c>
      <c r="E89" s="82" t="n">
        <f aca="false">'Plan-Kunden'!I89</f>
        <v>21.2576703163717</v>
      </c>
      <c r="F89" s="82" t="n">
        <f aca="false">'Plan-Kunden'!J89</f>
        <v>77.8839184933133</v>
      </c>
      <c r="G89" s="94" t="n">
        <f aca="false">D89*'Plan-Annahmen'!$B$32</f>
        <v>793.13271047748</v>
      </c>
      <c r="H89" s="42" t="n">
        <f aca="false">E89*'Plan-Annahmen'!$B$47+F89*'Plan-Annahmen'!$B$48</f>
        <v>4432.78444534713</v>
      </c>
      <c r="I89" s="42" t="n">
        <f aca="false">H89*('Plan-Annahmen'!$B$33+'Plan-Annahmen'!$B$34)</f>
        <v>132.983533360414</v>
      </c>
      <c r="J89" s="42" t="n">
        <f aca="false">E89*('Plan-Annahmen'!$B$47*'Plan-Annahmen'!$B$51+'Plan-Annahmen'!$B$52)+F89*('Plan-Annahmen'!$B$48*'Plan-Annahmen'!$B$51+'Plan-Annahmen'!$B$52)</f>
        <v>91.2771638826282</v>
      </c>
      <c r="K89" s="42" t="n">
        <f aca="false">G89*'Plan-Annahmen'!$B$50/100</f>
        <v>19.828317761937</v>
      </c>
      <c r="L89" s="42" t="n">
        <f aca="false">'Plan-Kunden'!D89*'Plan-Annahmen'!$B$48*'Plan-Annahmen'!$B$30</f>
        <v>0</v>
      </c>
      <c r="M89" s="42" t="n">
        <f aca="false">'Plan-Kosten'!AK$58</f>
        <v>633.014333333333</v>
      </c>
      <c r="N89" s="42" t="n">
        <f aca="false">'Plan-Kosten'!AK$55</f>
        <v>0</v>
      </c>
      <c r="O89" s="48" t="n">
        <f aca="false">I89+J89+K89+L89+M89+N89</f>
        <v>877.103348338313</v>
      </c>
      <c r="P89" s="30" t="n">
        <f aca="false">H89-O89</f>
        <v>3555.68109700882</v>
      </c>
      <c r="Q89" s="42" t="n">
        <f aca="false">MAX(0,P89*'Plan-Annahmen'!$B$69)</f>
        <v>1096.46100639686</v>
      </c>
      <c r="R89" s="48" t="n">
        <f aca="false">P89-Q89</f>
        <v>2459.22009061196</v>
      </c>
      <c r="S89" s="48" t="n">
        <f aca="false">S88+R89</f>
        <v>11200.3364378308</v>
      </c>
      <c r="T89" s="42" t="n">
        <f aca="false">T88+'Plan-Kosten'!AK$56</f>
        <v>2000</v>
      </c>
      <c r="U89" s="30" t="n">
        <f aca="false">S89-T89</f>
        <v>9200.33643783076</v>
      </c>
      <c r="V89" s="26" t="n">
        <f aca="false">IF(P89&gt;0,1,0)</f>
        <v>1</v>
      </c>
      <c r="W89" s="82" t="n">
        <f aca="false">'Plan-Kunden'!P89</f>
        <v>82.7605098369994</v>
      </c>
      <c r="X89" s="95" t="n">
        <f aca="false">'Plan-Kunden'!Q89</f>
        <v>1</v>
      </c>
      <c r="Y89" s="95" t="n">
        <f aca="false">IF(D89&gt;='Plan-Phase B'!$C$21,1,0)</f>
        <v>1</v>
      </c>
      <c r="Z89" s="95" t="n">
        <f aca="false">IF(D89&gt;='Plan-Phase B'!$D$21,1,0)</f>
        <v>1</v>
      </c>
      <c r="AA89" s="95" t="n">
        <f aca="false">IF(D89&gt;='Plan-Phase B'!$E$21,1,0)</f>
        <v>0</v>
      </c>
      <c r="AB89" s="26" t="n">
        <f aca="false">IF(AND(U89&gt;=0,A89&gt;$K$64),1,0)</f>
        <v>1</v>
      </c>
    </row>
    <row r="90" customFormat="false" ht="15" hidden="false" customHeight="false" outlineLevel="0" collapsed="false">
      <c r="A90" s="13" t="s">
        <v>687</v>
      </c>
      <c r="B90" s="14"/>
      <c r="C90" s="14"/>
      <c r="D90" s="14"/>
      <c r="E90" s="14"/>
      <c r="F90" s="14"/>
      <c r="G90" s="14"/>
      <c r="H90" s="16" t="n">
        <f aca="false">SUM(H66:H89)</f>
        <v>36994.2855912905</v>
      </c>
      <c r="I90" s="16" t="n">
        <f aca="false">SUM(I66:I89)</f>
        <v>1109.82856773871</v>
      </c>
      <c r="J90" s="16" t="n">
        <f aca="false">SUM(J66:J89)</f>
        <v>784.016826547288</v>
      </c>
      <c r="K90" s="16" t="n">
        <f aca="false">SUM(K66:K89)</f>
        <v>183.282034142345</v>
      </c>
      <c r="L90" s="16" t="n">
        <f aca="false">SUM(L66:L89)</f>
        <v>0</v>
      </c>
      <c r="M90" s="16" t="n">
        <f aca="false">SUM(M66:M89)</f>
        <v>13142.6006666667</v>
      </c>
      <c r="N90" s="16" t="n">
        <f aca="false">SUM(N66:N89)</f>
        <v>2967.5</v>
      </c>
      <c r="O90" s="16" t="n">
        <f aca="false">SUM(O66:O89)</f>
        <v>18187.228095095</v>
      </c>
      <c r="P90" s="16" t="n">
        <f aca="false">SUM(P66:P89)</f>
        <v>18807.0574961954</v>
      </c>
      <c r="Q90" s="16" t="n">
        <f aca="false">SUM(Q66:Q89)</f>
        <v>7606.72105836469</v>
      </c>
      <c r="R90" s="16" t="n">
        <f aca="false">SUM(R66:R89)</f>
        <v>11200.3364378308</v>
      </c>
      <c r="S90" s="14"/>
      <c r="T90" s="14"/>
      <c r="U90" s="14"/>
      <c r="V90" s="14"/>
      <c r="W90" s="14"/>
      <c r="X90" s="14"/>
      <c r="Y90" s="14"/>
      <c r="Z90" s="14"/>
      <c r="AA90" s="14"/>
      <c r="AB90" s="14"/>
    </row>
  </sheetData>
  <mergeCells count="1">
    <mergeCell ref="A2:AB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5" min="2" style="0" width="17"/>
    <col collapsed="false" customWidth="true" hidden="false" outlineLevel="0" max="9" min="6" style="0" width="15"/>
  </cols>
  <sheetData>
    <row r="1" customFormat="false" ht="17.35" hidden="false" customHeight="false" outlineLevel="0" collapsed="false">
      <c r="A1" s="34" t="s">
        <v>688</v>
      </c>
    </row>
    <row r="2" customFormat="false" ht="15" hidden="false" customHeight="true" outlineLevel="0" collapsed="false">
      <c r="A2" s="35" t="s">
        <v>689</v>
      </c>
      <c r="B2" s="35"/>
      <c r="C2" s="35"/>
      <c r="D2" s="35"/>
      <c r="E2" s="35"/>
      <c r="F2" s="35"/>
      <c r="G2" s="35"/>
      <c r="H2" s="35"/>
      <c r="I2" s="35"/>
    </row>
    <row r="3" customFormat="false" ht="15" hidden="false" customHeight="false" outlineLevel="0" collapsed="false">
      <c r="A3" s="35"/>
      <c r="B3" s="35"/>
      <c r="C3" s="35"/>
      <c r="D3" s="35"/>
      <c r="E3" s="35"/>
      <c r="F3" s="35"/>
      <c r="G3" s="35"/>
      <c r="H3" s="35"/>
      <c r="I3" s="35"/>
    </row>
    <row r="4" customFormat="false" ht="15" hidden="false" customHeight="false" outlineLevel="0" collapsed="false">
      <c r="A4" s="35"/>
      <c r="B4" s="35"/>
      <c r="C4" s="35"/>
      <c r="D4" s="35"/>
      <c r="E4" s="35"/>
      <c r="F4" s="35"/>
      <c r="G4" s="35"/>
      <c r="H4" s="35"/>
      <c r="I4" s="35"/>
    </row>
    <row r="6" customFormat="false" ht="15" hidden="false" customHeight="false" outlineLevel="0" collapsed="false">
      <c r="A6" s="36" t="s">
        <v>690</v>
      </c>
    </row>
    <row r="7" customFormat="false" ht="26.85" hidden="false" customHeight="false" outlineLevel="0" collapsed="false">
      <c r="A7" s="3"/>
      <c r="B7" s="3" t="s">
        <v>691</v>
      </c>
      <c r="C7" s="3" t="s">
        <v>692</v>
      </c>
      <c r="D7" s="3" t="s">
        <v>693</v>
      </c>
      <c r="E7" s="3" t="s">
        <v>694</v>
      </c>
    </row>
    <row r="8" customFormat="false" ht="15" hidden="false" customHeight="false" outlineLevel="0" collapsed="false">
      <c r="A8" s="26" t="s">
        <v>695</v>
      </c>
      <c r="B8" s="60" t="n">
        <v>40</v>
      </c>
      <c r="C8" s="61" t="n">
        <f aca="false">'Plan-Annahmen'!$B$76</f>
        <v>30</v>
      </c>
      <c r="D8" s="61" t="n">
        <f aca="false">'Plan-Annahmen'!$B$77</f>
        <v>25</v>
      </c>
      <c r="E8" s="60" t="n">
        <v>0</v>
      </c>
    </row>
    <row r="9" customFormat="false" ht="15" hidden="false" customHeight="false" outlineLevel="0" collapsed="false">
      <c r="A9" s="26" t="s">
        <v>696</v>
      </c>
      <c r="B9" s="94" t="n">
        <f aca="false">'Plan-Annahmen'!$B$64</f>
        <v>48000</v>
      </c>
      <c r="C9" s="94" t="n">
        <f aca="false">'Plan-Annahmen'!$B$64*C8/40</f>
        <v>36000</v>
      </c>
      <c r="D9" s="94" t="n">
        <f aca="false">'Plan-Annahmen'!$B$64*D8/40</f>
        <v>30000</v>
      </c>
      <c r="E9" s="76" t="n">
        <v>0</v>
      </c>
    </row>
    <row r="10" customFormat="false" ht="15" hidden="false" customHeight="false" outlineLevel="0" collapsed="false">
      <c r="A10" s="26" t="s">
        <v>697</v>
      </c>
      <c r="B10" s="94" t="n">
        <f aca="false">MAX(0,B9-'Plan-Annahmen'!$B$66-B9*'Plan-Annahmen'!$B$67-36)</f>
        <v>37134</v>
      </c>
      <c r="C10" s="94" t="n">
        <f aca="false">MAX(0,C9-'Plan-Annahmen'!$B$66-C9*'Plan-Annahmen'!$B$67-36)</f>
        <v>27534</v>
      </c>
      <c r="D10" s="94" t="n">
        <f aca="false">MAX(0,D9-'Plan-Annahmen'!$B$66-D9*'Plan-Annahmen'!$B$67-36)</f>
        <v>22734</v>
      </c>
      <c r="E10" s="76" t="n">
        <v>0</v>
      </c>
    </row>
    <row r="11" customFormat="false" ht="15" hidden="false" customHeight="false" outlineLevel="0" collapsed="false">
      <c r="A11" s="26" t="s">
        <v>698</v>
      </c>
      <c r="B11" s="76" t="n">
        <f aca="false">IF(INT(MAX(0,B10))&lt;=12348,0,IF(INT(MAX(0,B10))&lt;=17799,(914.51*((INT(MAX(0,B10))-12348)/10000)+1400)*((INT(MAX(0,B10))-12348)/10000),IF(INT(MAX(0,B10))&lt;=69878,(173.1*((INT(MAX(0,B10))-17799)/10000)+2397)*((INT(MAX(0,B10))-17799)/10000)+1034.87,IF(INT(MAX(0,B10))&lt;=277825,0.42*INT(MAX(0,B10))-11135.63,0.45*INT(MAX(0,B10))-19470.38))))</f>
        <v>6316.590391475</v>
      </c>
      <c r="C11" s="76" t="n">
        <f aca="false">IF(INT(MAX(0,C10))&lt;=12348,0,IF(INT(MAX(0,C10))&lt;=17799,(914.51*((INT(MAX(0,C10))-12348)/10000)+1400)*((INT(MAX(0,C10))-12348)/10000),IF(INT(MAX(0,C10))&lt;=69878,(173.1*((INT(MAX(0,C10))-17799)/10000)+2397)*((INT(MAX(0,C10))-17799)/10000)+1034.87,IF(INT(MAX(0,C10))&lt;=277825,0.42*INT(MAX(0,C10))-11135.63,0.45*INT(MAX(0,C10))-19470.38))))</f>
        <v>3532.396759475</v>
      </c>
      <c r="D11" s="76" t="n">
        <f aca="false">IF(INT(MAX(0,D10))&lt;=12348,0,IF(INT(MAX(0,D10))&lt;=17799,(914.51*((INT(MAX(0,D10))-12348)/10000)+1400)*((INT(MAX(0,D10))-12348)/10000),IF(INT(MAX(0,D10))&lt;=69878,(173.1*((INT(MAX(0,D10))-17799)/10000)+2397)*((INT(MAX(0,D10))-17799)/10000)+1034.87,IF(INT(MAX(0,D10))&lt;=277825,0.42*INT(MAX(0,D10))-11135.63,0.45*INT(MAX(0,D10))-19470.38))))</f>
        <v>2259.946663475</v>
      </c>
      <c r="E11" s="76" t="n">
        <v>0</v>
      </c>
    </row>
    <row r="12" customFormat="false" ht="15" hidden="false" customHeight="false" outlineLevel="0" collapsed="false">
      <c r="A12" s="26" t="s">
        <v>699</v>
      </c>
      <c r="B12" s="42" t="n">
        <f aca="false">(B9-B9*'Plan-Annahmen'!$B$65-B11)/12</f>
        <v>2653.61746737708</v>
      </c>
      <c r="C12" s="42" t="n">
        <f aca="false">(C9-C9*'Plan-Annahmen'!$B$65-C11)/12</f>
        <v>2090.63360337708</v>
      </c>
      <c r="D12" s="42" t="n">
        <f aca="false">(D9-D9*'Plan-Annahmen'!$B$65-D11)/12</f>
        <v>1799.17111137708</v>
      </c>
      <c r="E12" s="48" t="n">
        <v>0</v>
      </c>
    </row>
    <row r="13" customFormat="false" ht="15" hidden="false" customHeight="false" outlineLevel="0" collapsed="false">
      <c r="A13" s="32" t="s">
        <v>700</v>
      </c>
      <c r="B13" s="30" t="n">
        <f aca="false">MAX(0,'Plan-Annahmen'!$B$73-B12)</f>
        <v>0</v>
      </c>
      <c r="C13" s="30" t="n">
        <f aca="false">MAX(0,'Plan-Annahmen'!$B$73-C12)</f>
        <v>409.366396622916</v>
      </c>
      <c r="D13" s="30" t="n">
        <f aca="false">MAX(0,'Plan-Annahmen'!$B$73-D12)</f>
        <v>700.828888622917</v>
      </c>
      <c r="E13" s="30" t="n">
        <f aca="false">'Plan-Annahmen'!$B$73</f>
        <v>2500</v>
      </c>
    </row>
    <row r="14" customFormat="false" ht="15" hidden="false" customHeight="false" outlineLevel="0" collapsed="false">
      <c r="A14" s="26" t="s">
        <v>701</v>
      </c>
      <c r="B14" s="60" t="s">
        <v>702</v>
      </c>
      <c r="C14" s="60" t="s">
        <v>702</v>
      </c>
      <c r="D14" s="60" t="s">
        <v>702</v>
      </c>
      <c r="E14" s="60" t="s">
        <v>703</v>
      </c>
    </row>
    <row r="15" customFormat="false" ht="15" hidden="false" customHeight="false" outlineLevel="0" collapsed="false">
      <c r="A15" s="26" t="s">
        <v>704</v>
      </c>
      <c r="B15" s="75" t="n">
        <f aca="false">'Plan-Annahmen'!$B$69</f>
        <v>0.30836877</v>
      </c>
      <c r="C15" s="77" t="n">
        <f aca="false">(IF(INT(MAX(0,C10+1000))&lt;=12348,0,IF(INT(MAX(0,C10+1000))&lt;=17799,(914.51*((INT(MAX(0,C10+1000))-12348)/10000)+1400)*((INT(MAX(0,C10+1000))-12348)/10000),IF(INT(MAX(0,C10+1000))&lt;=69878,(173.1*((INT(MAX(0,C10+1000))-17799)/10000)+2397)*((INT(MAX(0,C10+1000))-17799)/10000)+1034.87,IF(INT(MAX(0,C10+1000))&lt;=277825,0.42*INT(MAX(0,C10+1000))-11135.63,0.45*INT(MAX(0,C10+1000))-19470.38))))-IF(INT(MAX(0,C10))&lt;=12348,0,IF(INT(MAX(0,C10))&lt;=17799,(914.51*((INT(MAX(0,C10))-12348)/10000)+1400)*((INT(MAX(0,C10))-12348)/10000),IF(INT(MAX(0,C10))&lt;=69878,(173.1*((INT(MAX(0,C10))-17799)/10000)+2397)*((INT(MAX(0,C10))-17799)/10000)+1034.87,IF(INT(MAX(0,C10))&lt;=277825,0.42*INT(MAX(0,C10))-11135.63,0.45*INT(MAX(0,C10))-19470.38)))))/1000</f>
        <v>0.27513357</v>
      </c>
      <c r="D15" s="77" t="n">
        <f aca="false">(IF(INT(MAX(0,D10+1000))&lt;=12348,0,IF(INT(MAX(0,D10+1000))&lt;=17799,(914.51*((INT(MAX(0,D10+1000))-12348)/10000)+1400)*((INT(MAX(0,D10+1000))-12348)/10000),IF(INT(MAX(0,D10+1000))&lt;=69878,(173.1*((INT(MAX(0,D10+1000))-17799)/10000)+2397)*((INT(MAX(0,D10+1000))-17799)/10000)+1034.87,IF(INT(MAX(0,D10+1000))&lt;=277825,0.42*INT(MAX(0,D10+1000))-11135.63,0.45*INT(MAX(0,D10+1000))-19470.38))))-IF(INT(MAX(0,D10))&lt;=12348,0,IF(INT(MAX(0,D10))&lt;=17799,(914.51*((INT(MAX(0,D10))-12348)/10000)+1400)*((INT(MAX(0,D10))-12348)/10000),IF(INT(MAX(0,D10))&lt;=69878,(173.1*((INT(MAX(0,D10))-17799)/10000)+2397)*((INT(MAX(0,D10))-17799)/10000)+1034.87,IF(INT(MAX(0,D10))&lt;=277825,0.42*INT(MAX(0,D10))-11135.63,0.45*INT(MAX(0,D10))-19470.38)))))/1000</f>
        <v>0.25851597</v>
      </c>
      <c r="E15" s="77" t="s">
        <v>124</v>
      </c>
    </row>
    <row r="16" customFormat="false" ht="15" hidden="false" customHeight="false" outlineLevel="0" collapsed="false">
      <c r="A16" s="32" t="s">
        <v>705</v>
      </c>
      <c r="B16" s="30" t="n">
        <v>0</v>
      </c>
      <c r="C16" s="30" t="n">
        <f aca="false">C13/(1-C15)</f>
        <v>564.747351622997</v>
      </c>
      <c r="D16" s="30" t="n">
        <f aca="false">D13/(1-D15)</f>
        <v>945.170577204363</v>
      </c>
      <c r="E16" s="30" t="n">
        <f aca="false">IFERROR(INDEX($A$47:$A$185,MATCH('Plan-Annahmen'!$B$73*12,$E$47:$E$185,1)+1)/12,"&gt; 150.000 €")</f>
        <v>3833.33333333333</v>
      </c>
    </row>
    <row r="17" customFormat="false" ht="15" hidden="false" customHeight="false" outlineLevel="0" collapsed="false">
      <c r="A17" s="26" t="s">
        <v>706</v>
      </c>
      <c r="B17" s="42" t="n">
        <f aca="false">'Plan-Kosten'!$AK$58</f>
        <v>633.014333333333</v>
      </c>
      <c r="C17" s="42" t="n">
        <f aca="false">'Plan-Kosten'!$AK$58</f>
        <v>633.014333333333</v>
      </c>
      <c r="D17" s="42" t="n">
        <f aca="false">'Plan-Kosten'!$AK$58</f>
        <v>633.014333333333</v>
      </c>
      <c r="E17" s="42" t="n">
        <f aca="false">'Plan-Kosten'!$AK$58</f>
        <v>633.014333333333</v>
      </c>
    </row>
    <row r="18" customFormat="false" ht="15" hidden="false" customHeight="false" outlineLevel="0" collapsed="false">
      <c r="A18" s="26" t="s">
        <v>707</v>
      </c>
      <c r="B18" s="61" t="n">
        <f aca="false">'Plan-Annahmen'!$B$47*(1-'Plan-Annahmen'!$B$33-'Plan-Annahmen'!$B$34)-'Plan-Annahmen'!$B$32*'Plan-Annahmen'!$B$50/100-('Plan-Annahmen'!$B$47*'Plan-Annahmen'!$B$51+'Plan-Annahmen'!$B$52)</f>
        <v>27.245</v>
      </c>
      <c r="C18" s="60" t="n">
        <f aca="false">$B$18</f>
        <v>27.245</v>
      </c>
      <c r="D18" s="60" t="n">
        <f aca="false">$B$18</f>
        <v>27.245</v>
      </c>
      <c r="E18" s="60" t="n">
        <f aca="false">$B$18</f>
        <v>27.245</v>
      </c>
    </row>
    <row r="19" customFormat="false" ht="15" hidden="false" customHeight="false" outlineLevel="0" collapsed="false">
      <c r="A19" s="26" t="s">
        <v>708</v>
      </c>
      <c r="B19" s="61" t="n">
        <f aca="false">'Plan-Annahmen'!$B$48*(1-'Plan-Annahmen'!$B$33-'Plan-Annahmen'!$B$34)-'Plan-Annahmen'!$B$32*'Plan-Annahmen'!$B$50/100-('Plan-Annahmen'!$B$48*'Plan-Annahmen'!$B$51+'Plan-Annahmen'!$B$52)</f>
        <v>46.345</v>
      </c>
      <c r="C19" s="60" t="n">
        <f aca="false">$B$19</f>
        <v>46.345</v>
      </c>
      <c r="D19" s="60" t="n">
        <f aca="false">$B$19</f>
        <v>46.345</v>
      </c>
      <c r="E19" s="60" t="n">
        <f aca="false">$B$19</f>
        <v>46.345</v>
      </c>
    </row>
    <row r="20" customFormat="false" ht="15" hidden="false" customHeight="false" outlineLevel="0" collapsed="false">
      <c r="A20" s="26" t="s">
        <v>709</v>
      </c>
      <c r="B20" s="48" t="n">
        <f aca="false">B16+B17</f>
        <v>633.014333333333</v>
      </c>
      <c r="C20" s="48" t="n">
        <f aca="false">C16+C17</f>
        <v>1197.76168495633</v>
      </c>
      <c r="D20" s="48" t="n">
        <f aca="false">D16+D17</f>
        <v>1578.1849105377</v>
      </c>
      <c r="E20" s="48" t="n">
        <f aca="false">E16+E17</f>
        <v>4466.34766666667</v>
      </c>
    </row>
    <row r="21" customFormat="false" ht="15" hidden="false" customHeight="false" outlineLevel="0" collapsed="false">
      <c r="A21" s="13" t="s">
        <v>710</v>
      </c>
      <c r="B21" s="71" t="n">
        <f aca="false">IF(B20&lt;='Plan-Annahmen'!$B$49*B18,ROUNDUP(B20/B18,0),'Plan-Annahmen'!$B$49+ROUNDUP((B20-'Plan-Annahmen'!$B$49*B18)/B19,0))</f>
        <v>24</v>
      </c>
      <c r="C21" s="71" t="n">
        <f aca="false">IF(C20&lt;='Plan-Annahmen'!$B$49*C18,ROUNDUP(C20/C18,0),'Plan-Annahmen'!$B$49+ROUNDUP((C20-'Plan-Annahmen'!$B$49*C18)/C19,0))</f>
        <v>37</v>
      </c>
      <c r="D21" s="71" t="n">
        <f aca="false">IF(D20&lt;='Plan-Annahmen'!$B$49*D18,ROUNDUP(D20/D18,0),'Plan-Annahmen'!$B$49+ROUNDUP((D20-'Plan-Annahmen'!$B$49*D18)/D19,0))</f>
        <v>45</v>
      </c>
      <c r="E21" s="71" t="n">
        <f aca="false">IF(E20&lt;='Plan-Annahmen'!$B$49*E18,ROUNDUP(E20/E18,0),'Plan-Annahmen'!$B$49+ROUNDUP((E20-'Plan-Annahmen'!$B$49*E18)/E19,0))</f>
        <v>107</v>
      </c>
    </row>
    <row r="22" customFormat="false" ht="15" hidden="false" customHeight="false" outlineLevel="0" collapsed="false">
      <c r="A22" s="13" t="s">
        <v>711</v>
      </c>
      <c r="B22" s="16" t="n">
        <f aca="false">MIN(B21,'Plan-Annahmen'!$B$49)*'Plan-Annahmen'!$B$47+MAX(B21-'Plan-Annahmen'!$B$49,0)*'Plan-Annahmen'!$B$48</f>
        <v>696</v>
      </c>
      <c r="C22" s="16" t="n">
        <f aca="false">MIN(C21,'Plan-Annahmen'!$B$49)*'Plan-Annahmen'!$B$47+MAX(C21-'Plan-Annahmen'!$B$49,0)*'Plan-Annahmen'!$B$48</f>
        <v>1313</v>
      </c>
      <c r="D22" s="16" t="n">
        <f aca="false">MIN(D21,'Plan-Annahmen'!$B$49)*'Plan-Annahmen'!$B$47+MAX(D21-'Plan-Annahmen'!$B$49,0)*'Plan-Annahmen'!$B$48</f>
        <v>1705</v>
      </c>
      <c r="E22" s="16" t="n">
        <f aca="false">MIN(E21,'Plan-Annahmen'!$B$49)*'Plan-Annahmen'!$B$47+MAX(E21-'Plan-Annahmen'!$B$49,0)*'Plan-Annahmen'!$B$48</f>
        <v>4743</v>
      </c>
    </row>
    <row r="23" customFormat="false" ht="15" hidden="false" customHeight="false" outlineLevel="0" collapsed="false">
      <c r="A23" s="26" t="s">
        <v>712</v>
      </c>
      <c r="B23" s="79" t="n">
        <v>0</v>
      </c>
      <c r="C23" s="82" t="n">
        <f aca="false">'Plan-Annahmen'!$B$78</f>
        <v>43</v>
      </c>
      <c r="D23" s="82" t="n">
        <f aca="false">'Plan-Annahmen'!$B$79</f>
        <v>65</v>
      </c>
      <c r="E23" s="79" t="n">
        <v>160</v>
      </c>
    </row>
    <row r="24" customFormat="false" ht="15" hidden="false" customHeight="false" outlineLevel="0" collapsed="false">
      <c r="A24" s="26" t="s">
        <v>713</v>
      </c>
      <c r="B24" s="82" t="n">
        <f aca="false">'Plan-Annahmen'!$B$39</f>
        <v>65</v>
      </c>
      <c r="C24" s="82" t="n">
        <f aca="false">'Plan-Annahmen'!$B$39+C23</f>
        <v>108</v>
      </c>
      <c r="D24" s="82" t="n">
        <f aca="false">'Plan-Annahmen'!$B$39+D23</f>
        <v>130</v>
      </c>
      <c r="E24" s="79" t="n">
        <f aca="false">160</f>
        <v>160</v>
      </c>
    </row>
    <row r="26" customFormat="false" ht="26.85" hidden="false" customHeight="true" outlineLevel="0" collapsed="false">
      <c r="A26" s="35" t="s">
        <v>714</v>
      </c>
      <c r="B26" s="35"/>
      <c r="C26" s="35"/>
      <c r="D26" s="35"/>
      <c r="E26" s="35"/>
      <c r="F26" s="35"/>
      <c r="G26" s="35"/>
      <c r="H26" s="35"/>
      <c r="I26" s="35"/>
    </row>
    <row r="28" customFormat="false" ht="52.2" hidden="false" customHeight="true" outlineLevel="0" collapsed="false">
      <c r="A28" s="35" t="s">
        <v>715</v>
      </c>
      <c r="B28" s="35"/>
      <c r="C28" s="35"/>
      <c r="D28" s="35"/>
      <c r="E28" s="35"/>
      <c r="F28" s="35"/>
      <c r="G28" s="35"/>
      <c r="H28" s="35"/>
      <c r="I28" s="35"/>
    </row>
    <row r="30" customFormat="false" ht="15" hidden="false" customHeight="true" outlineLevel="0" collapsed="false">
      <c r="A30" s="35" t="s">
        <v>716</v>
      </c>
      <c r="B30" s="35"/>
      <c r="C30" s="35"/>
      <c r="D30" s="35"/>
      <c r="E30" s="35"/>
      <c r="F30" s="35"/>
      <c r="G30" s="35"/>
      <c r="H30" s="35"/>
      <c r="I30" s="35"/>
    </row>
    <row r="45" customFormat="false" ht="15" hidden="false" customHeight="false" outlineLevel="0" collapsed="false">
      <c r="A45" s="36" t="s">
        <v>717</v>
      </c>
    </row>
    <row r="46" customFormat="false" ht="39.55" hidden="false" customHeight="false" outlineLevel="0" collapsed="false">
      <c r="A46" s="3" t="s">
        <v>718</v>
      </c>
      <c r="B46" s="3" t="s">
        <v>719</v>
      </c>
      <c r="C46" s="3" t="s">
        <v>720</v>
      </c>
      <c r="D46" s="3" t="s">
        <v>721</v>
      </c>
      <c r="E46" s="3" t="s">
        <v>722</v>
      </c>
      <c r="F46" s="3" t="s">
        <v>723</v>
      </c>
      <c r="G46" s="3" t="s">
        <v>724</v>
      </c>
      <c r="H46" s="3" t="s">
        <v>725</v>
      </c>
    </row>
    <row r="47" customFormat="false" ht="15" hidden="false" customHeight="false" outlineLevel="0" collapsed="false">
      <c r="A47" s="96" t="n">
        <v>12000</v>
      </c>
      <c r="B47" s="94" t="n">
        <f aca="false">MIN(MAX(A47/12,'Plan-Annahmen'!$B$87),'Plan-Annahmen'!$B$88)*12*('Plan-Annahmen'!$B$84+'Plan-Annahmen'!$B$85+'Plan-Annahmen'!$B$86)</f>
        <v>3432.93132</v>
      </c>
      <c r="C47" s="94" t="n">
        <f aca="false">MAX(0,A47-B47-'Plan-Annahmen'!$B$89)</f>
        <v>8531.06868</v>
      </c>
      <c r="D47" s="76" t="n">
        <f aca="false">IF(INT(MAX(0,C47))&lt;=12348,0,IF(INT(MAX(0,C47))&lt;=17799,(914.51*((INT(MAX(0,C47))-12348)/10000)+1400)*((INT(MAX(0,C47))-12348)/10000),IF(INT(MAX(0,C47))&lt;=69878,(173.1*((INT(MAX(0,C47))-17799)/10000)+2397)*((INT(MAX(0,C47))-17799)/10000)+1034.87,IF(INT(MAX(0,C47))&lt;=277825,0.42*INT(MAX(0,C47))-11135.63,0.45*INT(MAX(0,C47))-19470.38))))</f>
        <v>0</v>
      </c>
      <c r="E47" s="76" t="n">
        <f aca="false">A47-B47-D47</f>
        <v>8567.06868</v>
      </c>
      <c r="F47" s="94" t="n">
        <f aca="false">MAX(0,A47-B47-'Plan-Annahmen'!$B$75*12-'Plan-Annahmen'!$B$89)</f>
        <v>4931.06868</v>
      </c>
      <c r="G47" s="76" t="n">
        <f aca="false">IF(INT(MAX(0,F47))&lt;=12348,0,IF(INT(MAX(0,F47))&lt;=17799,(914.51*((INT(MAX(0,F47))-12348)/10000)+1400)*((INT(MAX(0,F47))-12348)/10000),IF(INT(MAX(0,F47))&lt;=69878,(173.1*((INT(MAX(0,F47))-17799)/10000)+2397)*((INT(MAX(0,F47))-17799)/10000)+1034.87,IF(INT(MAX(0,F47))&lt;=277825,0.42*INT(MAX(0,F47))-11135.63,0.45*INT(MAX(0,F47))-19470.38))))</f>
        <v>0</v>
      </c>
      <c r="H47" s="76" t="n">
        <f aca="false">A47-B47-G47-'Plan-Annahmen'!$B$75*12</f>
        <v>4967.06868</v>
      </c>
    </row>
    <row r="48" customFormat="false" ht="15" hidden="false" customHeight="false" outlineLevel="0" collapsed="false">
      <c r="A48" s="96" t="n">
        <v>13000</v>
      </c>
      <c r="B48" s="94" t="n">
        <f aca="false">MIN(MAX(A48/12,'Plan-Annahmen'!$B$87),'Plan-Annahmen'!$B$88)*12*('Plan-Annahmen'!$B$84+'Plan-Annahmen'!$B$85+'Plan-Annahmen'!$B$86)</f>
        <v>3432.93132</v>
      </c>
      <c r="C48" s="94" t="n">
        <f aca="false">MAX(0,A48-B48-'Plan-Annahmen'!$B$89)</f>
        <v>9531.06868</v>
      </c>
      <c r="D48" s="76" t="n">
        <f aca="false">IF(INT(MAX(0,C48))&lt;=12348,0,IF(INT(MAX(0,C48))&lt;=17799,(914.51*((INT(MAX(0,C48))-12348)/10000)+1400)*((INT(MAX(0,C48))-12348)/10000),IF(INT(MAX(0,C48))&lt;=69878,(173.1*((INT(MAX(0,C48))-17799)/10000)+2397)*((INT(MAX(0,C48))-17799)/10000)+1034.87,IF(INT(MAX(0,C48))&lt;=277825,0.42*INT(MAX(0,C48))-11135.63,0.45*INT(MAX(0,C48))-19470.38))))</f>
        <v>0</v>
      </c>
      <c r="E48" s="76" t="n">
        <f aca="false">A48-B48-D48</f>
        <v>9567.06868</v>
      </c>
      <c r="F48" s="94" t="n">
        <f aca="false">MAX(0,A48-B48-'Plan-Annahmen'!$B$75*12-'Plan-Annahmen'!$B$89)</f>
        <v>5931.06868</v>
      </c>
      <c r="G48" s="76" t="n">
        <f aca="false">IF(INT(MAX(0,F48))&lt;=12348,0,IF(INT(MAX(0,F48))&lt;=17799,(914.51*((INT(MAX(0,F48))-12348)/10000)+1400)*((INT(MAX(0,F48))-12348)/10000),IF(INT(MAX(0,F48))&lt;=69878,(173.1*((INT(MAX(0,F48))-17799)/10000)+2397)*((INT(MAX(0,F48))-17799)/10000)+1034.87,IF(INT(MAX(0,F48))&lt;=277825,0.42*INT(MAX(0,F48))-11135.63,0.45*INT(MAX(0,F48))-19470.38))))</f>
        <v>0</v>
      </c>
      <c r="H48" s="76" t="n">
        <f aca="false">A48-B48-G48-'Plan-Annahmen'!$B$75*12</f>
        <v>5967.06868</v>
      </c>
    </row>
    <row r="49" customFormat="false" ht="15" hidden="false" customHeight="false" outlineLevel="0" collapsed="false">
      <c r="A49" s="96" t="n">
        <v>14000</v>
      </c>
      <c r="B49" s="94" t="n">
        <f aca="false">MIN(MAX(A49/12,'Plan-Annahmen'!$B$87),'Plan-Annahmen'!$B$88)*12*('Plan-Annahmen'!$B$84+'Plan-Annahmen'!$B$85+'Plan-Annahmen'!$B$86)</f>
        <v>3432.93132</v>
      </c>
      <c r="C49" s="94" t="n">
        <f aca="false">MAX(0,A49-B49-'Plan-Annahmen'!$B$89)</f>
        <v>10531.06868</v>
      </c>
      <c r="D49" s="76" t="n">
        <f aca="false">IF(INT(MAX(0,C49))&lt;=12348,0,IF(INT(MAX(0,C49))&lt;=17799,(914.51*((INT(MAX(0,C49))-12348)/10000)+1400)*((INT(MAX(0,C49))-12348)/10000),IF(INT(MAX(0,C49))&lt;=69878,(173.1*((INT(MAX(0,C49))-17799)/10000)+2397)*((INT(MAX(0,C49))-17799)/10000)+1034.87,IF(INT(MAX(0,C49))&lt;=277825,0.42*INT(MAX(0,C49))-11135.63,0.45*INT(MAX(0,C49))-19470.38))))</f>
        <v>0</v>
      </c>
      <c r="E49" s="76" t="n">
        <f aca="false">A49-B49-D49</f>
        <v>10567.06868</v>
      </c>
      <c r="F49" s="94" t="n">
        <f aca="false">MAX(0,A49-B49-'Plan-Annahmen'!$B$75*12-'Plan-Annahmen'!$B$89)</f>
        <v>6931.06868</v>
      </c>
      <c r="G49" s="76" t="n">
        <f aca="false">IF(INT(MAX(0,F49))&lt;=12348,0,IF(INT(MAX(0,F49))&lt;=17799,(914.51*((INT(MAX(0,F49))-12348)/10000)+1400)*((INT(MAX(0,F49))-12348)/10000),IF(INT(MAX(0,F49))&lt;=69878,(173.1*((INT(MAX(0,F49))-17799)/10000)+2397)*((INT(MAX(0,F49))-17799)/10000)+1034.87,IF(INT(MAX(0,F49))&lt;=277825,0.42*INT(MAX(0,F49))-11135.63,0.45*INT(MAX(0,F49))-19470.38))))</f>
        <v>0</v>
      </c>
      <c r="H49" s="76" t="n">
        <f aca="false">A49-B49-G49-'Plan-Annahmen'!$B$75*12</f>
        <v>6967.06868</v>
      </c>
    </row>
    <row r="50" customFormat="false" ht="15" hidden="false" customHeight="false" outlineLevel="0" collapsed="false">
      <c r="A50" s="96" t="n">
        <v>15000</v>
      </c>
      <c r="B50" s="94" t="n">
        <f aca="false">MIN(MAX(A50/12,'Plan-Annahmen'!$B$87),'Plan-Annahmen'!$B$88)*12*('Plan-Annahmen'!$B$84+'Plan-Annahmen'!$B$85+'Plan-Annahmen'!$B$86)</f>
        <v>3432.93132</v>
      </c>
      <c r="C50" s="94" t="n">
        <f aca="false">MAX(0,A50-B50-'Plan-Annahmen'!$B$89)</f>
        <v>11531.06868</v>
      </c>
      <c r="D50" s="76" t="n">
        <f aca="false">IF(INT(MAX(0,C50))&lt;=12348,0,IF(INT(MAX(0,C50))&lt;=17799,(914.51*((INT(MAX(0,C50))-12348)/10000)+1400)*((INT(MAX(0,C50))-12348)/10000),IF(INT(MAX(0,C50))&lt;=69878,(173.1*((INT(MAX(0,C50))-17799)/10000)+2397)*((INT(MAX(0,C50))-17799)/10000)+1034.87,IF(INT(MAX(0,C50))&lt;=277825,0.42*INT(MAX(0,C50))-11135.63,0.45*INT(MAX(0,C50))-19470.38))))</f>
        <v>0</v>
      </c>
      <c r="E50" s="76" t="n">
        <f aca="false">A50-B50-D50</f>
        <v>11567.06868</v>
      </c>
      <c r="F50" s="94" t="n">
        <f aca="false">MAX(0,A50-B50-'Plan-Annahmen'!$B$75*12-'Plan-Annahmen'!$B$89)</f>
        <v>7931.06868</v>
      </c>
      <c r="G50" s="76" t="n">
        <f aca="false">IF(INT(MAX(0,F50))&lt;=12348,0,IF(INT(MAX(0,F50))&lt;=17799,(914.51*((INT(MAX(0,F50))-12348)/10000)+1400)*((INT(MAX(0,F50))-12348)/10000),IF(INT(MAX(0,F50))&lt;=69878,(173.1*((INT(MAX(0,F50))-17799)/10000)+2397)*((INT(MAX(0,F50))-17799)/10000)+1034.87,IF(INT(MAX(0,F50))&lt;=277825,0.42*INT(MAX(0,F50))-11135.63,0.45*INT(MAX(0,F50))-19470.38))))</f>
        <v>0</v>
      </c>
      <c r="H50" s="76" t="n">
        <f aca="false">A50-B50-G50-'Plan-Annahmen'!$B$75*12</f>
        <v>7967.06868</v>
      </c>
    </row>
    <row r="51" customFormat="false" ht="15" hidden="false" customHeight="false" outlineLevel="0" collapsed="false">
      <c r="A51" s="96" t="n">
        <v>16000</v>
      </c>
      <c r="B51" s="94" t="n">
        <f aca="false">MIN(MAX(A51/12,'Plan-Annahmen'!$B$87),'Plan-Annahmen'!$B$88)*12*('Plan-Annahmen'!$B$84+'Plan-Annahmen'!$B$85+'Plan-Annahmen'!$B$86)</f>
        <v>3472</v>
      </c>
      <c r="C51" s="94" t="n">
        <f aca="false">MAX(0,A51-B51-'Plan-Annahmen'!$B$89)</f>
        <v>12492</v>
      </c>
      <c r="D51" s="76" t="n">
        <f aca="false">IF(INT(MAX(0,C51))&lt;=12348,0,IF(INT(MAX(0,C51))&lt;=17799,(914.51*((INT(MAX(0,C51))-12348)/10000)+1400)*((INT(MAX(0,C51))-12348)/10000),IF(INT(MAX(0,C51))&lt;=69878,(173.1*((INT(MAX(0,C51))-17799)/10000)+2397)*((INT(MAX(0,C51))-17799)/10000)+1034.87,IF(INT(MAX(0,C51))&lt;=277825,0.42*INT(MAX(0,C51))-11135.63,0.45*INT(MAX(0,C51))-19470.38))))</f>
        <v>20.3496327936</v>
      </c>
      <c r="E51" s="76" t="n">
        <f aca="false">A51-B51-D51</f>
        <v>12507.6503672064</v>
      </c>
      <c r="F51" s="94" t="n">
        <f aca="false">MAX(0,A51-B51-'Plan-Annahmen'!$B$75*12-'Plan-Annahmen'!$B$89)</f>
        <v>8892</v>
      </c>
      <c r="G51" s="76" t="n">
        <f aca="false">IF(INT(MAX(0,F51))&lt;=12348,0,IF(INT(MAX(0,F51))&lt;=17799,(914.51*((INT(MAX(0,F51))-12348)/10000)+1400)*((INT(MAX(0,F51))-12348)/10000),IF(INT(MAX(0,F51))&lt;=69878,(173.1*((INT(MAX(0,F51))-17799)/10000)+2397)*((INT(MAX(0,F51))-17799)/10000)+1034.87,IF(INT(MAX(0,F51))&lt;=277825,0.42*INT(MAX(0,F51))-11135.63,0.45*INT(MAX(0,F51))-19470.38))))</f>
        <v>0</v>
      </c>
      <c r="H51" s="76" t="n">
        <f aca="false">A51-B51-G51-'Plan-Annahmen'!$B$75*12</f>
        <v>8928</v>
      </c>
    </row>
    <row r="52" customFormat="false" ht="15" hidden="false" customHeight="false" outlineLevel="0" collapsed="false">
      <c r="A52" s="96" t="n">
        <v>17000</v>
      </c>
      <c r="B52" s="94" t="n">
        <f aca="false">MIN(MAX(A52/12,'Plan-Annahmen'!$B$87),'Plan-Annahmen'!$B$88)*12*('Plan-Annahmen'!$B$84+'Plan-Annahmen'!$B$85+'Plan-Annahmen'!$B$86)</f>
        <v>3689</v>
      </c>
      <c r="C52" s="94" t="n">
        <f aca="false">MAX(0,A52-B52-'Plan-Annahmen'!$B$89)</f>
        <v>13275</v>
      </c>
      <c r="D52" s="76" t="n">
        <f aca="false">IF(INT(MAX(0,C52))&lt;=12348,0,IF(INT(MAX(0,C52))&lt;=17799,(914.51*((INT(MAX(0,C52))-12348)/10000)+1400)*((INT(MAX(0,C52))-12348)/10000),IF(INT(MAX(0,C52))&lt;=69878,(173.1*((INT(MAX(0,C52))-17799)/10000)+2397)*((INT(MAX(0,C52))-17799)/10000)+1034.87,IF(INT(MAX(0,C52))&lt;=277825,0.42*INT(MAX(0,C52))-11135.63,0.45*INT(MAX(0,C52))-19470.38))))</f>
        <v>137.6386496379</v>
      </c>
      <c r="E52" s="76" t="n">
        <f aca="false">A52-B52-D52</f>
        <v>13173.3613503621</v>
      </c>
      <c r="F52" s="94" t="n">
        <f aca="false">MAX(0,A52-B52-'Plan-Annahmen'!$B$75*12-'Plan-Annahmen'!$B$89)</f>
        <v>9675</v>
      </c>
      <c r="G52" s="76" t="n">
        <f aca="false">IF(INT(MAX(0,F52))&lt;=12348,0,IF(INT(MAX(0,F52))&lt;=17799,(914.51*((INT(MAX(0,F52))-12348)/10000)+1400)*((INT(MAX(0,F52))-12348)/10000),IF(INT(MAX(0,F52))&lt;=69878,(173.1*((INT(MAX(0,F52))-17799)/10000)+2397)*((INT(MAX(0,F52))-17799)/10000)+1034.87,IF(INT(MAX(0,F52))&lt;=277825,0.42*INT(MAX(0,F52))-11135.63,0.45*INT(MAX(0,F52))-19470.38))))</f>
        <v>0</v>
      </c>
      <c r="H52" s="76" t="n">
        <f aca="false">A52-B52-G52-'Plan-Annahmen'!$B$75*12</f>
        <v>9711</v>
      </c>
    </row>
    <row r="53" customFormat="false" ht="15" hidden="false" customHeight="false" outlineLevel="0" collapsed="false">
      <c r="A53" s="96" t="n">
        <v>18000</v>
      </c>
      <c r="B53" s="94" t="n">
        <f aca="false">MIN(MAX(A53/12,'Plan-Annahmen'!$B$87),'Plan-Annahmen'!$B$88)*12*('Plan-Annahmen'!$B$84+'Plan-Annahmen'!$B$85+'Plan-Annahmen'!$B$86)</f>
        <v>3906</v>
      </c>
      <c r="C53" s="94" t="n">
        <f aca="false">MAX(0,A53-B53-'Plan-Annahmen'!$B$89)</f>
        <v>14058</v>
      </c>
      <c r="D53" s="76" t="n">
        <f aca="false">IF(INT(MAX(0,C53))&lt;=12348,0,IF(INT(MAX(0,C53))&lt;=17799,(914.51*((INT(MAX(0,C53))-12348)/10000)+1400)*((INT(MAX(0,C53))-12348)/10000),IF(INT(MAX(0,C53))&lt;=69878,(173.1*((INT(MAX(0,C53))-17799)/10000)+2397)*((INT(MAX(0,C53))-17799)/10000)+1034.87,IF(INT(MAX(0,C53))&lt;=277825,0.42*INT(MAX(0,C53))-11135.63,0.45*INT(MAX(0,C53))-19470.38))))</f>
        <v>266.14118691</v>
      </c>
      <c r="E53" s="76" t="n">
        <f aca="false">A53-B53-D53</f>
        <v>13827.85881309</v>
      </c>
      <c r="F53" s="94" t="n">
        <f aca="false">MAX(0,A53-B53-'Plan-Annahmen'!$B$75*12-'Plan-Annahmen'!$B$89)</f>
        <v>10458</v>
      </c>
      <c r="G53" s="76" t="n">
        <f aca="false">IF(INT(MAX(0,F53))&lt;=12348,0,IF(INT(MAX(0,F53))&lt;=17799,(914.51*((INT(MAX(0,F53))-12348)/10000)+1400)*((INT(MAX(0,F53))-12348)/10000),IF(INT(MAX(0,F53))&lt;=69878,(173.1*((INT(MAX(0,F53))-17799)/10000)+2397)*((INT(MAX(0,F53))-17799)/10000)+1034.87,IF(INT(MAX(0,F53))&lt;=277825,0.42*INT(MAX(0,F53))-11135.63,0.45*INT(MAX(0,F53))-19470.38))))</f>
        <v>0</v>
      </c>
      <c r="H53" s="76" t="n">
        <f aca="false">A53-B53-G53-'Plan-Annahmen'!$B$75*12</f>
        <v>10494</v>
      </c>
    </row>
    <row r="54" customFormat="false" ht="15" hidden="false" customHeight="false" outlineLevel="0" collapsed="false">
      <c r="A54" s="96" t="n">
        <v>19000</v>
      </c>
      <c r="B54" s="94" t="n">
        <f aca="false">MIN(MAX(A54/12,'Plan-Annahmen'!$B$87),'Plan-Annahmen'!$B$88)*12*('Plan-Annahmen'!$B$84+'Plan-Annahmen'!$B$85+'Plan-Annahmen'!$B$86)</f>
        <v>4123</v>
      </c>
      <c r="C54" s="94" t="n">
        <f aca="false">MAX(0,A54-B54-'Plan-Annahmen'!$B$89)</f>
        <v>14841</v>
      </c>
      <c r="D54" s="76" t="n">
        <f aca="false">IF(INT(MAX(0,C54))&lt;=12348,0,IF(INT(MAX(0,C54))&lt;=17799,(914.51*((INT(MAX(0,C54))-12348)/10000)+1400)*((INT(MAX(0,C54))-12348)/10000),IF(INT(MAX(0,C54))&lt;=69878,(173.1*((INT(MAX(0,C54))-17799)/10000)+2397)*((INT(MAX(0,C54))-17799)/10000)+1034.87,IF(INT(MAX(0,C54))&lt;=277825,0.42*INT(MAX(0,C54))-11135.63,0.45*INT(MAX(0,C54))-19470.38))))</f>
        <v>405.8572446099</v>
      </c>
      <c r="E54" s="76" t="n">
        <f aca="false">A54-B54-D54</f>
        <v>14471.1427553901</v>
      </c>
      <c r="F54" s="94" t="n">
        <f aca="false">MAX(0,A54-B54-'Plan-Annahmen'!$B$75*12-'Plan-Annahmen'!$B$89)</f>
        <v>11241</v>
      </c>
      <c r="G54" s="76" t="n">
        <f aca="false">IF(INT(MAX(0,F54))&lt;=12348,0,IF(INT(MAX(0,F54))&lt;=17799,(914.51*((INT(MAX(0,F54))-12348)/10000)+1400)*((INT(MAX(0,F54))-12348)/10000),IF(INT(MAX(0,F54))&lt;=69878,(173.1*((INT(MAX(0,F54))-17799)/10000)+2397)*((INT(MAX(0,F54))-17799)/10000)+1034.87,IF(INT(MAX(0,F54))&lt;=277825,0.42*INT(MAX(0,F54))-11135.63,0.45*INT(MAX(0,F54))-19470.38))))</f>
        <v>0</v>
      </c>
      <c r="H54" s="76" t="n">
        <f aca="false">A54-B54-G54-'Plan-Annahmen'!$B$75*12</f>
        <v>11277</v>
      </c>
    </row>
    <row r="55" customFormat="false" ht="15" hidden="false" customHeight="false" outlineLevel="0" collapsed="false">
      <c r="A55" s="96" t="n">
        <v>20000</v>
      </c>
      <c r="B55" s="94" t="n">
        <f aca="false">MIN(MAX(A55/12,'Plan-Annahmen'!$B$87),'Plan-Annahmen'!$B$88)*12*('Plan-Annahmen'!$B$84+'Plan-Annahmen'!$B$85+'Plan-Annahmen'!$B$86)</f>
        <v>4340</v>
      </c>
      <c r="C55" s="94" t="n">
        <f aca="false">MAX(0,A55-B55-'Plan-Annahmen'!$B$89)</f>
        <v>15624</v>
      </c>
      <c r="D55" s="76" t="n">
        <f aca="false">IF(INT(MAX(0,C55))&lt;=12348,0,IF(INT(MAX(0,C55))&lt;=17799,(914.51*((INT(MAX(0,C55))-12348)/10000)+1400)*((INT(MAX(0,C55))-12348)/10000),IF(INT(MAX(0,C55))&lt;=69878,(173.1*((INT(MAX(0,C55))-17799)/10000)+2397)*((INT(MAX(0,C55))-17799)/10000)+1034.87,IF(INT(MAX(0,C55))&lt;=277825,0.42*INT(MAX(0,C55))-11135.63,0.45*INT(MAX(0,C55))-19470.38))))</f>
        <v>556.7868227376</v>
      </c>
      <c r="E55" s="76" t="n">
        <f aca="false">A55-B55-D55</f>
        <v>15103.2131772624</v>
      </c>
      <c r="F55" s="94" t="n">
        <f aca="false">MAX(0,A55-B55-'Plan-Annahmen'!$B$75*12-'Plan-Annahmen'!$B$89)</f>
        <v>12024</v>
      </c>
      <c r="G55" s="76" t="n">
        <f aca="false">IF(INT(MAX(0,F55))&lt;=12348,0,IF(INT(MAX(0,F55))&lt;=17799,(914.51*((INT(MAX(0,F55))-12348)/10000)+1400)*((INT(MAX(0,F55))-12348)/10000),IF(INT(MAX(0,F55))&lt;=69878,(173.1*((INT(MAX(0,F55))-17799)/10000)+2397)*((INT(MAX(0,F55))-17799)/10000)+1034.87,IF(INT(MAX(0,F55))&lt;=277825,0.42*INT(MAX(0,F55))-11135.63,0.45*INT(MAX(0,F55))-19470.38))))</f>
        <v>0</v>
      </c>
      <c r="H55" s="76" t="n">
        <f aca="false">A55-B55-G55-'Plan-Annahmen'!$B$75*12</f>
        <v>12060</v>
      </c>
    </row>
    <row r="56" customFormat="false" ht="15" hidden="false" customHeight="false" outlineLevel="0" collapsed="false">
      <c r="A56" s="96" t="n">
        <v>21000</v>
      </c>
      <c r="B56" s="94" t="n">
        <f aca="false">MIN(MAX(A56/12,'Plan-Annahmen'!$B$87),'Plan-Annahmen'!$B$88)*12*('Plan-Annahmen'!$B$84+'Plan-Annahmen'!$B$85+'Plan-Annahmen'!$B$86)</f>
        <v>4557</v>
      </c>
      <c r="C56" s="94" t="n">
        <f aca="false">MAX(0,A56-B56-'Plan-Annahmen'!$B$89)</f>
        <v>16407</v>
      </c>
      <c r="D56" s="76" t="n">
        <f aca="false">IF(INT(MAX(0,C56))&lt;=12348,0,IF(INT(MAX(0,C56))&lt;=17799,(914.51*((INT(MAX(0,C56))-12348)/10000)+1400)*((INT(MAX(0,C56))-12348)/10000),IF(INT(MAX(0,C56))&lt;=69878,(173.1*((INT(MAX(0,C56))-17799)/10000)+2397)*((INT(MAX(0,C56))-17799)/10000)+1034.87,IF(INT(MAX(0,C56))&lt;=277825,0.42*INT(MAX(0,C56))-11135.63,0.45*INT(MAX(0,C56))-19470.38))))</f>
        <v>718.9299212931</v>
      </c>
      <c r="E56" s="76" t="n">
        <f aca="false">A56-B56-D56</f>
        <v>15724.0700787069</v>
      </c>
      <c r="F56" s="94" t="n">
        <f aca="false">MAX(0,A56-B56-'Plan-Annahmen'!$B$75*12-'Plan-Annahmen'!$B$89)</f>
        <v>12807</v>
      </c>
      <c r="G56" s="76" t="n">
        <f aca="false">IF(INT(MAX(0,F56))&lt;=12348,0,IF(INT(MAX(0,F56))&lt;=17799,(914.51*((INT(MAX(0,F56))-12348)/10000)+1400)*((INT(MAX(0,F56))-12348)/10000),IF(INT(MAX(0,F56))&lt;=69878,(173.1*((INT(MAX(0,F56))-17799)/10000)+2397)*((INT(MAX(0,F56))-17799)/10000)+1034.87,IF(INT(MAX(0,F56))&lt;=277825,0.42*INT(MAX(0,F56))-11135.63,0.45*INT(MAX(0,F56))-19470.38))))</f>
        <v>66.1866988131</v>
      </c>
      <c r="H56" s="76" t="n">
        <f aca="false">A56-B56-G56-'Plan-Annahmen'!$B$75*12</f>
        <v>12776.8133011869</v>
      </c>
    </row>
    <row r="57" customFormat="false" ht="15" hidden="false" customHeight="false" outlineLevel="0" collapsed="false">
      <c r="A57" s="96" t="n">
        <v>22000</v>
      </c>
      <c r="B57" s="94" t="n">
        <f aca="false">MIN(MAX(A57/12,'Plan-Annahmen'!$B$87),'Plan-Annahmen'!$B$88)*12*('Plan-Annahmen'!$B$84+'Plan-Annahmen'!$B$85+'Plan-Annahmen'!$B$86)</f>
        <v>4774</v>
      </c>
      <c r="C57" s="94" t="n">
        <f aca="false">MAX(0,A57-B57-'Plan-Annahmen'!$B$89)</f>
        <v>17190</v>
      </c>
      <c r="D57" s="76" t="n">
        <f aca="false">IF(INT(MAX(0,C57))&lt;=12348,0,IF(INT(MAX(0,C57))&lt;=17799,(914.51*((INT(MAX(0,C57))-12348)/10000)+1400)*((INT(MAX(0,C57))-12348)/10000),IF(INT(MAX(0,C57))&lt;=69878,(173.1*((INT(MAX(0,C57))-17799)/10000)+2397)*((INT(MAX(0,C57))-17799)/10000)+1034.87,IF(INT(MAX(0,C57))&lt;=277825,0.42*INT(MAX(0,C57))-11135.63,0.45*INT(MAX(0,C57))-19470.38))))</f>
        <v>892.2865402764</v>
      </c>
      <c r="E57" s="76" t="n">
        <f aca="false">A57-B57-D57</f>
        <v>16333.7134597236</v>
      </c>
      <c r="F57" s="94" t="n">
        <f aca="false">MAX(0,A57-B57-'Plan-Annahmen'!$B$75*12-'Plan-Annahmen'!$B$89)</f>
        <v>13590</v>
      </c>
      <c r="G57" s="76" t="n">
        <f aca="false">IF(INT(MAX(0,F57))&lt;=12348,0,IF(INT(MAX(0,F57))&lt;=17799,(914.51*((INT(MAX(0,F57))-12348)/10000)+1400)*((INT(MAX(0,F57))-12348)/10000),IF(INT(MAX(0,F57))&lt;=69878,(173.1*((INT(MAX(0,F57))-17799)/10000)+2397)*((INT(MAX(0,F57))-17799)/10000)+1034.87,IF(INT(MAX(0,F57))&lt;=277825,0.42*INT(MAX(0,F57))-11135.63,0.45*INT(MAX(0,F57))-19470.38))))</f>
        <v>187.9869020364</v>
      </c>
      <c r="H57" s="76" t="n">
        <f aca="false">A57-B57-G57-'Plan-Annahmen'!$B$75*12</f>
        <v>13438.0130979636</v>
      </c>
    </row>
    <row r="58" customFormat="false" ht="15" hidden="false" customHeight="false" outlineLevel="0" collapsed="false">
      <c r="A58" s="96" t="n">
        <v>23000</v>
      </c>
      <c r="B58" s="94" t="n">
        <f aca="false">MIN(MAX(A58/12,'Plan-Annahmen'!$B$87),'Plan-Annahmen'!$B$88)*12*('Plan-Annahmen'!$B$84+'Plan-Annahmen'!$B$85+'Plan-Annahmen'!$B$86)</f>
        <v>4991</v>
      </c>
      <c r="C58" s="94" t="n">
        <f aca="false">MAX(0,A58-B58-'Plan-Annahmen'!$B$89)</f>
        <v>17973</v>
      </c>
      <c r="D58" s="76" t="n">
        <f aca="false">IF(INT(MAX(0,C58))&lt;=12348,0,IF(INT(MAX(0,C58))&lt;=17799,(914.51*((INT(MAX(0,C58))-12348)/10000)+1400)*((INT(MAX(0,C58))-12348)/10000),IF(INT(MAX(0,C58))&lt;=69878,(173.1*((INT(MAX(0,C58))-17799)/10000)+2397)*((INT(MAX(0,C58))-17799)/10000)+1034.87,IF(INT(MAX(0,C58))&lt;=277825,0.42*INT(MAX(0,C58))-11135.63,0.45*INT(MAX(0,C58))-19470.38))))</f>
        <v>1076.630207756</v>
      </c>
      <c r="E58" s="76" t="n">
        <f aca="false">A58-B58-D58</f>
        <v>16932.369792244</v>
      </c>
      <c r="F58" s="94" t="n">
        <f aca="false">MAX(0,A58-B58-'Plan-Annahmen'!$B$75*12-'Plan-Annahmen'!$B$89)</f>
        <v>14373</v>
      </c>
      <c r="G58" s="76" t="n">
        <f aca="false">IF(INT(MAX(0,F58))&lt;=12348,0,IF(INT(MAX(0,F58))&lt;=17799,(914.51*((INT(MAX(0,F58))-12348)/10000)+1400)*((INT(MAX(0,F58))-12348)/10000),IF(INT(MAX(0,F58))&lt;=69878,(173.1*((INT(MAX(0,F58))-17799)/10000)+2397)*((INT(MAX(0,F58))-17799)/10000)+1034.87,IF(INT(MAX(0,F58))&lt;=277825,0.42*INT(MAX(0,F58))-11135.63,0.45*INT(MAX(0,F58))-19470.38))))</f>
        <v>321.0006256875</v>
      </c>
      <c r="H58" s="76" t="n">
        <f aca="false">A58-B58-G58-'Plan-Annahmen'!$B$75*12</f>
        <v>14087.9993743125</v>
      </c>
    </row>
    <row r="59" customFormat="false" ht="15" hidden="false" customHeight="false" outlineLevel="0" collapsed="false">
      <c r="A59" s="96" t="n">
        <v>24000</v>
      </c>
      <c r="B59" s="94" t="n">
        <f aca="false">MIN(MAX(A59/12,'Plan-Annahmen'!$B$87),'Plan-Annahmen'!$B$88)*12*('Plan-Annahmen'!$B$84+'Plan-Annahmen'!$B$85+'Plan-Annahmen'!$B$86)</f>
        <v>5208</v>
      </c>
      <c r="C59" s="94" t="n">
        <f aca="false">MAX(0,A59-B59-'Plan-Annahmen'!$B$89)</f>
        <v>18756</v>
      </c>
      <c r="D59" s="76" t="n">
        <f aca="false">IF(INT(MAX(0,C59))&lt;=12348,0,IF(INT(MAX(0,C59))&lt;=17799,(914.51*((INT(MAX(0,C59))-12348)/10000)+1400)*((INT(MAX(0,C59))-12348)/10000),IF(INT(MAX(0,C59))&lt;=69878,(173.1*((INT(MAX(0,C59))-17799)/10000)+2397)*((INT(MAX(0,C59))-17799)/10000)+1034.87,IF(INT(MAX(0,C59))&lt;=277825,0.42*INT(MAX(0,C59))-11135.63,0.45*INT(MAX(0,C59))-19470.38))))</f>
        <v>1265.848234619</v>
      </c>
      <c r="E59" s="76" t="n">
        <f aca="false">A59-B59-D59</f>
        <v>17526.151765381</v>
      </c>
      <c r="F59" s="94" t="n">
        <f aca="false">MAX(0,A59-B59-'Plan-Annahmen'!$B$75*12-'Plan-Annahmen'!$B$89)</f>
        <v>15156</v>
      </c>
      <c r="G59" s="76" t="n">
        <f aca="false">IF(INT(MAX(0,F59))&lt;=12348,0,IF(INT(MAX(0,F59))&lt;=17799,(914.51*((INT(MAX(0,F59))-12348)/10000)+1400)*((INT(MAX(0,F59))-12348)/10000),IF(INT(MAX(0,F59))&lt;=69878,(173.1*((INT(MAX(0,F59))-17799)/10000)+2397)*((INT(MAX(0,F59))-17799)/10000)+1034.87,IF(INT(MAX(0,F59))&lt;=277825,0.42*INT(MAX(0,F59))-11135.63,0.45*INT(MAX(0,F59))-19470.38))))</f>
        <v>465.2278697664</v>
      </c>
      <c r="H59" s="76" t="n">
        <f aca="false">A59-B59-G59-'Plan-Annahmen'!$B$75*12</f>
        <v>14726.7721302336</v>
      </c>
    </row>
    <row r="60" customFormat="false" ht="15" hidden="false" customHeight="false" outlineLevel="0" collapsed="false">
      <c r="A60" s="96" t="n">
        <v>25000</v>
      </c>
      <c r="B60" s="94" t="n">
        <f aca="false">MIN(MAX(A60/12,'Plan-Annahmen'!$B$87),'Plan-Annahmen'!$B$88)*12*('Plan-Annahmen'!$B$84+'Plan-Annahmen'!$B$85+'Plan-Annahmen'!$B$86)</f>
        <v>5425</v>
      </c>
      <c r="C60" s="94" t="n">
        <f aca="false">MAX(0,A60-B60-'Plan-Annahmen'!$B$89)</f>
        <v>19539</v>
      </c>
      <c r="D60" s="76" t="n">
        <f aca="false">IF(INT(MAX(0,C60))&lt;=12348,0,IF(INT(MAX(0,C60))&lt;=17799,(914.51*((INT(MAX(0,C60))-12348)/10000)+1400)*((INT(MAX(0,C60))-12348)/10000),IF(INT(MAX(0,C60))&lt;=69878,(173.1*((INT(MAX(0,C60))-17799)/10000)+2397)*((INT(MAX(0,C60))-17799)/10000)+1034.87,IF(INT(MAX(0,C60))&lt;=277825,0.42*INT(MAX(0,C60))-11135.63,0.45*INT(MAX(0,C60))-19470.38))))</f>
        <v>1457.1887756</v>
      </c>
      <c r="E60" s="76" t="n">
        <f aca="false">A60-B60-D60</f>
        <v>18117.8112244</v>
      </c>
      <c r="F60" s="94" t="n">
        <f aca="false">MAX(0,A60-B60-'Plan-Annahmen'!$B$75*12-'Plan-Annahmen'!$B$89)</f>
        <v>15939</v>
      </c>
      <c r="G60" s="76" t="n">
        <f aca="false">IF(INT(MAX(0,F60))&lt;=12348,0,IF(INT(MAX(0,F60))&lt;=17799,(914.51*((INT(MAX(0,F60))-12348)/10000)+1400)*((INT(MAX(0,F60))-12348)/10000),IF(INT(MAX(0,F60))&lt;=69878,(173.1*((INT(MAX(0,F60))-17799)/10000)+2397)*((INT(MAX(0,F60))-17799)/10000)+1034.87,IF(INT(MAX(0,F60))&lt;=277825,0.42*INT(MAX(0,F60))-11135.63,0.45*INT(MAX(0,F60))-19470.38))))</f>
        <v>620.6686342731</v>
      </c>
      <c r="H60" s="76" t="n">
        <f aca="false">A60-B60-G60-'Plan-Annahmen'!$B$75*12</f>
        <v>15354.3313657269</v>
      </c>
    </row>
    <row r="61" customFormat="false" ht="15" hidden="false" customHeight="false" outlineLevel="0" collapsed="false">
      <c r="A61" s="96" t="n">
        <v>26000</v>
      </c>
      <c r="B61" s="94" t="n">
        <f aca="false">MIN(MAX(A61/12,'Plan-Annahmen'!$B$87),'Plan-Annahmen'!$B$88)*12*('Plan-Annahmen'!$B$84+'Plan-Annahmen'!$B$85+'Plan-Annahmen'!$B$86)</f>
        <v>5642</v>
      </c>
      <c r="C61" s="94" t="n">
        <f aca="false">MAX(0,A61-B61-'Plan-Annahmen'!$B$89)</f>
        <v>20322</v>
      </c>
      <c r="D61" s="76" t="n">
        <f aca="false">IF(INT(MAX(0,C61))&lt;=12348,0,IF(INT(MAX(0,C61))&lt;=17799,(914.51*((INT(MAX(0,C61))-12348)/10000)+1400)*((INT(MAX(0,C61))-12348)/10000),IF(INT(MAX(0,C61))&lt;=69878,(173.1*((INT(MAX(0,C61))-17799)/10000)+2397)*((INT(MAX(0,C61))-17799)/10000)+1034.87,IF(INT(MAX(0,C61))&lt;=277825,0.42*INT(MAX(0,C61))-11135.63,0.45*INT(MAX(0,C61))-19470.38))))</f>
        <v>1650.651830699</v>
      </c>
      <c r="E61" s="76" t="n">
        <f aca="false">A61-B61-D61</f>
        <v>18707.348169301</v>
      </c>
      <c r="F61" s="94" t="n">
        <f aca="false">MAX(0,A61-B61-'Plan-Annahmen'!$B$75*12-'Plan-Annahmen'!$B$89)</f>
        <v>16722</v>
      </c>
      <c r="G61" s="76" t="n">
        <f aca="false">IF(INT(MAX(0,F61))&lt;=12348,0,IF(INT(MAX(0,F61))&lt;=17799,(914.51*((INT(MAX(0,F61))-12348)/10000)+1400)*((INT(MAX(0,F61))-12348)/10000),IF(INT(MAX(0,F61))&lt;=69878,(173.1*((INT(MAX(0,F61))-17799)/10000)+2397)*((INT(MAX(0,F61))-17799)/10000)+1034.87,IF(INT(MAX(0,F61))&lt;=277825,0.42*INT(MAX(0,F61))-11135.63,0.45*INT(MAX(0,F61))-19470.38))))</f>
        <v>787.3229192076</v>
      </c>
      <c r="H61" s="76" t="n">
        <f aca="false">A61-B61-G61-'Plan-Annahmen'!$B$75*12</f>
        <v>15970.6770807924</v>
      </c>
    </row>
    <row r="62" customFormat="false" ht="15" hidden="false" customHeight="false" outlineLevel="0" collapsed="false">
      <c r="A62" s="96" t="n">
        <v>27000</v>
      </c>
      <c r="B62" s="94" t="n">
        <f aca="false">MIN(MAX(A62/12,'Plan-Annahmen'!$B$87),'Plan-Annahmen'!$B$88)*12*('Plan-Annahmen'!$B$84+'Plan-Annahmen'!$B$85+'Plan-Annahmen'!$B$86)</f>
        <v>5859</v>
      </c>
      <c r="C62" s="94" t="n">
        <f aca="false">MAX(0,A62-B62-'Plan-Annahmen'!$B$89)</f>
        <v>21105</v>
      </c>
      <c r="D62" s="76" t="n">
        <f aca="false">IF(INT(MAX(0,C62))&lt;=12348,0,IF(INT(MAX(0,C62))&lt;=17799,(914.51*((INT(MAX(0,C62))-12348)/10000)+1400)*((INT(MAX(0,C62))-12348)/10000),IF(INT(MAX(0,C62))&lt;=69878,(173.1*((INT(MAX(0,C62))-17799)/10000)+2397)*((INT(MAX(0,C62))-17799)/10000)+1034.87,IF(INT(MAX(0,C62))&lt;=277825,0.42*INT(MAX(0,C62))-11135.63,0.45*INT(MAX(0,C62))-19470.38))))</f>
        <v>1846.237399916</v>
      </c>
      <c r="E62" s="76" t="n">
        <f aca="false">A62-B62-D62</f>
        <v>19294.762600084</v>
      </c>
      <c r="F62" s="94" t="n">
        <f aca="false">MAX(0,A62-B62-'Plan-Annahmen'!$B$75*12-'Plan-Annahmen'!$B$89)</f>
        <v>17505</v>
      </c>
      <c r="G62" s="76" t="n">
        <f aca="false">IF(INT(MAX(0,F62))&lt;=12348,0,IF(INT(MAX(0,F62))&lt;=17799,(914.51*((INT(MAX(0,F62))-12348)/10000)+1400)*((INT(MAX(0,F62))-12348)/10000),IF(INT(MAX(0,F62))&lt;=69878,(173.1*((INT(MAX(0,F62))-17799)/10000)+2397)*((INT(MAX(0,F62))-17799)/10000)+1034.87,IF(INT(MAX(0,F62))&lt;=277825,0.42*INT(MAX(0,F62))-11135.63,0.45*INT(MAX(0,F62))-19470.38))))</f>
        <v>965.1907245699</v>
      </c>
      <c r="H62" s="76" t="n">
        <f aca="false">A62-B62-G62-'Plan-Annahmen'!$B$75*12</f>
        <v>16575.8092754301</v>
      </c>
    </row>
    <row r="63" customFormat="false" ht="15" hidden="false" customHeight="false" outlineLevel="0" collapsed="false">
      <c r="A63" s="96" t="n">
        <v>28000</v>
      </c>
      <c r="B63" s="94" t="n">
        <f aca="false">MIN(MAX(A63/12,'Plan-Annahmen'!$B$87),'Plan-Annahmen'!$B$88)*12*('Plan-Annahmen'!$B$84+'Plan-Annahmen'!$B$85+'Plan-Annahmen'!$B$86)</f>
        <v>6076</v>
      </c>
      <c r="C63" s="94" t="n">
        <f aca="false">MAX(0,A63-B63-'Plan-Annahmen'!$B$89)</f>
        <v>21888</v>
      </c>
      <c r="D63" s="76" t="n">
        <f aca="false">IF(INT(MAX(0,C63))&lt;=12348,0,IF(INT(MAX(0,C63))&lt;=17799,(914.51*((INT(MAX(0,C63))-12348)/10000)+1400)*((INT(MAX(0,C63))-12348)/10000),IF(INT(MAX(0,C63))&lt;=69878,(173.1*((INT(MAX(0,C63))-17799)/10000)+2397)*((INT(MAX(0,C63))-17799)/10000)+1034.87,IF(INT(MAX(0,C63))&lt;=277825,0.42*INT(MAX(0,C63))-11135.63,0.45*INT(MAX(0,C63))-19470.38))))</f>
        <v>2043.945483251</v>
      </c>
      <c r="E63" s="76" t="n">
        <f aca="false">A63-B63-D63</f>
        <v>19880.054516749</v>
      </c>
      <c r="F63" s="94" t="n">
        <f aca="false">MAX(0,A63-B63-'Plan-Annahmen'!$B$75*12-'Plan-Annahmen'!$B$89)</f>
        <v>18288</v>
      </c>
      <c r="G63" s="76" t="n">
        <f aca="false">IF(INT(MAX(0,F63))&lt;=12348,0,IF(INT(MAX(0,F63))&lt;=17799,(914.51*((INT(MAX(0,F63))-12348)/10000)+1400)*((INT(MAX(0,F63))-12348)/10000),IF(INT(MAX(0,F63))&lt;=69878,(173.1*((INT(MAX(0,F63))-17799)/10000)+2397)*((INT(MAX(0,F63))-17799)/10000)+1034.87,IF(INT(MAX(0,F63))&lt;=277825,0.42*INT(MAX(0,F63))-11135.63,0.45*INT(MAX(0,F63))-19470.38))))</f>
        <v>1152.497218451</v>
      </c>
      <c r="H63" s="76" t="n">
        <f aca="false">A63-B63-G63-'Plan-Annahmen'!$B$75*12</f>
        <v>17171.502781549</v>
      </c>
    </row>
    <row r="64" customFormat="false" ht="15" hidden="false" customHeight="false" outlineLevel="0" collapsed="false">
      <c r="A64" s="96" t="n">
        <v>29000</v>
      </c>
      <c r="B64" s="94" t="n">
        <f aca="false">MIN(MAX(A64/12,'Plan-Annahmen'!$B$87),'Plan-Annahmen'!$B$88)*12*('Plan-Annahmen'!$B$84+'Plan-Annahmen'!$B$85+'Plan-Annahmen'!$B$86)</f>
        <v>6293</v>
      </c>
      <c r="C64" s="94" t="n">
        <f aca="false">MAX(0,A64-B64-'Plan-Annahmen'!$B$89)</f>
        <v>22671</v>
      </c>
      <c r="D64" s="76" t="n">
        <f aca="false">IF(INT(MAX(0,C64))&lt;=12348,0,IF(INT(MAX(0,C64))&lt;=17799,(914.51*((INT(MAX(0,C64))-12348)/10000)+1400)*((INT(MAX(0,C64))-12348)/10000),IF(INT(MAX(0,C64))&lt;=69878,(173.1*((INT(MAX(0,C64))-17799)/10000)+2397)*((INT(MAX(0,C64))-17799)/10000)+1034.87,IF(INT(MAX(0,C64))&lt;=277825,0.42*INT(MAX(0,C64))-11135.63,0.45*INT(MAX(0,C64))-19470.38))))</f>
        <v>2243.776080704</v>
      </c>
      <c r="E64" s="76" t="n">
        <f aca="false">A64-B64-D64</f>
        <v>20463.223919296</v>
      </c>
      <c r="F64" s="94" t="n">
        <f aca="false">MAX(0,A64-B64-'Plan-Annahmen'!$B$75*12-'Plan-Annahmen'!$B$89)</f>
        <v>19071</v>
      </c>
      <c r="G64" s="76" t="n">
        <f aca="false">IF(INT(MAX(0,F64))&lt;=12348,0,IF(INT(MAX(0,F64))&lt;=17799,(914.51*((INT(MAX(0,F64))-12348)/10000)+1400)*((INT(MAX(0,F64))-12348)/10000),IF(INT(MAX(0,F64))&lt;=69878,(173.1*((INT(MAX(0,F64))-17799)/10000)+2397)*((INT(MAX(0,F64))-17799)/10000)+1034.87,IF(INT(MAX(0,F64))&lt;=277825,0.42*INT(MAX(0,F64))-11135.63,0.45*INT(MAX(0,F64))-19470.38))))</f>
        <v>1342.569130304</v>
      </c>
      <c r="H64" s="76" t="n">
        <f aca="false">A64-B64-G64-'Plan-Annahmen'!$B$75*12</f>
        <v>17764.430869696</v>
      </c>
    </row>
    <row r="65" customFormat="false" ht="15" hidden="false" customHeight="false" outlineLevel="0" collapsed="false">
      <c r="A65" s="96" t="n">
        <v>30000</v>
      </c>
      <c r="B65" s="94" t="n">
        <f aca="false">MIN(MAX(A65/12,'Plan-Annahmen'!$B$87),'Plan-Annahmen'!$B$88)*12*('Plan-Annahmen'!$B$84+'Plan-Annahmen'!$B$85+'Plan-Annahmen'!$B$86)</f>
        <v>6510</v>
      </c>
      <c r="C65" s="94" t="n">
        <f aca="false">MAX(0,A65-B65-'Plan-Annahmen'!$B$89)</f>
        <v>23454</v>
      </c>
      <c r="D65" s="76" t="n">
        <f aca="false">IF(INT(MAX(0,C65))&lt;=12348,0,IF(INT(MAX(0,C65))&lt;=17799,(914.51*((INT(MAX(0,C65))-12348)/10000)+1400)*((INT(MAX(0,C65))-12348)/10000),IF(INT(MAX(0,C65))&lt;=69878,(173.1*((INT(MAX(0,C65))-17799)/10000)+2397)*((INT(MAX(0,C65))-17799)/10000)+1034.87,IF(INT(MAX(0,C65))&lt;=277825,0.42*INT(MAX(0,C65))-11135.63,0.45*INT(MAX(0,C65))-19470.38))))</f>
        <v>2445.729192275</v>
      </c>
      <c r="E65" s="76" t="n">
        <f aca="false">A65-B65-D65</f>
        <v>21044.270807725</v>
      </c>
      <c r="F65" s="94" t="n">
        <f aca="false">MAX(0,A65-B65-'Plan-Annahmen'!$B$75*12-'Plan-Annahmen'!$B$89)</f>
        <v>19854</v>
      </c>
      <c r="G65" s="76" t="n">
        <f aca="false">IF(INT(MAX(0,F65))&lt;=12348,0,IF(INT(MAX(0,F65))&lt;=17799,(914.51*((INT(MAX(0,F65))-12348)/10000)+1400)*((INT(MAX(0,F65))-12348)/10000),IF(INT(MAX(0,F65))&lt;=69878,(173.1*((INT(MAX(0,F65))-17799)/10000)+2397)*((INT(MAX(0,F65))-17799)/10000)+1034.87,IF(INT(MAX(0,F65))&lt;=277825,0.42*INT(MAX(0,F65))-11135.63,0.45*INT(MAX(0,F65))-19470.38))))</f>
        <v>1534.763556275</v>
      </c>
      <c r="H65" s="76" t="n">
        <f aca="false">A65-B65-G65-'Plan-Annahmen'!$B$75*12</f>
        <v>18355.236443725</v>
      </c>
    </row>
    <row r="66" customFormat="false" ht="15" hidden="false" customHeight="false" outlineLevel="0" collapsed="false">
      <c r="A66" s="96" t="n">
        <v>31000</v>
      </c>
      <c r="B66" s="94" t="n">
        <f aca="false">MIN(MAX(A66/12,'Plan-Annahmen'!$B$87),'Plan-Annahmen'!$B$88)*12*('Plan-Annahmen'!$B$84+'Plan-Annahmen'!$B$85+'Plan-Annahmen'!$B$86)</f>
        <v>6727</v>
      </c>
      <c r="C66" s="94" t="n">
        <f aca="false">MAX(0,A66-B66-'Plan-Annahmen'!$B$89)</f>
        <v>24237</v>
      </c>
      <c r="D66" s="76" t="n">
        <f aca="false">IF(INT(MAX(0,C66))&lt;=12348,0,IF(INT(MAX(0,C66))&lt;=17799,(914.51*((INT(MAX(0,C66))-12348)/10000)+1400)*((INT(MAX(0,C66))-12348)/10000),IF(INT(MAX(0,C66))&lt;=69878,(173.1*((INT(MAX(0,C66))-17799)/10000)+2397)*((INT(MAX(0,C66))-17799)/10000)+1034.87,IF(INT(MAX(0,C66))&lt;=277825,0.42*INT(MAX(0,C66))-11135.63,0.45*INT(MAX(0,C66))-19470.38))))</f>
        <v>2649.804817964</v>
      </c>
      <c r="E66" s="76" t="n">
        <f aca="false">A66-B66-D66</f>
        <v>21623.195182036</v>
      </c>
      <c r="F66" s="94" t="n">
        <f aca="false">MAX(0,A66-B66-'Plan-Annahmen'!$B$75*12-'Plan-Annahmen'!$B$89)</f>
        <v>20637</v>
      </c>
      <c r="G66" s="76" t="n">
        <f aca="false">IF(INT(MAX(0,F66))&lt;=12348,0,IF(INT(MAX(0,F66))&lt;=17799,(914.51*((INT(MAX(0,F66))-12348)/10000)+1400)*((INT(MAX(0,F66))-12348)/10000),IF(INT(MAX(0,F66))&lt;=69878,(173.1*((INT(MAX(0,F66))-17799)/10000)+2397)*((INT(MAX(0,F66))-17799)/10000)+1034.87,IF(INT(MAX(0,F66))&lt;=277825,0.42*INT(MAX(0,F66))-11135.63,0.45*INT(MAX(0,F66))-19470.38))))</f>
        <v>1729.080496364</v>
      </c>
      <c r="H66" s="76" t="n">
        <f aca="false">A66-B66-G66-'Plan-Annahmen'!$B$75*12</f>
        <v>18943.919503636</v>
      </c>
    </row>
    <row r="67" customFormat="false" ht="15" hidden="false" customHeight="false" outlineLevel="0" collapsed="false">
      <c r="A67" s="96" t="n">
        <v>32000</v>
      </c>
      <c r="B67" s="94" t="n">
        <f aca="false">MIN(MAX(A67/12,'Plan-Annahmen'!$B$87),'Plan-Annahmen'!$B$88)*12*('Plan-Annahmen'!$B$84+'Plan-Annahmen'!$B$85+'Plan-Annahmen'!$B$86)</f>
        <v>6944</v>
      </c>
      <c r="C67" s="94" t="n">
        <f aca="false">MAX(0,A67-B67-'Plan-Annahmen'!$B$89)</f>
        <v>25020</v>
      </c>
      <c r="D67" s="76" t="n">
        <f aca="false">IF(INT(MAX(0,C67))&lt;=12348,0,IF(INT(MAX(0,C67))&lt;=17799,(914.51*((INT(MAX(0,C67))-12348)/10000)+1400)*((INT(MAX(0,C67))-12348)/10000),IF(INT(MAX(0,C67))&lt;=69878,(173.1*((INT(MAX(0,C67))-17799)/10000)+2397)*((INT(MAX(0,C67))-17799)/10000)+1034.87,IF(INT(MAX(0,C67))&lt;=277825,0.42*INT(MAX(0,C67))-11135.63,0.45*INT(MAX(0,C67))-19470.38))))</f>
        <v>2856.002957771</v>
      </c>
      <c r="E67" s="76" t="n">
        <f aca="false">A67-B67-D67</f>
        <v>22199.997042229</v>
      </c>
      <c r="F67" s="94" t="n">
        <f aca="false">MAX(0,A67-B67-'Plan-Annahmen'!$B$75*12-'Plan-Annahmen'!$B$89)</f>
        <v>21420</v>
      </c>
      <c r="G67" s="76" t="n">
        <f aca="false">IF(INT(MAX(0,F67))&lt;=12348,0,IF(INT(MAX(0,F67))&lt;=17799,(914.51*((INT(MAX(0,F67))-12348)/10000)+1400)*((INT(MAX(0,F67))-12348)/10000),IF(INT(MAX(0,F67))&lt;=69878,(173.1*((INT(MAX(0,F67))-17799)/10000)+2397)*((INT(MAX(0,F67))-17799)/10000)+1034.87,IF(INT(MAX(0,F67))&lt;=277825,0.42*INT(MAX(0,F67))-11135.63,0.45*INT(MAX(0,F67))-19470.38))))</f>
        <v>1925.519950571</v>
      </c>
      <c r="H67" s="76" t="n">
        <f aca="false">A67-B67-G67-'Plan-Annahmen'!$B$75*12</f>
        <v>19530.480049429</v>
      </c>
    </row>
    <row r="68" customFormat="false" ht="15" hidden="false" customHeight="false" outlineLevel="0" collapsed="false">
      <c r="A68" s="96" t="n">
        <v>33000</v>
      </c>
      <c r="B68" s="94" t="n">
        <f aca="false">MIN(MAX(A68/12,'Plan-Annahmen'!$B$87),'Plan-Annahmen'!$B$88)*12*('Plan-Annahmen'!$B$84+'Plan-Annahmen'!$B$85+'Plan-Annahmen'!$B$86)</f>
        <v>7161</v>
      </c>
      <c r="C68" s="94" t="n">
        <f aca="false">MAX(0,A68-B68-'Plan-Annahmen'!$B$89)</f>
        <v>25803</v>
      </c>
      <c r="D68" s="76" t="n">
        <f aca="false">IF(INT(MAX(0,C68))&lt;=12348,0,IF(INT(MAX(0,C68))&lt;=17799,(914.51*((INT(MAX(0,C68))-12348)/10000)+1400)*((INT(MAX(0,C68))-12348)/10000),IF(INT(MAX(0,C68))&lt;=69878,(173.1*((INT(MAX(0,C68))-17799)/10000)+2397)*((INT(MAX(0,C68))-17799)/10000)+1034.87,IF(INT(MAX(0,C68))&lt;=277825,0.42*INT(MAX(0,C68))-11135.63,0.45*INT(MAX(0,C68))-19470.38))))</f>
        <v>3064.323611696</v>
      </c>
      <c r="E68" s="76" t="n">
        <f aca="false">A68-B68-D68</f>
        <v>22774.676388304</v>
      </c>
      <c r="F68" s="94" t="n">
        <f aca="false">MAX(0,A68-B68-'Plan-Annahmen'!$B$75*12-'Plan-Annahmen'!$B$89)</f>
        <v>22203</v>
      </c>
      <c r="G68" s="76" t="n">
        <f aca="false">IF(INT(MAX(0,F68))&lt;=12348,0,IF(INT(MAX(0,F68))&lt;=17799,(914.51*((INT(MAX(0,F68))-12348)/10000)+1400)*((INT(MAX(0,F68))-12348)/10000),IF(INT(MAX(0,F68))&lt;=69878,(173.1*((INT(MAX(0,F68))-17799)/10000)+2397)*((INT(MAX(0,F68))-17799)/10000)+1034.87,IF(INT(MAX(0,F68))&lt;=277825,0.42*INT(MAX(0,F68))-11135.63,0.45*INT(MAX(0,F68))-19470.38))))</f>
        <v>2124.081918896</v>
      </c>
      <c r="H68" s="76" t="n">
        <f aca="false">A68-B68-G68-'Plan-Annahmen'!$B$75*12</f>
        <v>20114.918081104</v>
      </c>
    </row>
    <row r="69" customFormat="false" ht="15" hidden="false" customHeight="false" outlineLevel="0" collapsed="false">
      <c r="A69" s="96" t="n">
        <v>34000</v>
      </c>
      <c r="B69" s="94" t="n">
        <f aca="false">MIN(MAX(A69/12,'Plan-Annahmen'!$B$87),'Plan-Annahmen'!$B$88)*12*('Plan-Annahmen'!$B$84+'Plan-Annahmen'!$B$85+'Plan-Annahmen'!$B$86)</f>
        <v>7378</v>
      </c>
      <c r="C69" s="94" t="n">
        <f aca="false">MAX(0,A69-B69-'Plan-Annahmen'!$B$89)</f>
        <v>26586</v>
      </c>
      <c r="D69" s="76" t="n">
        <f aca="false">IF(INT(MAX(0,C69))&lt;=12348,0,IF(INT(MAX(0,C69))&lt;=17799,(914.51*((INT(MAX(0,C69))-12348)/10000)+1400)*((INT(MAX(0,C69))-12348)/10000),IF(INT(MAX(0,C69))&lt;=69878,(173.1*((INT(MAX(0,C69))-17799)/10000)+2397)*((INT(MAX(0,C69))-17799)/10000)+1034.87,IF(INT(MAX(0,C69))&lt;=277825,0.42*INT(MAX(0,C69))-11135.63,0.45*INT(MAX(0,C69))-19470.38))))</f>
        <v>3274.766779739</v>
      </c>
      <c r="E69" s="76" t="n">
        <f aca="false">A69-B69-D69</f>
        <v>23347.233220261</v>
      </c>
      <c r="F69" s="94" t="n">
        <f aca="false">MAX(0,A69-B69-'Plan-Annahmen'!$B$75*12-'Plan-Annahmen'!$B$89)</f>
        <v>22986</v>
      </c>
      <c r="G69" s="76" t="n">
        <f aca="false">IF(INT(MAX(0,F69))&lt;=12348,0,IF(INT(MAX(0,F69))&lt;=17799,(914.51*((INT(MAX(0,F69))-12348)/10000)+1400)*((INT(MAX(0,F69))-12348)/10000),IF(INT(MAX(0,F69))&lt;=69878,(173.1*((INT(MAX(0,F69))-17799)/10000)+2397)*((INT(MAX(0,F69))-17799)/10000)+1034.87,IF(INT(MAX(0,F69))&lt;=277825,0.42*INT(MAX(0,F69))-11135.63,0.45*INT(MAX(0,F69))-19470.38))))</f>
        <v>2324.766401339</v>
      </c>
      <c r="H69" s="76" t="n">
        <f aca="false">A69-B69-G69-'Plan-Annahmen'!$B$75*12</f>
        <v>20697.233598661</v>
      </c>
    </row>
    <row r="70" customFormat="false" ht="15" hidden="false" customHeight="false" outlineLevel="0" collapsed="false">
      <c r="A70" s="96" t="n">
        <v>35000</v>
      </c>
      <c r="B70" s="94" t="n">
        <f aca="false">MIN(MAX(A70/12,'Plan-Annahmen'!$B$87),'Plan-Annahmen'!$B$88)*12*('Plan-Annahmen'!$B$84+'Plan-Annahmen'!$B$85+'Plan-Annahmen'!$B$86)</f>
        <v>7595</v>
      </c>
      <c r="C70" s="94" t="n">
        <f aca="false">MAX(0,A70-B70-'Plan-Annahmen'!$B$89)</f>
        <v>27369</v>
      </c>
      <c r="D70" s="76" t="n">
        <f aca="false">IF(INT(MAX(0,C70))&lt;=12348,0,IF(INT(MAX(0,C70))&lt;=17799,(914.51*((INT(MAX(0,C70))-12348)/10000)+1400)*((INT(MAX(0,C70))-12348)/10000),IF(INT(MAX(0,C70))&lt;=69878,(173.1*((INT(MAX(0,C70))-17799)/10000)+2397)*((INT(MAX(0,C70))-17799)/10000)+1034.87,IF(INT(MAX(0,C70))&lt;=277825,0.42*INT(MAX(0,C70))-11135.63,0.45*INT(MAX(0,C70))-19470.38))))</f>
        <v>3487.3324619</v>
      </c>
      <c r="E70" s="76" t="n">
        <f aca="false">A70-B70-D70</f>
        <v>23917.6675381</v>
      </c>
      <c r="F70" s="94" t="n">
        <f aca="false">MAX(0,A70-B70-'Plan-Annahmen'!$B$75*12-'Plan-Annahmen'!$B$89)</f>
        <v>23769</v>
      </c>
      <c r="G70" s="76" t="n">
        <f aca="false">IF(INT(MAX(0,F70))&lt;=12348,0,IF(INT(MAX(0,F70))&lt;=17799,(914.51*((INT(MAX(0,F70))-12348)/10000)+1400)*((INT(MAX(0,F70))-12348)/10000),IF(INT(MAX(0,F70))&lt;=69878,(173.1*((INT(MAX(0,F70))-17799)/10000)+2397)*((INT(MAX(0,F70))-17799)/10000)+1034.87,IF(INT(MAX(0,F70))&lt;=277825,0.42*INT(MAX(0,F70))-11135.63,0.45*INT(MAX(0,F70))-19470.38))))</f>
        <v>2527.5733979</v>
      </c>
      <c r="H70" s="76" t="n">
        <f aca="false">A70-B70-G70-'Plan-Annahmen'!$B$75*12</f>
        <v>21277.4266021</v>
      </c>
    </row>
    <row r="71" customFormat="false" ht="15" hidden="false" customHeight="false" outlineLevel="0" collapsed="false">
      <c r="A71" s="96" t="n">
        <v>36000</v>
      </c>
      <c r="B71" s="94" t="n">
        <f aca="false">MIN(MAX(A71/12,'Plan-Annahmen'!$B$87),'Plan-Annahmen'!$B$88)*12*('Plan-Annahmen'!$B$84+'Plan-Annahmen'!$B$85+'Plan-Annahmen'!$B$86)</f>
        <v>7812</v>
      </c>
      <c r="C71" s="94" t="n">
        <f aca="false">MAX(0,A71-B71-'Plan-Annahmen'!$B$89)</f>
        <v>28152</v>
      </c>
      <c r="D71" s="76" t="n">
        <f aca="false">IF(INT(MAX(0,C71))&lt;=12348,0,IF(INT(MAX(0,C71))&lt;=17799,(914.51*((INT(MAX(0,C71))-12348)/10000)+1400)*((INT(MAX(0,C71))-12348)/10000),IF(INT(MAX(0,C71))&lt;=69878,(173.1*((INT(MAX(0,C71))-17799)/10000)+2397)*((INT(MAX(0,C71))-17799)/10000)+1034.87,IF(INT(MAX(0,C71))&lt;=277825,0.42*INT(MAX(0,C71))-11135.63,0.45*INT(MAX(0,C71))-19470.38))))</f>
        <v>3702.020658179</v>
      </c>
      <c r="E71" s="76" t="n">
        <f aca="false">A71-B71-D71</f>
        <v>24485.979341821</v>
      </c>
      <c r="F71" s="94" t="n">
        <f aca="false">MAX(0,A71-B71-'Plan-Annahmen'!$B$75*12-'Plan-Annahmen'!$B$89)</f>
        <v>24552</v>
      </c>
      <c r="G71" s="76" t="n">
        <f aca="false">IF(INT(MAX(0,F71))&lt;=12348,0,IF(INT(MAX(0,F71))&lt;=17799,(914.51*((INT(MAX(0,F71))-12348)/10000)+1400)*((INT(MAX(0,F71))-12348)/10000),IF(INT(MAX(0,F71))&lt;=69878,(173.1*((INT(MAX(0,F71))-17799)/10000)+2397)*((INT(MAX(0,F71))-17799)/10000)+1034.87,IF(INT(MAX(0,F71))&lt;=277825,0.42*INT(MAX(0,F71))-11135.63,0.45*INT(MAX(0,F71))-19470.38))))</f>
        <v>2732.502908579</v>
      </c>
      <c r="H71" s="76" t="n">
        <f aca="false">A71-B71-G71-'Plan-Annahmen'!$B$75*12</f>
        <v>21855.497091421</v>
      </c>
    </row>
    <row r="72" customFormat="false" ht="15" hidden="false" customHeight="false" outlineLevel="0" collapsed="false">
      <c r="A72" s="96" t="n">
        <v>37000</v>
      </c>
      <c r="B72" s="94" t="n">
        <f aca="false">MIN(MAX(A72/12,'Plan-Annahmen'!$B$87),'Plan-Annahmen'!$B$88)*12*('Plan-Annahmen'!$B$84+'Plan-Annahmen'!$B$85+'Plan-Annahmen'!$B$86)</f>
        <v>8029</v>
      </c>
      <c r="C72" s="94" t="n">
        <f aca="false">MAX(0,A72-B72-'Plan-Annahmen'!$B$89)</f>
        <v>28935</v>
      </c>
      <c r="D72" s="76" t="n">
        <f aca="false">IF(INT(MAX(0,C72))&lt;=12348,0,IF(INT(MAX(0,C72))&lt;=17799,(914.51*((INT(MAX(0,C72))-12348)/10000)+1400)*((INT(MAX(0,C72))-12348)/10000),IF(INT(MAX(0,C72))&lt;=69878,(173.1*((INT(MAX(0,C72))-17799)/10000)+2397)*((INT(MAX(0,C72))-17799)/10000)+1034.87,IF(INT(MAX(0,C72))&lt;=277825,0.42*INT(MAX(0,C72))-11135.63,0.45*INT(MAX(0,C72))-19470.38))))</f>
        <v>3918.831368576</v>
      </c>
      <c r="E72" s="76" t="n">
        <f aca="false">A72-B72-D72</f>
        <v>25052.168631424</v>
      </c>
      <c r="F72" s="94" t="n">
        <f aca="false">MAX(0,A72-B72-'Plan-Annahmen'!$B$75*12-'Plan-Annahmen'!$B$89)</f>
        <v>25335</v>
      </c>
      <c r="G72" s="76" t="n">
        <f aca="false">IF(INT(MAX(0,F72))&lt;=12348,0,IF(INT(MAX(0,F72))&lt;=17799,(914.51*((INT(MAX(0,F72))-12348)/10000)+1400)*((INT(MAX(0,F72))-12348)/10000),IF(INT(MAX(0,F72))&lt;=69878,(173.1*((INT(MAX(0,F72))-17799)/10000)+2397)*((INT(MAX(0,F72))-17799)/10000)+1034.87,IF(INT(MAX(0,F72))&lt;=277825,0.42*INT(MAX(0,F72))-11135.63,0.45*INT(MAX(0,F72))-19470.38))))</f>
        <v>2939.554933376</v>
      </c>
      <c r="H72" s="76" t="n">
        <f aca="false">A72-B72-G72-'Plan-Annahmen'!$B$75*12</f>
        <v>22431.445066624</v>
      </c>
    </row>
    <row r="73" customFormat="false" ht="15" hidden="false" customHeight="false" outlineLevel="0" collapsed="false">
      <c r="A73" s="96" t="n">
        <v>38000</v>
      </c>
      <c r="B73" s="94" t="n">
        <f aca="false">MIN(MAX(A73/12,'Plan-Annahmen'!$B$87),'Plan-Annahmen'!$B$88)*12*('Plan-Annahmen'!$B$84+'Plan-Annahmen'!$B$85+'Plan-Annahmen'!$B$86)</f>
        <v>8246</v>
      </c>
      <c r="C73" s="94" t="n">
        <f aca="false">MAX(0,A73-B73-'Plan-Annahmen'!$B$89)</f>
        <v>29718</v>
      </c>
      <c r="D73" s="76" t="n">
        <f aca="false">IF(INT(MAX(0,C73))&lt;=12348,0,IF(INT(MAX(0,C73))&lt;=17799,(914.51*((INT(MAX(0,C73))-12348)/10000)+1400)*((INT(MAX(0,C73))-12348)/10000),IF(INT(MAX(0,C73))&lt;=69878,(173.1*((INT(MAX(0,C73))-17799)/10000)+2397)*((INT(MAX(0,C73))-17799)/10000)+1034.87,IF(INT(MAX(0,C73))&lt;=277825,0.42*INT(MAX(0,C73))-11135.63,0.45*INT(MAX(0,C73))-19470.38))))</f>
        <v>4137.764593091</v>
      </c>
      <c r="E73" s="76" t="n">
        <f aca="false">A73-B73-D73</f>
        <v>25616.235406909</v>
      </c>
      <c r="F73" s="94" t="n">
        <f aca="false">MAX(0,A73-B73-'Plan-Annahmen'!$B$75*12-'Plan-Annahmen'!$B$89)</f>
        <v>26118</v>
      </c>
      <c r="G73" s="76" t="n">
        <f aca="false">IF(INT(MAX(0,F73))&lt;=12348,0,IF(INT(MAX(0,F73))&lt;=17799,(914.51*((INT(MAX(0,F73))-12348)/10000)+1400)*((INT(MAX(0,F73))-12348)/10000),IF(INT(MAX(0,F73))&lt;=69878,(173.1*((INT(MAX(0,F73))-17799)/10000)+2397)*((INT(MAX(0,F73))-17799)/10000)+1034.87,IF(INT(MAX(0,F73))&lt;=277825,0.42*INT(MAX(0,F73))-11135.63,0.45*INT(MAX(0,F73))-19470.38))))</f>
        <v>3148.729472291</v>
      </c>
      <c r="H73" s="76" t="n">
        <f aca="false">A73-B73-G73-'Plan-Annahmen'!$B$75*12</f>
        <v>23005.270527709</v>
      </c>
    </row>
    <row r="74" customFormat="false" ht="15" hidden="false" customHeight="false" outlineLevel="0" collapsed="false">
      <c r="A74" s="96" t="n">
        <v>39000</v>
      </c>
      <c r="B74" s="94" t="n">
        <f aca="false">MIN(MAX(A74/12,'Plan-Annahmen'!$B$87),'Plan-Annahmen'!$B$88)*12*('Plan-Annahmen'!$B$84+'Plan-Annahmen'!$B$85+'Plan-Annahmen'!$B$86)</f>
        <v>8463</v>
      </c>
      <c r="C74" s="94" t="n">
        <f aca="false">MAX(0,A74-B74-'Plan-Annahmen'!$B$89)</f>
        <v>30501</v>
      </c>
      <c r="D74" s="76" t="n">
        <f aca="false">IF(INT(MAX(0,C74))&lt;=12348,0,IF(INT(MAX(0,C74))&lt;=17799,(914.51*((INT(MAX(0,C74))-12348)/10000)+1400)*((INT(MAX(0,C74))-12348)/10000),IF(INT(MAX(0,C74))&lt;=69878,(173.1*((INT(MAX(0,C74))-17799)/10000)+2397)*((INT(MAX(0,C74))-17799)/10000)+1034.87,IF(INT(MAX(0,C74))&lt;=277825,0.42*INT(MAX(0,C74))-11135.63,0.45*INT(MAX(0,C74))-19470.38))))</f>
        <v>4358.820331724</v>
      </c>
      <c r="E74" s="76" t="n">
        <f aca="false">A74-B74-D74</f>
        <v>26178.179668276</v>
      </c>
      <c r="F74" s="94" t="n">
        <f aca="false">MAX(0,A74-B74-'Plan-Annahmen'!$B$75*12-'Plan-Annahmen'!$B$89)</f>
        <v>26901</v>
      </c>
      <c r="G74" s="76" t="n">
        <f aca="false">IF(INT(MAX(0,F74))&lt;=12348,0,IF(INT(MAX(0,F74))&lt;=17799,(914.51*((INT(MAX(0,F74))-12348)/10000)+1400)*((INT(MAX(0,F74))-12348)/10000),IF(INT(MAX(0,F74))&lt;=69878,(173.1*((INT(MAX(0,F74))-17799)/10000)+2397)*((INT(MAX(0,F74))-17799)/10000)+1034.87,IF(INT(MAX(0,F74))&lt;=277825,0.42*INT(MAX(0,F74))-11135.63,0.45*INT(MAX(0,F74))-19470.38))))</f>
        <v>3360.026525324</v>
      </c>
      <c r="H74" s="76" t="n">
        <f aca="false">A74-B74-G74-'Plan-Annahmen'!$B$75*12</f>
        <v>23576.973474676</v>
      </c>
    </row>
    <row r="75" customFormat="false" ht="15" hidden="false" customHeight="false" outlineLevel="0" collapsed="false">
      <c r="A75" s="96" t="n">
        <v>40000</v>
      </c>
      <c r="B75" s="94" t="n">
        <f aca="false">MIN(MAX(A75/12,'Plan-Annahmen'!$B$87),'Plan-Annahmen'!$B$88)*12*('Plan-Annahmen'!$B$84+'Plan-Annahmen'!$B$85+'Plan-Annahmen'!$B$86)</f>
        <v>8680</v>
      </c>
      <c r="C75" s="94" t="n">
        <f aca="false">MAX(0,A75-B75-'Plan-Annahmen'!$B$89)</f>
        <v>31284</v>
      </c>
      <c r="D75" s="76" t="n">
        <f aca="false">IF(INT(MAX(0,C75))&lt;=12348,0,IF(INT(MAX(0,C75))&lt;=17799,(914.51*((INT(MAX(0,C75))-12348)/10000)+1400)*((INT(MAX(0,C75))-12348)/10000),IF(INT(MAX(0,C75))&lt;=69878,(173.1*((INT(MAX(0,C75))-17799)/10000)+2397)*((INT(MAX(0,C75))-17799)/10000)+1034.87,IF(INT(MAX(0,C75))&lt;=277825,0.42*INT(MAX(0,C75))-11135.63,0.45*INT(MAX(0,C75))-19470.38))))</f>
        <v>4581.998584475</v>
      </c>
      <c r="E75" s="76" t="n">
        <f aca="false">A75-B75-D75</f>
        <v>26738.001415525</v>
      </c>
      <c r="F75" s="94" t="n">
        <f aca="false">MAX(0,A75-B75-'Plan-Annahmen'!$B$75*12-'Plan-Annahmen'!$B$89)</f>
        <v>27684</v>
      </c>
      <c r="G75" s="76" t="n">
        <f aca="false">IF(INT(MAX(0,F75))&lt;=12348,0,IF(INT(MAX(0,F75))&lt;=17799,(914.51*((INT(MAX(0,F75))-12348)/10000)+1400)*((INT(MAX(0,F75))-12348)/10000),IF(INT(MAX(0,F75))&lt;=69878,(173.1*((INT(MAX(0,F75))-17799)/10000)+2397)*((INT(MAX(0,F75))-17799)/10000)+1034.87,IF(INT(MAX(0,F75))&lt;=277825,0.42*INT(MAX(0,F75))-11135.63,0.45*INT(MAX(0,F75))-19470.38))))</f>
        <v>3573.446092475</v>
      </c>
      <c r="H75" s="76" t="n">
        <f aca="false">A75-B75-G75-'Plan-Annahmen'!$B$75*12</f>
        <v>24146.553907525</v>
      </c>
    </row>
    <row r="76" customFormat="false" ht="15" hidden="false" customHeight="false" outlineLevel="0" collapsed="false">
      <c r="A76" s="96" t="n">
        <v>41000</v>
      </c>
      <c r="B76" s="94" t="n">
        <f aca="false">MIN(MAX(A76/12,'Plan-Annahmen'!$B$87),'Plan-Annahmen'!$B$88)*12*('Plan-Annahmen'!$B$84+'Plan-Annahmen'!$B$85+'Plan-Annahmen'!$B$86)</f>
        <v>8897</v>
      </c>
      <c r="C76" s="94" t="n">
        <f aca="false">MAX(0,A76-B76-'Plan-Annahmen'!$B$89)</f>
        <v>32067</v>
      </c>
      <c r="D76" s="76" t="n">
        <f aca="false">IF(INT(MAX(0,C76))&lt;=12348,0,IF(INT(MAX(0,C76))&lt;=17799,(914.51*((INT(MAX(0,C76))-12348)/10000)+1400)*((INT(MAX(0,C76))-12348)/10000),IF(INT(MAX(0,C76))&lt;=69878,(173.1*((INT(MAX(0,C76))-17799)/10000)+2397)*((INT(MAX(0,C76))-17799)/10000)+1034.87,IF(INT(MAX(0,C76))&lt;=277825,0.42*INT(MAX(0,C76))-11135.63,0.45*INT(MAX(0,C76))-19470.38))))</f>
        <v>4807.299351344</v>
      </c>
      <c r="E76" s="76" t="n">
        <f aca="false">A76-B76-D76</f>
        <v>27295.700648656</v>
      </c>
      <c r="F76" s="94" t="n">
        <f aca="false">MAX(0,A76-B76-'Plan-Annahmen'!$B$75*12-'Plan-Annahmen'!$B$89)</f>
        <v>28467</v>
      </c>
      <c r="G76" s="76" t="n">
        <f aca="false">IF(INT(MAX(0,F76))&lt;=12348,0,IF(INT(MAX(0,F76))&lt;=17799,(914.51*((INT(MAX(0,F76))-12348)/10000)+1400)*((INT(MAX(0,F76))-12348)/10000),IF(INT(MAX(0,F76))&lt;=69878,(173.1*((INT(MAX(0,F76))-17799)/10000)+2397)*((INT(MAX(0,F76))-17799)/10000)+1034.87,IF(INT(MAX(0,F76))&lt;=277825,0.42*INT(MAX(0,F76))-11135.63,0.45*INT(MAX(0,F76))-19470.38))))</f>
        <v>3788.988173744</v>
      </c>
      <c r="H76" s="76" t="n">
        <f aca="false">A76-B76-G76-'Plan-Annahmen'!$B$75*12</f>
        <v>24714.011826256</v>
      </c>
    </row>
    <row r="77" customFormat="false" ht="15" hidden="false" customHeight="false" outlineLevel="0" collapsed="false">
      <c r="A77" s="96" t="n">
        <v>42000</v>
      </c>
      <c r="B77" s="94" t="n">
        <f aca="false">MIN(MAX(A77/12,'Plan-Annahmen'!$B$87),'Plan-Annahmen'!$B$88)*12*('Plan-Annahmen'!$B$84+'Plan-Annahmen'!$B$85+'Plan-Annahmen'!$B$86)</f>
        <v>9114</v>
      </c>
      <c r="C77" s="94" t="n">
        <f aca="false">MAX(0,A77-B77-'Plan-Annahmen'!$B$89)</f>
        <v>32850</v>
      </c>
      <c r="D77" s="76" t="n">
        <f aca="false">IF(INT(MAX(0,C77))&lt;=12348,0,IF(INT(MAX(0,C77))&lt;=17799,(914.51*((INT(MAX(0,C77))-12348)/10000)+1400)*((INT(MAX(0,C77))-12348)/10000),IF(INT(MAX(0,C77))&lt;=69878,(173.1*((INT(MAX(0,C77))-17799)/10000)+2397)*((INT(MAX(0,C77))-17799)/10000)+1034.87,IF(INT(MAX(0,C77))&lt;=277825,0.42*INT(MAX(0,C77))-11135.63,0.45*INT(MAX(0,C77))-19470.38))))</f>
        <v>5034.722632331</v>
      </c>
      <c r="E77" s="76" t="n">
        <f aca="false">A77-B77-D77</f>
        <v>27851.277367669</v>
      </c>
      <c r="F77" s="94" t="n">
        <f aca="false">MAX(0,A77-B77-'Plan-Annahmen'!$B$75*12-'Plan-Annahmen'!$B$89)</f>
        <v>29250</v>
      </c>
      <c r="G77" s="76" t="n">
        <f aca="false">IF(INT(MAX(0,F77))&lt;=12348,0,IF(INT(MAX(0,F77))&lt;=17799,(914.51*((INT(MAX(0,F77))-12348)/10000)+1400)*((INT(MAX(0,F77))-12348)/10000),IF(INT(MAX(0,F77))&lt;=69878,(173.1*((INT(MAX(0,F77))-17799)/10000)+2397)*((INT(MAX(0,F77))-17799)/10000)+1034.87,IF(INT(MAX(0,F77))&lt;=277825,0.42*INT(MAX(0,F77))-11135.63,0.45*INT(MAX(0,F77))-19470.38))))</f>
        <v>4006.652769131</v>
      </c>
      <c r="H77" s="76" t="n">
        <f aca="false">A77-B77-G77-'Plan-Annahmen'!$B$75*12</f>
        <v>25279.347230869</v>
      </c>
    </row>
    <row r="78" customFormat="false" ht="15" hidden="false" customHeight="false" outlineLevel="0" collapsed="false">
      <c r="A78" s="96" t="n">
        <v>43000</v>
      </c>
      <c r="B78" s="94" t="n">
        <f aca="false">MIN(MAX(A78/12,'Plan-Annahmen'!$B$87),'Plan-Annahmen'!$B$88)*12*('Plan-Annahmen'!$B$84+'Plan-Annahmen'!$B$85+'Plan-Annahmen'!$B$86)</f>
        <v>9331</v>
      </c>
      <c r="C78" s="94" t="n">
        <f aca="false">MAX(0,A78-B78-'Plan-Annahmen'!$B$89)</f>
        <v>33633</v>
      </c>
      <c r="D78" s="76" t="n">
        <f aca="false">IF(INT(MAX(0,C78))&lt;=12348,0,IF(INT(MAX(0,C78))&lt;=17799,(914.51*((INT(MAX(0,C78))-12348)/10000)+1400)*((INT(MAX(0,C78))-12348)/10000),IF(INT(MAX(0,C78))&lt;=69878,(173.1*((INT(MAX(0,C78))-17799)/10000)+2397)*((INT(MAX(0,C78))-17799)/10000)+1034.87,IF(INT(MAX(0,C78))&lt;=277825,0.42*INT(MAX(0,C78))-11135.63,0.45*INT(MAX(0,C78))-19470.38))))</f>
        <v>5264.268427436</v>
      </c>
      <c r="E78" s="76" t="n">
        <f aca="false">A78-B78-D78</f>
        <v>28404.731572564</v>
      </c>
      <c r="F78" s="94" t="n">
        <f aca="false">MAX(0,A78-B78-'Plan-Annahmen'!$B$75*12-'Plan-Annahmen'!$B$89)</f>
        <v>30033</v>
      </c>
      <c r="G78" s="76" t="n">
        <f aca="false">IF(INT(MAX(0,F78))&lt;=12348,0,IF(INT(MAX(0,F78))&lt;=17799,(914.51*((INT(MAX(0,F78))-12348)/10000)+1400)*((INT(MAX(0,F78))-12348)/10000),IF(INT(MAX(0,F78))&lt;=69878,(173.1*((INT(MAX(0,F78))-17799)/10000)+2397)*((INT(MAX(0,F78))-17799)/10000)+1034.87,IF(INT(MAX(0,F78))&lt;=277825,0.42*INT(MAX(0,F78))-11135.63,0.45*INT(MAX(0,F78))-19470.38))))</f>
        <v>4226.439878636</v>
      </c>
      <c r="H78" s="76" t="n">
        <f aca="false">A78-B78-G78-'Plan-Annahmen'!$B$75*12</f>
        <v>25842.560121364</v>
      </c>
    </row>
    <row r="79" customFormat="false" ht="15" hidden="false" customHeight="false" outlineLevel="0" collapsed="false">
      <c r="A79" s="96" t="n">
        <v>44000</v>
      </c>
      <c r="B79" s="94" t="n">
        <f aca="false">MIN(MAX(A79/12,'Plan-Annahmen'!$B$87),'Plan-Annahmen'!$B$88)*12*('Plan-Annahmen'!$B$84+'Plan-Annahmen'!$B$85+'Plan-Annahmen'!$B$86)</f>
        <v>9548</v>
      </c>
      <c r="C79" s="94" t="n">
        <f aca="false">MAX(0,A79-B79-'Plan-Annahmen'!$B$89)</f>
        <v>34416</v>
      </c>
      <c r="D79" s="76" t="n">
        <f aca="false">IF(INT(MAX(0,C79))&lt;=12348,0,IF(INT(MAX(0,C79))&lt;=17799,(914.51*((INT(MAX(0,C79))-12348)/10000)+1400)*((INT(MAX(0,C79))-12348)/10000),IF(INT(MAX(0,C79))&lt;=69878,(173.1*((INT(MAX(0,C79))-17799)/10000)+2397)*((INT(MAX(0,C79))-17799)/10000)+1034.87,IF(INT(MAX(0,C79))&lt;=277825,0.42*INT(MAX(0,C79))-11135.63,0.45*INT(MAX(0,C79))-19470.38))))</f>
        <v>5495.936736659</v>
      </c>
      <c r="E79" s="76" t="n">
        <f aca="false">A79-B79-D79</f>
        <v>28956.063263341</v>
      </c>
      <c r="F79" s="94" t="n">
        <f aca="false">MAX(0,A79-B79-'Plan-Annahmen'!$B$75*12-'Plan-Annahmen'!$B$89)</f>
        <v>30816</v>
      </c>
      <c r="G79" s="76" t="n">
        <f aca="false">IF(INT(MAX(0,F79))&lt;=12348,0,IF(INT(MAX(0,F79))&lt;=17799,(914.51*((INT(MAX(0,F79))-12348)/10000)+1400)*((INT(MAX(0,F79))-12348)/10000),IF(INT(MAX(0,F79))&lt;=69878,(173.1*((INT(MAX(0,F79))-17799)/10000)+2397)*((INT(MAX(0,F79))-17799)/10000)+1034.87,IF(INT(MAX(0,F79))&lt;=277825,0.42*INT(MAX(0,F79))-11135.63,0.45*INT(MAX(0,F79))-19470.38))))</f>
        <v>4448.349502259</v>
      </c>
      <c r="H79" s="76" t="n">
        <f aca="false">A79-B79-G79-'Plan-Annahmen'!$B$75*12</f>
        <v>26403.650497741</v>
      </c>
    </row>
    <row r="80" customFormat="false" ht="15" hidden="false" customHeight="false" outlineLevel="0" collapsed="false">
      <c r="A80" s="96" t="n">
        <v>45000</v>
      </c>
      <c r="B80" s="94" t="n">
        <f aca="false">MIN(MAX(A80/12,'Plan-Annahmen'!$B$87),'Plan-Annahmen'!$B$88)*12*('Plan-Annahmen'!$B$84+'Plan-Annahmen'!$B$85+'Plan-Annahmen'!$B$86)</f>
        <v>9765</v>
      </c>
      <c r="C80" s="94" t="n">
        <f aca="false">MAX(0,A80-B80-'Plan-Annahmen'!$B$89)</f>
        <v>35199</v>
      </c>
      <c r="D80" s="76" t="n">
        <f aca="false">IF(INT(MAX(0,C80))&lt;=12348,0,IF(INT(MAX(0,C80))&lt;=17799,(914.51*((INT(MAX(0,C80))-12348)/10000)+1400)*((INT(MAX(0,C80))-12348)/10000),IF(INT(MAX(0,C80))&lt;=69878,(173.1*((INT(MAX(0,C80))-17799)/10000)+2397)*((INT(MAX(0,C80))-17799)/10000)+1034.87,IF(INT(MAX(0,C80))&lt;=277825,0.42*INT(MAX(0,C80))-11135.63,0.45*INT(MAX(0,C80))-19470.38))))</f>
        <v>5729.72756</v>
      </c>
      <c r="E80" s="76" t="n">
        <f aca="false">A80-B80-D80</f>
        <v>29505.27244</v>
      </c>
      <c r="F80" s="94" t="n">
        <f aca="false">MAX(0,A80-B80-'Plan-Annahmen'!$B$75*12-'Plan-Annahmen'!$B$89)</f>
        <v>31599</v>
      </c>
      <c r="G80" s="76" t="n">
        <f aca="false">IF(INT(MAX(0,F80))&lt;=12348,0,IF(INT(MAX(0,F80))&lt;=17799,(914.51*((INT(MAX(0,F80))-12348)/10000)+1400)*((INT(MAX(0,F80))-12348)/10000),IF(INT(MAX(0,F80))&lt;=69878,(173.1*((INT(MAX(0,F80))-17799)/10000)+2397)*((INT(MAX(0,F80))-17799)/10000)+1034.87,IF(INT(MAX(0,F80))&lt;=277825,0.42*INT(MAX(0,F80))-11135.63,0.45*INT(MAX(0,F80))-19470.38))))</f>
        <v>4672.38164</v>
      </c>
      <c r="H80" s="76" t="n">
        <f aca="false">A80-B80-G80-'Plan-Annahmen'!$B$75*12</f>
        <v>26962.61836</v>
      </c>
    </row>
    <row r="81" customFormat="false" ht="15" hidden="false" customHeight="false" outlineLevel="0" collapsed="false">
      <c r="A81" s="96" t="n">
        <v>46000</v>
      </c>
      <c r="B81" s="94" t="n">
        <f aca="false">MIN(MAX(A81/12,'Plan-Annahmen'!$B$87),'Plan-Annahmen'!$B$88)*12*('Plan-Annahmen'!$B$84+'Plan-Annahmen'!$B$85+'Plan-Annahmen'!$B$86)</f>
        <v>9982</v>
      </c>
      <c r="C81" s="94" t="n">
        <f aca="false">MAX(0,A81-B81-'Plan-Annahmen'!$B$89)</f>
        <v>35982</v>
      </c>
      <c r="D81" s="76" t="n">
        <f aca="false">IF(INT(MAX(0,C81))&lt;=12348,0,IF(INT(MAX(0,C81))&lt;=17799,(914.51*((INT(MAX(0,C81))-12348)/10000)+1400)*((INT(MAX(0,C81))-12348)/10000),IF(INT(MAX(0,C81))&lt;=69878,(173.1*((INT(MAX(0,C81))-17799)/10000)+2397)*((INT(MAX(0,C81))-17799)/10000)+1034.87,IF(INT(MAX(0,C81))&lt;=277825,0.42*INT(MAX(0,C81))-11135.63,0.45*INT(MAX(0,C81))-19470.38))))</f>
        <v>5965.640897459</v>
      </c>
      <c r="E81" s="76" t="n">
        <f aca="false">A81-B81-D81</f>
        <v>30052.359102541</v>
      </c>
      <c r="F81" s="94" t="n">
        <f aca="false">MAX(0,A81-B81-'Plan-Annahmen'!$B$75*12-'Plan-Annahmen'!$B$89)</f>
        <v>32382</v>
      </c>
      <c r="G81" s="76" t="n">
        <f aca="false">IF(INT(MAX(0,F81))&lt;=12348,0,IF(INT(MAX(0,F81))&lt;=17799,(914.51*((INT(MAX(0,F81))-12348)/10000)+1400)*((INT(MAX(0,F81))-12348)/10000),IF(INT(MAX(0,F81))&lt;=69878,(173.1*((INT(MAX(0,F81))-17799)/10000)+2397)*((INT(MAX(0,F81))-17799)/10000)+1034.87,IF(INT(MAX(0,F81))&lt;=277825,0.42*INT(MAX(0,F81))-11135.63,0.45*INT(MAX(0,F81))-19470.38))))</f>
        <v>4898.536291859</v>
      </c>
      <c r="H81" s="76" t="n">
        <f aca="false">A81-B81-G81-'Plan-Annahmen'!$B$75*12</f>
        <v>27519.463708141</v>
      </c>
    </row>
    <row r="82" customFormat="false" ht="15" hidden="false" customHeight="false" outlineLevel="0" collapsed="false">
      <c r="A82" s="96" t="n">
        <v>47000</v>
      </c>
      <c r="B82" s="94" t="n">
        <f aca="false">MIN(MAX(A82/12,'Plan-Annahmen'!$B$87),'Plan-Annahmen'!$B$88)*12*('Plan-Annahmen'!$B$84+'Plan-Annahmen'!$B$85+'Plan-Annahmen'!$B$86)</f>
        <v>10199</v>
      </c>
      <c r="C82" s="94" t="n">
        <f aca="false">MAX(0,A82-B82-'Plan-Annahmen'!$B$89)</f>
        <v>36765</v>
      </c>
      <c r="D82" s="76" t="n">
        <f aca="false">IF(INT(MAX(0,C82))&lt;=12348,0,IF(INT(MAX(0,C82))&lt;=17799,(914.51*((INT(MAX(0,C82))-12348)/10000)+1400)*((INT(MAX(0,C82))-12348)/10000),IF(INT(MAX(0,C82))&lt;=69878,(173.1*((INT(MAX(0,C82))-17799)/10000)+2397)*((INT(MAX(0,C82))-17799)/10000)+1034.87,IF(INT(MAX(0,C82))&lt;=277825,0.42*INT(MAX(0,C82))-11135.63,0.45*INT(MAX(0,C82))-19470.38))))</f>
        <v>6203.676749036</v>
      </c>
      <c r="E82" s="76" t="n">
        <f aca="false">A82-B82-D82</f>
        <v>30597.323250964</v>
      </c>
      <c r="F82" s="94" t="n">
        <f aca="false">MAX(0,A82-B82-'Plan-Annahmen'!$B$75*12-'Plan-Annahmen'!$B$89)</f>
        <v>33165</v>
      </c>
      <c r="G82" s="76" t="n">
        <f aca="false">IF(INT(MAX(0,F82))&lt;=12348,0,IF(INT(MAX(0,F82))&lt;=17799,(914.51*((INT(MAX(0,F82))-12348)/10000)+1400)*((INT(MAX(0,F82))-12348)/10000),IF(INT(MAX(0,F82))&lt;=69878,(173.1*((INT(MAX(0,F82))-17799)/10000)+2397)*((INT(MAX(0,F82))-17799)/10000)+1034.87,IF(INT(MAX(0,F82))&lt;=277825,0.42*INT(MAX(0,F82))-11135.63,0.45*INT(MAX(0,F82))-19470.38))))</f>
        <v>5126.813457836</v>
      </c>
      <c r="H82" s="76" t="n">
        <f aca="false">A82-B82-G82-'Plan-Annahmen'!$B$75*12</f>
        <v>28074.186542164</v>
      </c>
    </row>
    <row r="83" customFormat="false" ht="15" hidden="false" customHeight="false" outlineLevel="0" collapsed="false">
      <c r="A83" s="96" t="n">
        <v>48000</v>
      </c>
      <c r="B83" s="94" t="n">
        <f aca="false">MIN(MAX(A83/12,'Plan-Annahmen'!$B$87),'Plan-Annahmen'!$B$88)*12*('Plan-Annahmen'!$B$84+'Plan-Annahmen'!$B$85+'Plan-Annahmen'!$B$86)</f>
        <v>10416</v>
      </c>
      <c r="C83" s="94" t="n">
        <f aca="false">MAX(0,A83-B83-'Plan-Annahmen'!$B$89)</f>
        <v>37548</v>
      </c>
      <c r="D83" s="76" t="n">
        <f aca="false">IF(INT(MAX(0,C83))&lt;=12348,0,IF(INT(MAX(0,C83))&lt;=17799,(914.51*((INT(MAX(0,C83))-12348)/10000)+1400)*((INT(MAX(0,C83))-12348)/10000),IF(INT(MAX(0,C83))&lt;=69878,(173.1*((INT(MAX(0,C83))-17799)/10000)+2397)*((INT(MAX(0,C83))-17799)/10000)+1034.87,IF(INT(MAX(0,C83))&lt;=277825,0.42*INT(MAX(0,C83))-11135.63,0.45*INT(MAX(0,C83))-19470.38))))</f>
        <v>6443.835114731</v>
      </c>
      <c r="E83" s="76" t="n">
        <f aca="false">A83-B83-D83</f>
        <v>31140.164885269</v>
      </c>
      <c r="F83" s="94" t="n">
        <f aca="false">MAX(0,A83-B83-'Plan-Annahmen'!$B$75*12-'Plan-Annahmen'!$B$89)</f>
        <v>33948</v>
      </c>
      <c r="G83" s="76" t="n">
        <f aca="false">IF(INT(MAX(0,F83))&lt;=12348,0,IF(INT(MAX(0,F83))&lt;=17799,(914.51*((INT(MAX(0,F83))-12348)/10000)+1400)*((INT(MAX(0,F83))-12348)/10000),IF(INT(MAX(0,F83))&lt;=69878,(173.1*((INT(MAX(0,F83))-17799)/10000)+2397)*((INT(MAX(0,F83))-17799)/10000)+1034.87,IF(INT(MAX(0,F83))&lt;=277825,0.42*INT(MAX(0,F83))-11135.63,0.45*INT(MAX(0,F83))-19470.38))))</f>
        <v>5357.213137931</v>
      </c>
      <c r="H83" s="76" t="n">
        <f aca="false">A83-B83-G83-'Plan-Annahmen'!$B$75*12</f>
        <v>28626.786862069</v>
      </c>
    </row>
    <row r="84" customFormat="false" ht="15" hidden="false" customHeight="false" outlineLevel="0" collapsed="false">
      <c r="A84" s="96" t="n">
        <v>49000</v>
      </c>
      <c r="B84" s="94" t="n">
        <f aca="false">MIN(MAX(A84/12,'Plan-Annahmen'!$B$87),'Plan-Annahmen'!$B$88)*12*('Plan-Annahmen'!$B$84+'Plan-Annahmen'!$B$85+'Plan-Annahmen'!$B$86)</f>
        <v>10633</v>
      </c>
      <c r="C84" s="94" t="n">
        <f aca="false">MAX(0,A84-B84-'Plan-Annahmen'!$B$89)</f>
        <v>38331</v>
      </c>
      <c r="D84" s="76" t="n">
        <f aca="false">IF(INT(MAX(0,C84))&lt;=12348,0,IF(INT(MAX(0,C84))&lt;=17799,(914.51*((INT(MAX(0,C84))-12348)/10000)+1400)*((INT(MAX(0,C84))-12348)/10000),IF(INT(MAX(0,C84))&lt;=69878,(173.1*((INT(MAX(0,C84))-17799)/10000)+2397)*((INT(MAX(0,C84))-17799)/10000)+1034.87,IF(INT(MAX(0,C84))&lt;=277825,0.42*INT(MAX(0,C84))-11135.63,0.45*INT(MAX(0,C84))-19470.38))))</f>
        <v>6686.115994544</v>
      </c>
      <c r="E84" s="76" t="n">
        <f aca="false">A84-B84-D84</f>
        <v>31680.884005456</v>
      </c>
      <c r="F84" s="94" t="n">
        <f aca="false">MAX(0,A84-B84-'Plan-Annahmen'!$B$75*12-'Plan-Annahmen'!$B$89)</f>
        <v>34731</v>
      </c>
      <c r="G84" s="76" t="n">
        <f aca="false">IF(INT(MAX(0,F84))&lt;=12348,0,IF(INT(MAX(0,F84))&lt;=17799,(914.51*((INT(MAX(0,F84))-12348)/10000)+1400)*((INT(MAX(0,F84))-12348)/10000),IF(INT(MAX(0,F84))&lt;=69878,(173.1*((INT(MAX(0,F84))-17799)/10000)+2397)*((INT(MAX(0,F84))-17799)/10000)+1034.87,IF(INT(MAX(0,F84))&lt;=277825,0.42*INT(MAX(0,F84))-11135.63,0.45*INT(MAX(0,F84))-19470.38))))</f>
        <v>5589.735332144</v>
      </c>
      <c r="H84" s="76" t="n">
        <f aca="false">A84-B84-G84-'Plan-Annahmen'!$B$75*12</f>
        <v>29177.264667856</v>
      </c>
    </row>
    <row r="85" customFormat="false" ht="15" hidden="false" customHeight="false" outlineLevel="0" collapsed="false">
      <c r="A85" s="96" t="n">
        <v>50000</v>
      </c>
      <c r="B85" s="94" t="n">
        <f aca="false">MIN(MAX(A85/12,'Plan-Annahmen'!$B$87),'Plan-Annahmen'!$B$88)*12*('Plan-Annahmen'!$B$84+'Plan-Annahmen'!$B$85+'Plan-Annahmen'!$B$86)</f>
        <v>10850</v>
      </c>
      <c r="C85" s="94" t="n">
        <f aca="false">MAX(0,A85-B85-'Plan-Annahmen'!$B$89)</f>
        <v>39114</v>
      </c>
      <c r="D85" s="76" t="n">
        <f aca="false">IF(INT(MAX(0,C85))&lt;=12348,0,IF(INT(MAX(0,C85))&lt;=17799,(914.51*((INT(MAX(0,C85))-12348)/10000)+1400)*((INT(MAX(0,C85))-12348)/10000),IF(INT(MAX(0,C85))&lt;=69878,(173.1*((INT(MAX(0,C85))-17799)/10000)+2397)*((INT(MAX(0,C85))-17799)/10000)+1034.87,IF(INT(MAX(0,C85))&lt;=277825,0.42*INT(MAX(0,C85))-11135.63,0.45*INT(MAX(0,C85))-19470.38))))</f>
        <v>6930.519388475</v>
      </c>
      <c r="E85" s="76" t="n">
        <f aca="false">A85-B85-D85</f>
        <v>32219.480611525</v>
      </c>
      <c r="F85" s="94" t="n">
        <f aca="false">MAX(0,A85-B85-'Plan-Annahmen'!$B$75*12-'Plan-Annahmen'!$B$89)</f>
        <v>35514</v>
      </c>
      <c r="G85" s="76" t="n">
        <f aca="false">IF(INT(MAX(0,F85))&lt;=12348,0,IF(INT(MAX(0,F85))&lt;=17799,(914.51*((INT(MAX(0,F85))-12348)/10000)+1400)*((INT(MAX(0,F85))-12348)/10000),IF(INT(MAX(0,F85))&lt;=69878,(173.1*((INT(MAX(0,F85))-17799)/10000)+2397)*((INT(MAX(0,F85))-17799)/10000)+1034.87,IF(INT(MAX(0,F85))&lt;=277825,0.42*INT(MAX(0,F85))-11135.63,0.45*INT(MAX(0,F85))-19470.38))))</f>
        <v>5824.380040475</v>
      </c>
      <c r="H85" s="76" t="n">
        <f aca="false">A85-B85-G85-'Plan-Annahmen'!$B$75*12</f>
        <v>29725.619959525</v>
      </c>
    </row>
    <row r="86" customFormat="false" ht="15" hidden="false" customHeight="false" outlineLevel="0" collapsed="false">
      <c r="A86" s="96" t="n">
        <v>51000</v>
      </c>
      <c r="B86" s="94" t="n">
        <f aca="false">MIN(MAX(A86/12,'Plan-Annahmen'!$B$87),'Plan-Annahmen'!$B$88)*12*('Plan-Annahmen'!$B$84+'Plan-Annahmen'!$B$85+'Plan-Annahmen'!$B$86)</f>
        <v>11067</v>
      </c>
      <c r="C86" s="94" t="n">
        <f aca="false">MAX(0,A86-B86-'Plan-Annahmen'!$B$89)</f>
        <v>39897</v>
      </c>
      <c r="D86" s="76" t="n">
        <f aca="false">IF(INT(MAX(0,C86))&lt;=12348,0,IF(INT(MAX(0,C86))&lt;=17799,(914.51*((INT(MAX(0,C86))-12348)/10000)+1400)*((INT(MAX(0,C86))-12348)/10000),IF(INT(MAX(0,C86))&lt;=69878,(173.1*((INT(MAX(0,C86))-17799)/10000)+2397)*((INT(MAX(0,C86))-17799)/10000)+1034.87,IF(INT(MAX(0,C86))&lt;=277825,0.42*INT(MAX(0,C86))-11135.63,0.45*INT(MAX(0,C86))-19470.38))))</f>
        <v>7177.045296524</v>
      </c>
      <c r="E86" s="76" t="n">
        <f aca="false">A86-B86-D86</f>
        <v>32755.954703476</v>
      </c>
      <c r="F86" s="94" t="n">
        <f aca="false">MAX(0,A86-B86-'Plan-Annahmen'!$B$75*12-'Plan-Annahmen'!$B$89)</f>
        <v>36297</v>
      </c>
      <c r="G86" s="76" t="n">
        <f aca="false">IF(INT(MAX(0,F86))&lt;=12348,0,IF(INT(MAX(0,F86))&lt;=17799,(914.51*((INT(MAX(0,F86))-12348)/10000)+1400)*((INT(MAX(0,F86))-12348)/10000),IF(INT(MAX(0,F86))&lt;=69878,(173.1*((INT(MAX(0,F86))-17799)/10000)+2397)*((INT(MAX(0,F86))-17799)/10000)+1034.87,IF(INT(MAX(0,F86))&lt;=277825,0.42*INT(MAX(0,F86))-11135.63,0.45*INT(MAX(0,F86))-19470.38))))</f>
        <v>6061.147262924</v>
      </c>
      <c r="H86" s="76" t="n">
        <f aca="false">A86-B86-G86-'Plan-Annahmen'!$B$75*12</f>
        <v>30271.852737076</v>
      </c>
    </row>
    <row r="87" customFormat="false" ht="15" hidden="false" customHeight="false" outlineLevel="0" collapsed="false">
      <c r="A87" s="96" t="n">
        <v>52000</v>
      </c>
      <c r="B87" s="94" t="n">
        <f aca="false">MIN(MAX(A87/12,'Plan-Annahmen'!$B$87),'Plan-Annahmen'!$B$88)*12*('Plan-Annahmen'!$B$84+'Plan-Annahmen'!$B$85+'Plan-Annahmen'!$B$86)</f>
        <v>11284</v>
      </c>
      <c r="C87" s="94" t="n">
        <f aca="false">MAX(0,A87-B87-'Plan-Annahmen'!$B$89)</f>
        <v>40680</v>
      </c>
      <c r="D87" s="76" t="n">
        <f aca="false">IF(INT(MAX(0,C87))&lt;=12348,0,IF(INT(MAX(0,C87))&lt;=17799,(914.51*((INT(MAX(0,C87))-12348)/10000)+1400)*((INT(MAX(0,C87))-12348)/10000),IF(INT(MAX(0,C87))&lt;=69878,(173.1*((INT(MAX(0,C87))-17799)/10000)+2397)*((INT(MAX(0,C87))-17799)/10000)+1034.87,IF(INT(MAX(0,C87))&lt;=277825,0.42*INT(MAX(0,C87))-11135.63,0.45*INT(MAX(0,C87))-19470.38))))</f>
        <v>7425.693718691</v>
      </c>
      <c r="E87" s="76" t="n">
        <f aca="false">A87-B87-D87</f>
        <v>33290.306281309</v>
      </c>
      <c r="F87" s="94" t="n">
        <f aca="false">MAX(0,A87-B87-'Plan-Annahmen'!$B$75*12-'Plan-Annahmen'!$B$89)</f>
        <v>37080</v>
      </c>
      <c r="G87" s="76" t="n">
        <f aca="false">IF(INT(MAX(0,F87))&lt;=12348,0,IF(INT(MAX(0,F87))&lt;=17799,(914.51*((INT(MAX(0,F87))-12348)/10000)+1400)*((INT(MAX(0,F87))-12348)/10000),IF(INT(MAX(0,F87))&lt;=69878,(173.1*((INT(MAX(0,F87))-17799)/10000)+2397)*((INT(MAX(0,F87))-17799)/10000)+1034.87,IF(INT(MAX(0,F87))&lt;=277825,0.42*INT(MAX(0,F87))-11135.63,0.45*INT(MAX(0,F87))-19470.38))))</f>
        <v>6300.036999491</v>
      </c>
      <c r="H87" s="76" t="n">
        <f aca="false">A87-B87-G87-'Plan-Annahmen'!$B$75*12</f>
        <v>30815.963000509</v>
      </c>
    </row>
    <row r="88" customFormat="false" ht="15" hidden="false" customHeight="false" outlineLevel="0" collapsed="false">
      <c r="A88" s="96" t="n">
        <v>53000</v>
      </c>
      <c r="B88" s="94" t="n">
        <f aca="false">MIN(MAX(A88/12,'Plan-Annahmen'!$B$87),'Plan-Annahmen'!$B$88)*12*('Plan-Annahmen'!$B$84+'Plan-Annahmen'!$B$85+'Plan-Annahmen'!$B$86)</f>
        <v>11501</v>
      </c>
      <c r="C88" s="94" t="n">
        <f aca="false">MAX(0,A88-B88-'Plan-Annahmen'!$B$89)</f>
        <v>41463</v>
      </c>
      <c r="D88" s="76" t="n">
        <f aca="false">IF(INT(MAX(0,C88))&lt;=12348,0,IF(INT(MAX(0,C88))&lt;=17799,(914.51*((INT(MAX(0,C88))-12348)/10000)+1400)*((INT(MAX(0,C88))-12348)/10000),IF(INT(MAX(0,C88))&lt;=69878,(173.1*((INT(MAX(0,C88))-17799)/10000)+2397)*((INT(MAX(0,C88))-17799)/10000)+1034.87,IF(INT(MAX(0,C88))&lt;=277825,0.42*INT(MAX(0,C88))-11135.63,0.45*INT(MAX(0,C88))-19470.38))))</f>
        <v>7676.464654976</v>
      </c>
      <c r="E88" s="76" t="n">
        <f aca="false">A88-B88-D88</f>
        <v>33822.535345024</v>
      </c>
      <c r="F88" s="94" t="n">
        <f aca="false">MAX(0,A88-B88-'Plan-Annahmen'!$B$75*12-'Plan-Annahmen'!$B$89)</f>
        <v>37863</v>
      </c>
      <c r="G88" s="76" t="n">
        <f aca="false">IF(INT(MAX(0,F88))&lt;=12348,0,IF(INT(MAX(0,F88))&lt;=17799,(914.51*((INT(MAX(0,F88))-12348)/10000)+1400)*((INT(MAX(0,F88))-12348)/10000),IF(INT(MAX(0,F88))&lt;=69878,(173.1*((INT(MAX(0,F88))-17799)/10000)+2397)*((INT(MAX(0,F88))-17799)/10000)+1034.87,IF(INT(MAX(0,F88))&lt;=277825,0.42*INT(MAX(0,F88))-11135.63,0.45*INT(MAX(0,F88))-19470.38))))</f>
        <v>6541.049250176</v>
      </c>
      <c r="H88" s="76" t="n">
        <f aca="false">A88-B88-G88-'Plan-Annahmen'!$B$75*12</f>
        <v>31357.950749824</v>
      </c>
    </row>
    <row r="89" customFormat="false" ht="15" hidden="false" customHeight="false" outlineLevel="0" collapsed="false">
      <c r="A89" s="96" t="n">
        <v>54000</v>
      </c>
      <c r="B89" s="94" t="n">
        <f aca="false">MIN(MAX(A89/12,'Plan-Annahmen'!$B$87),'Plan-Annahmen'!$B$88)*12*('Plan-Annahmen'!$B$84+'Plan-Annahmen'!$B$85+'Plan-Annahmen'!$B$86)</f>
        <v>11718</v>
      </c>
      <c r="C89" s="94" t="n">
        <f aca="false">MAX(0,A89-B89-'Plan-Annahmen'!$B$89)</f>
        <v>42246</v>
      </c>
      <c r="D89" s="76" t="n">
        <f aca="false">IF(INT(MAX(0,C89))&lt;=12348,0,IF(INT(MAX(0,C89))&lt;=17799,(914.51*((INT(MAX(0,C89))-12348)/10000)+1400)*((INT(MAX(0,C89))-12348)/10000),IF(INT(MAX(0,C89))&lt;=69878,(173.1*((INT(MAX(0,C89))-17799)/10000)+2397)*((INT(MAX(0,C89))-17799)/10000)+1034.87,IF(INT(MAX(0,C89))&lt;=277825,0.42*INT(MAX(0,C89))-11135.63,0.45*INT(MAX(0,C89))-19470.38))))</f>
        <v>7929.358105379</v>
      </c>
      <c r="E89" s="76" t="n">
        <f aca="false">A89-B89-D89</f>
        <v>34352.641894621</v>
      </c>
      <c r="F89" s="94" t="n">
        <f aca="false">MAX(0,A89-B89-'Plan-Annahmen'!$B$75*12-'Plan-Annahmen'!$B$89)</f>
        <v>38646</v>
      </c>
      <c r="G89" s="76" t="n">
        <f aca="false">IF(INT(MAX(0,F89))&lt;=12348,0,IF(INT(MAX(0,F89))&lt;=17799,(914.51*((INT(MAX(0,F89))-12348)/10000)+1400)*((INT(MAX(0,F89))-12348)/10000),IF(INT(MAX(0,F89))&lt;=69878,(173.1*((INT(MAX(0,F89))-17799)/10000)+2397)*((INT(MAX(0,F89))-17799)/10000)+1034.87,IF(INT(MAX(0,F89))&lt;=277825,0.42*INT(MAX(0,F89))-11135.63,0.45*INT(MAX(0,F89))-19470.38))))</f>
        <v>6784.184014979</v>
      </c>
      <c r="H89" s="76" t="n">
        <f aca="false">A89-B89-G89-'Plan-Annahmen'!$B$75*12</f>
        <v>31897.815985021</v>
      </c>
    </row>
    <row r="90" customFormat="false" ht="15" hidden="false" customHeight="false" outlineLevel="0" collapsed="false">
      <c r="A90" s="96" t="n">
        <v>55000</v>
      </c>
      <c r="B90" s="94" t="n">
        <f aca="false">MIN(MAX(A90/12,'Plan-Annahmen'!$B$87),'Plan-Annahmen'!$B$88)*12*('Plan-Annahmen'!$B$84+'Plan-Annahmen'!$B$85+'Plan-Annahmen'!$B$86)</f>
        <v>11935</v>
      </c>
      <c r="C90" s="94" t="n">
        <f aca="false">MAX(0,A90-B90-'Plan-Annahmen'!$B$89)</f>
        <v>43029</v>
      </c>
      <c r="D90" s="76" t="n">
        <f aca="false">IF(INT(MAX(0,C90))&lt;=12348,0,IF(INT(MAX(0,C90))&lt;=17799,(914.51*((INT(MAX(0,C90))-12348)/10000)+1400)*((INT(MAX(0,C90))-12348)/10000),IF(INT(MAX(0,C90))&lt;=69878,(173.1*((INT(MAX(0,C90))-17799)/10000)+2397)*((INT(MAX(0,C90))-17799)/10000)+1034.87,IF(INT(MAX(0,C90))&lt;=277825,0.42*INT(MAX(0,C90))-11135.63,0.45*INT(MAX(0,C90))-19470.38))))</f>
        <v>8184.3740699</v>
      </c>
      <c r="E90" s="76" t="n">
        <f aca="false">A90-B90-D90</f>
        <v>34880.6259301</v>
      </c>
      <c r="F90" s="94" t="n">
        <f aca="false">MAX(0,A90-B90-'Plan-Annahmen'!$B$75*12-'Plan-Annahmen'!$B$89)</f>
        <v>39429</v>
      </c>
      <c r="G90" s="76" t="n">
        <f aca="false">IF(INT(MAX(0,F90))&lt;=12348,0,IF(INT(MAX(0,F90))&lt;=17799,(914.51*((INT(MAX(0,F90))-12348)/10000)+1400)*((INT(MAX(0,F90))-12348)/10000),IF(INT(MAX(0,F90))&lt;=69878,(173.1*((INT(MAX(0,F90))-17799)/10000)+2397)*((INT(MAX(0,F90))-17799)/10000)+1034.87,IF(INT(MAX(0,F90))&lt;=277825,0.42*INT(MAX(0,F90))-11135.63,0.45*INT(MAX(0,F90))-19470.38))))</f>
        <v>7029.4412939</v>
      </c>
      <c r="H90" s="76" t="n">
        <f aca="false">A90-B90-G90-'Plan-Annahmen'!$B$75*12</f>
        <v>32435.5587061</v>
      </c>
    </row>
    <row r="91" customFormat="false" ht="15" hidden="false" customHeight="false" outlineLevel="0" collapsed="false">
      <c r="A91" s="96" t="n">
        <v>56000</v>
      </c>
      <c r="B91" s="94" t="n">
        <f aca="false">MIN(MAX(A91/12,'Plan-Annahmen'!$B$87),'Plan-Annahmen'!$B$88)*12*('Plan-Annahmen'!$B$84+'Plan-Annahmen'!$B$85+'Plan-Annahmen'!$B$86)</f>
        <v>12152</v>
      </c>
      <c r="C91" s="94" t="n">
        <f aca="false">MAX(0,A91-B91-'Plan-Annahmen'!$B$89)</f>
        <v>43812</v>
      </c>
      <c r="D91" s="76" t="n">
        <f aca="false">IF(INT(MAX(0,C91))&lt;=12348,0,IF(INT(MAX(0,C91))&lt;=17799,(914.51*((INT(MAX(0,C91))-12348)/10000)+1400)*((INT(MAX(0,C91))-12348)/10000),IF(INT(MAX(0,C91))&lt;=69878,(173.1*((INT(MAX(0,C91))-17799)/10000)+2397)*((INT(MAX(0,C91))-17799)/10000)+1034.87,IF(INT(MAX(0,C91))&lt;=277825,0.42*INT(MAX(0,C91))-11135.63,0.45*INT(MAX(0,C91))-19470.38))))</f>
        <v>8441.512548539</v>
      </c>
      <c r="E91" s="76" t="n">
        <f aca="false">A91-B91-D91</f>
        <v>35406.487451461</v>
      </c>
      <c r="F91" s="94" t="n">
        <f aca="false">MAX(0,A91-B91-'Plan-Annahmen'!$B$75*12-'Plan-Annahmen'!$B$89)</f>
        <v>40212</v>
      </c>
      <c r="G91" s="76" t="n">
        <f aca="false">IF(INT(MAX(0,F91))&lt;=12348,0,IF(INT(MAX(0,F91))&lt;=17799,(914.51*((INT(MAX(0,F91))-12348)/10000)+1400)*((INT(MAX(0,F91))-12348)/10000),IF(INT(MAX(0,F91))&lt;=69878,(173.1*((INT(MAX(0,F91))-17799)/10000)+2397)*((INT(MAX(0,F91))-17799)/10000)+1034.87,IF(INT(MAX(0,F91))&lt;=277825,0.42*INT(MAX(0,F91))-11135.63,0.45*INT(MAX(0,F91))-19470.38))))</f>
        <v>7276.821086939</v>
      </c>
      <c r="H91" s="76" t="n">
        <f aca="false">A91-B91-G91-'Plan-Annahmen'!$B$75*12</f>
        <v>32971.178913061</v>
      </c>
    </row>
    <row r="92" customFormat="false" ht="15" hidden="false" customHeight="false" outlineLevel="0" collapsed="false">
      <c r="A92" s="96" t="n">
        <v>57000</v>
      </c>
      <c r="B92" s="94" t="n">
        <f aca="false">MIN(MAX(A92/12,'Plan-Annahmen'!$B$87),'Plan-Annahmen'!$B$88)*12*('Plan-Annahmen'!$B$84+'Plan-Annahmen'!$B$85+'Plan-Annahmen'!$B$86)</f>
        <v>12369</v>
      </c>
      <c r="C92" s="94" t="n">
        <f aca="false">MAX(0,A92-B92-'Plan-Annahmen'!$B$89)</f>
        <v>44595</v>
      </c>
      <c r="D92" s="76" t="n">
        <f aca="false">IF(INT(MAX(0,C92))&lt;=12348,0,IF(INT(MAX(0,C92))&lt;=17799,(914.51*((INT(MAX(0,C92))-12348)/10000)+1400)*((INT(MAX(0,C92))-12348)/10000),IF(INT(MAX(0,C92))&lt;=69878,(173.1*((INT(MAX(0,C92))-17799)/10000)+2397)*((INT(MAX(0,C92))-17799)/10000)+1034.87,IF(INT(MAX(0,C92))&lt;=277825,0.42*INT(MAX(0,C92))-11135.63,0.45*INT(MAX(0,C92))-19470.38))))</f>
        <v>8700.773541296</v>
      </c>
      <c r="E92" s="76" t="n">
        <f aca="false">A92-B92-D92</f>
        <v>35930.226458704</v>
      </c>
      <c r="F92" s="94" t="n">
        <f aca="false">MAX(0,A92-B92-'Plan-Annahmen'!$B$75*12-'Plan-Annahmen'!$B$89)</f>
        <v>40995</v>
      </c>
      <c r="G92" s="76" t="n">
        <f aca="false">IF(INT(MAX(0,F92))&lt;=12348,0,IF(INT(MAX(0,F92))&lt;=17799,(914.51*((INT(MAX(0,F92))-12348)/10000)+1400)*((INT(MAX(0,F92))-12348)/10000),IF(INT(MAX(0,F92))&lt;=69878,(173.1*((INT(MAX(0,F92))-17799)/10000)+2397)*((INT(MAX(0,F92))-17799)/10000)+1034.87,IF(INT(MAX(0,F92))&lt;=277825,0.42*INT(MAX(0,F92))-11135.63,0.45*INT(MAX(0,F92))-19470.38))))</f>
        <v>7526.323394096</v>
      </c>
      <c r="H92" s="76" t="n">
        <f aca="false">A92-B92-G92-'Plan-Annahmen'!$B$75*12</f>
        <v>33504.676605904</v>
      </c>
    </row>
    <row r="93" customFormat="false" ht="15" hidden="false" customHeight="false" outlineLevel="0" collapsed="false">
      <c r="A93" s="96" t="n">
        <v>58000</v>
      </c>
      <c r="B93" s="94" t="n">
        <f aca="false">MIN(MAX(A93/12,'Plan-Annahmen'!$B$87),'Plan-Annahmen'!$B$88)*12*('Plan-Annahmen'!$B$84+'Plan-Annahmen'!$B$85+'Plan-Annahmen'!$B$86)</f>
        <v>12586</v>
      </c>
      <c r="C93" s="94" t="n">
        <f aca="false">MAX(0,A93-B93-'Plan-Annahmen'!$B$89)</f>
        <v>45378</v>
      </c>
      <c r="D93" s="76" t="n">
        <f aca="false">IF(INT(MAX(0,C93))&lt;=12348,0,IF(INT(MAX(0,C93))&lt;=17799,(914.51*((INT(MAX(0,C93))-12348)/10000)+1400)*((INT(MAX(0,C93))-12348)/10000),IF(INT(MAX(0,C93))&lt;=69878,(173.1*((INT(MAX(0,C93))-17799)/10000)+2397)*((INT(MAX(0,C93))-17799)/10000)+1034.87,IF(INT(MAX(0,C93))&lt;=277825,0.42*INT(MAX(0,C93))-11135.63,0.45*INT(MAX(0,C93))-19470.38))))</f>
        <v>8962.157048171</v>
      </c>
      <c r="E93" s="76" t="n">
        <f aca="false">A93-B93-D93</f>
        <v>36451.842951829</v>
      </c>
      <c r="F93" s="94" t="n">
        <f aca="false">MAX(0,A93-B93-'Plan-Annahmen'!$B$75*12-'Plan-Annahmen'!$B$89)</f>
        <v>41778</v>
      </c>
      <c r="G93" s="76" t="n">
        <f aca="false">IF(INT(MAX(0,F93))&lt;=12348,0,IF(INT(MAX(0,F93))&lt;=17799,(914.51*((INT(MAX(0,F93))-12348)/10000)+1400)*((INT(MAX(0,F93))-12348)/10000),IF(INT(MAX(0,F93))&lt;=69878,(173.1*((INT(MAX(0,F93))-17799)/10000)+2397)*((INT(MAX(0,F93))-17799)/10000)+1034.87,IF(INT(MAX(0,F93))&lt;=277825,0.42*INT(MAX(0,F93))-11135.63,0.45*INT(MAX(0,F93))-19470.38))))</f>
        <v>7777.948215371</v>
      </c>
      <c r="H93" s="76" t="n">
        <f aca="false">A93-B93-G93-'Plan-Annahmen'!$B$75*12</f>
        <v>34036.051784629</v>
      </c>
    </row>
    <row r="94" customFormat="false" ht="15" hidden="false" customHeight="false" outlineLevel="0" collapsed="false">
      <c r="A94" s="96" t="n">
        <v>59000</v>
      </c>
      <c r="B94" s="94" t="n">
        <f aca="false">MIN(MAX(A94/12,'Plan-Annahmen'!$B$87),'Plan-Annahmen'!$B$88)*12*('Plan-Annahmen'!$B$84+'Plan-Annahmen'!$B$85+'Plan-Annahmen'!$B$86)</f>
        <v>12803</v>
      </c>
      <c r="C94" s="94" t="n">
        <f aca="false">MAX(0,A94-B94-'Plan-Annahmen'!$B$89)</f>
        <v>46161</v>
      </c>
      <c r="D94" s="76" t="n">
        <f aca="false">IF(INT(MAX(0,C94))&lt;=12348,0,IF(INT(MAX(0,C94))&lt;=17799,(914.51*((INT(MAX(0,C94))-12348)/10000)+1400)*((INT(MAX(0,C94))-12348)/10000),IF(INT(MAX(0,C94))&lt;=69878,(173.1*((INT(MAX(0,C94))-17799)/10000)+2397)*((INT(MAX(0,C94))-17799)/10000)+1034.87,IF(INT(MAX(0,C94))&lt;=277825,0.42*INT(MAX(0,C94))-11135.63,0.45*INT(MAX(0,C94))-19470.38))))</f>
        <v>9225.663069164</v>
      </c>
      <c r="E94" s="76" t="n">
        <f aca="false">A94-B94-D94</f>
        <v>36971.336930836</v>
      </c>
      <c r="F94" s="94" t="n">
        <f aca="false">MAX(0,A94-B94-'Plan-Annahmen'!$B$75*12-'Plan-Annahmen'!$B$89)</f>
        <v>42561</v>
      </c>
      <c r="G94" s="76" t="n">
        <f aca="false">IF(INT(MAX(0,F94))&lt;=12348,0,IF(INT(MAX(0,F94))&lt;=17799,(914.51*((INT(MAX(0,F94))-12348)/10000)+1400)*((INT(MAX(0,F94))-12348)/10000),IF(INT(MAX(0,F94))&lt;=69878,(173.1*((INT(MAX(0,F94))-17799)/10000)+2397)*((INT(MAX(0,F94))-17799)/10000)+1034.87,IF(INT(MAX(0,F94))&lt;=277825,0.42*INT(MAX(0,F94))-11135.63,0.45*INT(MAX(0,F94))-19470.38))))</f>
        <v>8031.695550764</v>
      </c>
      <c r="H94" s="76" t="n">
        <f aca="false">A94-B94-G94-'Plan-Annahmen'!$B$75*12</f>
        <v>34565.304449236</v>
      </c>
    </row>
    <row r="95" customFormat="false" ht="15" hidden="false" customHeight="false" outlineLevel="0" collapsed="false">
      <c r="A95" s="96" t="n">
        <v>60000</v>
      </c>
      <c r="B95" s="94" t="n">
        <f aca="false">MIN(MAX(A95/12,'Plan-Annahmen'!$B$87),'Plan-Annahmen'!$B$88)*12*('Plan-Annahmen'!$B$84+'Plan-Annahmen'!$B$85+'Plan-Annahmen'!$B$86)</f>
        <v>13020</v>
      </c>
      <c r="C95" s="94" t="n">
        <f aca="false">MAX(0,A95-B95-'Plan-Annahmen'!$B$89)</f>
        <v>46944</v>
      </c>
      <c r="D95" s="76" t="n">
        <f aca="false">IF(INT(MAX(0,C95))&lt;=12348,0,IF(INT(MAX(0,C95))&lt;=17799,(914.51*((INT(MAX(0,C95))-12348)/10000)+1400)*((INT(MAX(0,C95))-12348)/10000),IF(INT(MAX(0,C95))&lt;=69878,(173.1*((INT(MAX(0,C95))-17799)/10000)+2397)*((INT(MAX(0,C95))-17799)/10000)+1034.87,IF(INT(MAX(0,C95))&lt;=277825,0.42*INT(MAX(0,C95))-11135.63,0.45*INT(MAX(0,C95))-19470.38))))</f>
        <v>9491.291604275</v>
      </c>
      <c r="E95" s="76" t="n">
        <f aca="false">A95-B95-D95</f>
        <v>37488.708395725</v>
      </c>
      <c r="F95" s="94" t="n">
        <f aca="false">MAX(0,A95-B95-'Plan-Annahmen'!$B$75*12-'Plan-Annahmen'!$B$89)</f>
        <v>43344</v>
      </c>
      <c r="G95" s="76" t="n">
        <f aca="false">IF(INT(MAX(0,F95))&lt;=12348,0,IF(INT(MAX(0,F95))&lt;=17799,(914.51*((INT(MAX(0,F95))-12348)/10000)+1400)*((INT(MAX(0,F95))-12348)/10000),IF(INT(MAX(0,F95))&lt;=69878,(173.1*((INT(MAX(0,F95))-17799)/10000)+2397)*((INT(MAX(0,F95))-17799)/10000)+1034.87,IF(INT(MAX(0,F95))&lt;=277825,0.42*INT(MAX(0,F95))-11135.63,0.45*INT(MAX(0,F95))-19470.38))))</f>
        <v>8287.565400275</v>
      </c>
      <c r="H95" s="76" t="n">
        <f aca="false">A95-B95-G95-'Plan-Annahmen'!$B$75*12</f>
        <v>35092.434599725</v>
      </c>
    </row>
    <row r="96" customFormat="false" ht="15" hidden="false" customHeight="false" outlineLevel="0" collapsed="false">
      <c r="A96" s="96" t="n">
        <v>61000</v>
      </c>
      <c r="B96" s="94" t="n">
        <f aca="false">MIN(MAX(A96/12,'Plan-Annahmen'!$B$87),'Plan-Annahmen'!$B$88)*12*('Plan-Annahmen'!$B$84+'Plan-Annahmen'!$B$85+'Plan-Annahmen'!$B$86)</f>
        <v>13237</v>
      </c>
      <c r="C96" s="94" t="n">
        <f aca="false">MAX(0,A96-B96-'Plan-Annahmen'!$B$89)</f>
        <v>47727</v>
      </c>
      <c r="D96" s="76" t="n">
        <f aca="false">IF(INT(MAX(0,C96))&lt;=12348,0,IF(INT(MAX(0,C96))&lt;=17799,(914.51*((INT(MAX(0,C96))-12348)/10000)+1400)*((INT(MAX(0,C96))-12348)/10000),IF(INT(MAX(0,C96))&lt;=69878,(173.1*((INT(MAX(0,C96))-17799)/10000)+2397)*((INT(MAX(0,C96))-17799)/10000)+1034.87,IF(INT(MAX(0,C96))&lt;=277825,0.42*INT(MAX(0,C96))-11135.63,0.45*INT(MAX(0,C96))-19470.38))))</f>
        <v>9759.042653504</v>
      </c>
      <c r="E96" s="76" t="n">
        <f aca="false">A96-B96-D96</f>
        <v>38003.957346496</v>
      </c>
      <c r="F96" s="94" t="n">
        <f aca="false">MAX(0,A96-B96-'Plan-Annahmen'!$B$75*12-'Plan-Annahmen'!$B$89)</f>
        <v>44127</v>
      </c>
      <c r="G96" s="76" t="n">
        <f aca="false">IF(INT(MAX(0,F96))&lt;=12348,0,IF(INT(MAX(0,F96))&lt;=17799,(914.51*((INT(MAX(0,F96))-12348)/10000)+1400)*((INT(MAX(0,F96))-12348)/10000),IF(INT(MAX(0,F96))&lt;=69878,(173.1*((INT(MAX(0,F96))-17799)/10000)+2397)*((INT(MAX(0,F96))-17799)/10000)+1034.87,IF(INT(MAX(0,F96))&lt;=277825,0.42*INT(MAX(0,F96))-11135.63,0.45*INT(MAX(0,F96))-19470.38))))</f>
        <v>8545.557763904</v>
      </c>
      <c r="H96" s="76" t="n">
        <f aca="false">A96-B96-G96-'Plan-Annahmen'!$B$75*12</f>
        <v>35617.442236096</v>
      </c>
    </row>
    <row r="97" customFormat="false" ht="15" hidden="false" customHeight="false" outlineLevel="0" collapsed="false">
      <c r="A97" s="96" t="n">
        <v>62000</v>
      </c>
      <c r="B97" s="94" t="n">
        <f aca="false">MIN(MAX(A97/12,'Plan-Annahmen'!$B$87),'Plan-Annahmen'!$B$88)*12*('Plan-Annahmen'!$B$84+'Plan-Annahmen'!$B$85+'Plan-Annahmen'!$B$86)</f>
        <v>13454</v>
      </c>
      <c r="C97" s="94" t="n">
        <f aca="false">MAX(0,A97-B97-'Plan-Annahmen'!$B$89)</f>
        <v>48510</v>
      </c>
      <c r="D97" s="76" t="n">
        <f aca="false">IF(INT(MAX(0,C97))&lt;=12348,0,IF(INT(MAX(0,C97))&lt;=17799,(914.51*((INT(MAX(0,C97))-12348)/10000)+1400)*((INT(MAX(0,C97))-12348)/10000),IF(INT(MAX(0,C97))&lt;=69878,(173.1*((INT(MAX(0,C97))-17799)/10000)+2397)*((INT(MAX(0,C97))-17799)/10000)+1034.87,IF(INT(MAX(0,C97))&lt;=277825,0.42*INT(MAX(0,C97))-11135.63,0.45*INT(MAX(0,C97))-19470.38))))</f>
        <v>10028.916216851</v>
      </c>
      <c r="E97" s="76" t="n">
        <f aca="false">A97-B97-D97</f>
        <v>38517.083783149</v>
      </c>
      <c r="F97" s="94" t="n">
        <f aca="false">MAX(0,A97-B97-'Plan-Annahmen'!$B$75*12-'Plan-Annahmen'!$B$89)</f>
        <v>44910</v>
      </c>
      <c r="G97" s="76" t="n">
        <f aca="false">IF(INT(MAX(0,F97))&lt;=12348,0,IF(INT(MAX(0,F97))&lt;=17799,(914.51*((INT(MAX(0,F97))-12348)/10000)+1400)*((INT(MAX(0,F97))-12348)/10000),IF(INT(MAX(0,F97))&lt;=69878,(173.1*((INT(MAX(0,F97))-17799)/10000)+2397)*((INT(MAX(0,F97))-17799)/10000)+1034.87,IF(INT(MAX(0,F97))&lt;=277825,0.42*INT(MAX(0,F97))-11135.63,0.45*INT(MAX(0,F97))-19470.38))))</f>
        <v>8805.672641651</v>
      </c>
      <c r="H97" s="76" t="n">
        <f aca="false">A97-B97-G97-'Plan-Annahmen'!$B$75*12</f>
        <v>36140.327358349</v>
      </c>
    </row>
    <row r="98" customFormat="false" ht="15" hidden="false" customHeight="false" outlineLevel="0" collapsed="false">
      <c r="A98" s="96" t="n">
        <v>63000</v>
      </c>
      <c r="B98" s="94" t="n">
        <f aca="false">MIN(MAX(A98/12,'Plan-Annahmen'!$B$87),'Plan-Annahmen'!$B$88)*12*('Plan-Annahmen'!$B$84+'Plan-Annahmen'!$B$85+'Plan-Annahmen'!$B$86)</f>
        <v>13671</v>
      </c>
      <c r="C98" s="94" t="n">
        <f aca="false">MAX(0,A98-B98-'Plan-Annahmen'!$B$89)</f>
        <v>49293</v>
      </c>
      <c r="D98" s="76" t="n">
        <f aca="false">IF(INT(MAX(0,C98))&lt;=12348,0,IF(INT(MAX(0,C98))&lt;=17799,(914.51*((INT(MAX(0,C98))-12348)/10000)+1400)*((INT(MAX(0,C98))-12348)/10000),IF(INT(MAX(0,C98))&lt;=69878,(173.1*((INT(MAX(0,C98))-17799)/10000)+2397)*((INT(MAX(0,C98))-17799)/10000)+1034.87,IF(INT(MAX(0,C98))&lt;=277825,0.42*INT(MAX(0,C98))-11135.63,0.45*INT(MAX(0,C98))-19470.38))))</f>
        <v>10300.912294316</v>
      </c>
      <c r="E98" s="76" t="n">
        <f aca="false">A98-B98-D98</f>
        <v>39028.087705684</v>
      </c>
      <c r="F98" s="94" t="n">
        <f aca="false">MAX(0,A98-B98-'Plan-Annahmen'!$B$75*12-'Plan-Annahmen'!$B$89)</f>
        <v>45693</v>
      </c>
      <c r="G98" s="76" t="n">
        <f aca="false">IF(INT(MAX(0,F98))&lt;=12348,0,IF(INT(MAX(0,F98))&lt;=17799,(914.51*((INT(MAX(0,F98))-12348)/10000)+1400)*((INT(MAX(0,F98))-12348)/10000),IF(INT(MAX(0,F98))&lt;=69878,(173.1*((INT(MAX(0,F98))-17799)/10000)+2397)*((INT(MAX(0,F98))-17799)/10000)+1034.87,IF(INT(MAX(0,F98))&lt;=277825,0.42*INT(MAX(0,F98))-11135.63,0.45*INT(MAX(0,F98))-19470.38))))</f>
        <v>9067.910033516</v>
      </c>
      <c r="H98" s="76" t="n">
        <f aca="false">A98-B98-G98-'Plan-Annahmen'!$B$75*12</f>
        <v>36661.089966484</v>
      </c>
    </row>
    <row r="99" customFormat="false" ht="15" hidden="false" customHeight="false" outlineLevel="0" collapsed="false">
      <c r="A99" s="96" t="n">
        <v>64000</v>
      </c>
      <c r="B99" s="94" t="n">
        <f aca="false">MIN(MAX(A99/12,'Plan-Annahmen'!$B$87),'Plan-Annahmen'!$B$88)*12*('Plan-Annahmen'!$B$84+'Plan-Annahmen'!$B$85+'Plan-Annahmen'!$B$86)</f>
        <v>13888</v>
      </c>
      <c r="C99" s="94" t="n">
        <f aca="false">MAX(0,A99-B99-'Plan-Annahmen'!$B$89)</f>
        <v>50076</v>
      </c>
      <c r="D99" s="76" t="n">
        <f aca="false">IF(INT(MAX(0,C99))&lt;=12348,0,IF(INT(MAX(0,C99))&lt;=17799,(914.51*((INT(MAX(0,C99))-12348)/10000)+1400)*((INT(MAX(0,C99))-12348)/10000),IF(INT(MAX(0,C99))&lt;=69878,(173.1*((INT(MAX(0,C99))-17799)/10000)+2397)*((INT(MAX(0,C99))-17799)/10000)+1034.87,IF(INT(MAX(0,C99))&lt;=277825,0.42*INT(MAX(0,C99))-11135.63,0.45*INT(MAX(0,C99))-19470.38))))</f>
        <v>10575.030885899</v>
      </c>
      <c r="E99" s="76" t="n">
        <f aca="false">A99-B99-D99</f>
        <v>39536.969114101</v>
      </c>
      <c r="F99" s="94" t="n">
        <f aca="false">MAX(0,A99-B99-'Plan-Annahmen'!$B$75*12-'Plan-Annahmen'!$B$89)</f>
        <v>46476</v>
      </c>
      <c r="G99" s="76" t="n">
        <f aca="false">IF(INT(MAX(0,F99))&lt;=12348,0,IF(INT(MAX(0,F99))&lt;=17799,(914.51*((INT(MAX(0,F99))-12348)/10000)+1400)*((INT(MAX(0,F99))-12348)/10000),IF(INT(MAX(0,F99))&lt;=69878,(173.1*((INT(MAX(0,F99))-17799)/10000)+2397)*((INT(MAX(0,F99))-17799)/10000)+1034.87,IF(INT(MAX(0,F99))&lt;=277825,0.42*INT(MAX(0,F99))-11135.63,0.45*INT(MAX(0,F99))-19470.38))))</f>
        <v>9332.269939499</v>
      </c>
      <c r="H99" s="76" t="n">
        <f aca="false">A99-B99-G99-'Plan-Annahmen'!$B$75*12</f>
        <v>37179.730060501</v>
      </c>
    </row>
    <row r="100" customFormat="false" ht="15" hidden="false" customHeight="false" outlineLevel="0" collapsed="false">
      <c r="A100" s="96" t="n">
        <v>65000</v>
      </c>
      <c r="B100" s="94" t="n">
        <f aca="false">MIN(MAX(A100/12,'Plan-Annahmen'!$B$87),'Plan-Annahmen'!$B$88)*12*('Plan-Annahmen'!$B$84+'Plan-Annahmen'!$B$85+'Plan-Annahmen'!$B$86)</f>
        <v>14105</v>
      </c>
      <c r="C100" s="94" t="n">
        <f aca="false">MAX(0,A100-B100-'Plan-Annahmen'!$B$89)</f>
        <v>50859</v>
      </c>
      <c r="D100" s="76" t="n">
        <f aca="false">IF(INT(MAX(0,C100))&lt;=12348,0,IF(INT(MAX(0,C100))&lt;=17799,(914.51*((INT(MAX(0,C100))-12348)/10000)+1400)*((INT(MAX(0,C100))-12348)/10000),IF(INT(MAX(0,C100))&lt;=69878,(173.1*((INT(MAX(0,C100))-17799)/10000)+2397)*((INT(MAX(0,C100))-17799)/10000)+1034.87,IF(INT(MAX(0,C100))&lt;=277825,0.42*INT(MAX(0,C100))-11135.63,0.45*INT(MAX(0,C100))-19470.38))))</f>
        <v>10851.2719916</v>
      </c>
      <c r="E100" s="76" t="n">
        <f aca="false">A100-B100-D100</f>
        <v>40043.7280084</v>
      </c>
      <c r="F100" s="94" t="n">
        <f aca="false">MAX(0,A100-B100-'Plan-Annahmen'!$B$75*12-'Plan-Annahmen'!$B$89)</f>
        <v>47259</v>
      </c>
      <c r="G100" s="76" t="n">
        <f aca="false">IF(INT(MAX(0,F100))&lt;=12348,0,IF(INT(MAX(0,F100))&lt;=17799,(914.51*((INT(MAX(0,F100))-12348)/10000)+1400)*((INT(MAX(0,F100))-12348)/10000),IF(INT(MAX(0,F100))&lt;=69878,(173.1*((INT(MAX(0,F100))-17799)/10000)+2397)*((INT(MAX(0,F100))-17799)/10000)+1034.87,IF(INT(MAX(0,F100))&lt;=277825,0.42*INT(MAX(0,F100))-11135.63,0.45*INT(MAX(0,F100))-19470.38))))</f>
        <v>9598.7523596</v>
      </c>
      <c r="H100" s="76" t="n">
        <f aca="false">A100-B100-G100-'Plan-Annahmen'!$B$75*12</f>
        <v>37696.2476404</v>
      </c>
    </row>
    <row r="101" customFormat="false" ht="15" hidden="false" customHeight="false" outlineLevel="0" collapsed="false">
      <c r="A101" s="96" t="n">
        <v>66000</v>
      </c>
      <c r="B101" s="94" t="n">
        <f aca="false">MIN(MAX(A101/12,'Plan-Annahmen'!$B$87),'Plan-Annahmen'!$B$88)*12*('Plan-Annahmen'!$B$84+'Plan-Annahmen'!$B$85+'Plan-Annahmen'!$B$86)</f>
        <v>14322</v>
      </c>
      <c r="C101" s="94" t="n">
        <f aca="false">MAX(0,A101-B101-'Plan-Annahmen'!$B$89)</f>
        <v>51642</v>
      </c>
      <c r="D101" s="76" t="n">
        <f aca="false">IF(INT(MAX(0,C101))&lt;=12348,0,IF(INT(MAX(0,C101))&lt;=17799,(914.51*((INT(MAX(0,C101))-12348)/10000)+1400)*((INT(MAX(0,C101))-12348)/10000),IF(INT(MAX(0,C101))&lt;=69878,(173.1*((INT(MAX(0,C101))-17799)/10000)+2397)*((INT(MAX(0,C101))-17799)/10000)+1034.87,IF(INT(MAX(0,C101))&lt;=277825,0.42*INT(MAX(0,C101))-11135.63,0.45*INT(MAX(0,C101))-19470.38))))</f>
        <v>11129.635611419</v>
      </c>
      <c r="E101" s="76" t="n">
        <f aca="false">A101-B101-D101</f>
        <v>40548.364388581</v>
      </c>
      <c r="F101" s="94" t="n">
        <f aca="false">MAX(0,A101-B101-'Plan-Annahmen'!$B$75*12-'Plan-Annahmen'!$B$89)</f>
        <v>48042</v>
      </c>
      <c r="G101" s="76" t="n">
        <f aca="false">IF(INT(MAX(0,F101))&lt;=12348,0,IF(INT(MAX(0,F101))&lt;=17799,(914.51*((INT(MAX(0,F101))-12348)/10000)+1400)*((INT(MAX(0,F101))-12348)/10000),IF(INT(MAX(0,F101))&lt;=69878,(173.1*((INT(MAX(0,F101))-17799)/10000)+2397)*((INT(MAX(0,F101))-17799)/10000)+1034.87,IF(INT(MAX(0,F101))&lt;=277825,0.42*INT(MAX(0,F101))-11135.63,0.45*INT(MAX(0,F101))-19470.38))))</f>
        <v>9867.357293819</v>
      </c>
      <c r="H101" s="76" t="n">
        <f aca="false">A101-B101-G101-'Plan-Annahmen'!$B$75*12</f>
        <v>38210.642706181</v>
      </c>
    </row>
    <row r="102" customFormat="false" ht="15" hidden="false" customHeight="false" outlineLevel="0" collapsed="false">
      <c r="A102" s="96" t="n">
        <v>67000</v>
      </c>
      <c r="B102" s="94" t="n">
        <f aca="false">MIN(MAX(A102/12,'Plan-Annahmen'!$B$87),'Plan-Annahmen'!$B$88)*12*('Plan-Annahmen'!$B$84+'Plan-Annahmen'!$B$85+'Plan-Annahmen'!$B$86)</f>
        <v>14539</v>
      </c>
      <c r="C102" s="94" t="n">
        <f aca="false">MAX(0,A102-B102-'Plan-Annahmen'!$B$89)</f>
        <v>52425</v>
      </c>
      <c r="D102" s="76" t="n">
        <f aca="false">IF(INT(MAX(0,C102))&lt;=12348,0,IF(INT(MAX(0,C102))&lt;=17799,(914.51*((INT(MAX(0,C102))-12348)/10000)+1400)*((INT(MAX(0,C102))-12348)/10000),IF(INT(MAX(0,C102))&lt;=69878,(173.1*((INT(MAX(0,C102))-17799)/10000)+2397)*((INT(MAX(0,C102))-17799)/10000)+1034.87,IF(INT(MAX(0,C102))&lt;=277825,0.42*INT(MAX(0,C102))-11135.63,0.45*INT(MAX(0,C102))-19470.38))))</f>
        <v>11410.121745356</v>
      </c>
      <c r="E102" s="76" t="n">
        <f aca="false">A102-B102-D102</f>
        <v>41050.878254644</v>
      </c>
      <c r="F102" s="94" t="n">
        <f aca="false">MAX(0,A102-B102-'Plan-Annahmen'!$B$75*12-'Plan-Annahmen'!$B$89)</f>
        <v>48825</v>
      </c>
      <c r="G102" s="76" t="n">
        <f aca="false">IF(INT(MAX(0,F102))&lt;=12348,0,IF(INT(MAX(0,F102))&lt;=17799,(914.51*((INT(MAX(0,F102))-12348)/10000)+1400)*((INT(MAX(0,F102))-12348)/10000),IF(INT(MAX(0,F102))&lt;=69878,(173.1*((INT(MAX(0,F102))-17799)/10000)+2397)*((INT(MAX(0,F102))-17799)/10000)+1034.87,IF(INT(MAX(0,F102))&lt;=277825,0.42*INT(MAX(0,F102))-11135.63,0.45*INT(MAX(0,F102))-19470.38))))</f>
        <v>10138.084742156</v>
      </c>
      <c r="H102" s="76" t="n">
        <f aca="false">A102-B102-G102-'Plan-Annahmen'!$B$75*12</f>
        <v>38722.915257844</v>
      </c>
    </row>
    <row r="103" customFormat="false" ht="15" hidden="false" customHeight="false" outlineLevel="0" collapsed="false">
      <c r="A103" s="96" t="n">
        <v>68000</v>
      </c>
      <c r="B103" s="94" t="n">
        <f aca="false">MIN(MAX(A103/12,'Plan-Annahmen'!$B$87),'Plan-Annahmen'!$B$88)*12*('Plan-Annahmen'!$B$84+'Plan-Annahmen'!$B$85+'Plan-Annahmen'!$B$86)</f>
        <v>14756</v>
      </c>
      <c r="C103" s="94" t="n">
        <f aca="false">MAX(0,A103-B103-'Plan-Annahmen'!$B$89)</f>
        <v>53208</v>
      </c>
      <c r="D103" s="76" t="n">
        <f aca="false">IF(INT(MAX(0,C103))&lt;=12348,0,IF(INT(MAX(0,C103))&lt;=17799,(914.51*((INT(MAX(0,C103))-12348)/10000)+1400)*((INT(MAX(0,C103))-12348)/10000),IF(INT(MAX(0,C103))&lt;=69878,(173.1*((INT(MAX(0,C103))-17799)/10000)+2397)*((INT(MAX(0,C103))-17799)/10000)+1034.87,IF(INT(MAX(0,C103))&lt;=277825,0.42*INT(MAX(0,C103))-11135.63,0.45*INT(MAX(0,C103))-19470.38))))</f>
        <v>11692.730393411</v>
      </c>
      <c r="E103" s="76" t="n">
        <f aca="false">A103-B103-D103</f>
        <v>41551.269606589</v>
      </c>
      <c r="F103" s="94" t="n">
        <f aca="false">MAX(0,A103-B103-'Plan-Annahmen'!$B$75*12-'Plan-Annahmen'!$B$89)</f>
        <v>49608</v>
      </c>
      <c r="G103" s="76" t="n">
        <f aca="false">IF(INT(MAX(0,F103))&lt;=12348,0,IF(INT(MAX(0,F103))&lt;=17799,(914.51*((INT(MAX(0,F103))-12348)/10000)+1400)*((INT(MAX(0,F103))-12348)/10000),IF(INT(MAX(0,F103))&lt;=69878,(173.1*((INT(MAX(0,F103))-17799)/10000)+2397)*((INT(MAX(0,F103))-17799)/10000)+1034.87,IF(INT(MAX(0,F103))&lt;=277825,0.42*INT(MAX(0,F103))-11135.63,0.45*INT(MAX(0,F103))-19470.38))))</f>
        <v>10410.934704611</v>
      </c>
      <c r="H103" s="76" t="n">
        <f aca="false">A103-B103-G103-'Plan-Annahmen'!$B$75*12</f>
        <v>39233.065295389</v>
      </c>
    </row>
    <row r="104" customFormat="false" ht="15" hidden="false" customHeight="false" outlineLevel="0" collapsed="false">
      <c r="A104" s="96" t="n">
        <v>69000</v>
      </c>
      <c r="B104" s="94" t="n">
        <f aca="false">MIN(MAX(A104/12,'Plan-Annahmen'!$B$87),'Plan-Annahmen'!$B$88)*12*('Plan-Annahmen'!$B$84+'Plan-Annahmen'!$B$85+'Plan-Annahmen'!$B$86)</f>
        <v>14973</v>
      </c>
      <c r="C104" s="94" t="n">
        <f aca="false">MAX(0,A104-B104-'Plan-Annahmen'!$B$89)</f>
        <v>53991</v>
      </c>
      <c r="D104" s="76" t="n">
        <f aca="false">IF(INT(MAX(0,C104))&lt;=12348,0,IF(INT(MAX(0,C104))&lt;=17799,(914.51*((INT(MAX(0,C104))-12348)/10000)+1400)*((INT(MAX(0,C104))-12348)/10000),IF(INT(MAX(0,C104))&lt;=69878,(173.1*((INT(MAX(0,C104))-17799)/10000)+2397)*((INT(MAX(0,C104))-17799)/10000)+1034.87,IF(INT(MAX(0,C104))&lt;=277825,0.42*INT(MAX(0,C104))-11135.63,0.45*INT(MAX(0,C104))-19470.38))))</f>
        <v>11977.461555584</v>
      </c>
      <c r="E104" s="76" t="n">
        <f aca="false">A104-B104-D104</f>
        <v>42049.538444416</v>
      </c>
      <c r="F104" s="94" t="n">
        <f aca="false">MAX(0,A104-B104-'Plan-Annahmen'!$B$75*12-'Plan-Annahmen'!$B$89)</f>
        <v>50391</v>
      </c>
      <c r="G104" s="76" t="n">
        <f aca="false">IF(INT(MAX(0,F104))&lt;=12348,0,IF(INT(MAX(0,F104))&lt;=17799,(914.51*((INT(MAX(0,F104))-12348)/10000)+1400)*((INT(MAX(0,F104))-12348)/10000),IF(INT(MAX(0,F104))&lt;=69878,(173.1*((INT(MAX(0,F104))-17799)/10000)+2397)*((INT(MAX(0,F104))-17799)/10000)+1034.87,IF(INT(MAX(0,F104))&lt;=277825,0.42*INT(MAX(0,F104))-11135.63,0.45*INT(MAX(0,F104))-19470.38))))</f>
        <v>10685.907181184</v>
      </c>
      <c r="H104" s="76" t="n">
        <f aca="false">A104-B104-G104-'Plan-Annahmen'!$B$75*12</f>
        <v>39741.092818816</v>
      </c>
    </row>
    <row r="105" customFormat="false" ht="15" hidden="false" customHeight="false" outlineLevel="0" collapsed="false">
      <c r="A105" s="96" t="n">
        <v>70000</v>
      </c>
      <c r="B105" s="94" t="n">
        <f aca="false">MIN(MAX(A105/12,'Plan-Annahmen'!$B$87),'Plan-Annahmen'!$B$88)*12*('Plan-Annahmen'!$B$84+'Plan-Annahmen'!$B$85+'Plan-Annahmen'!$B$86)</f>
        <v>15135.75</v>
      </c>
      <c r="C105" s="94" t="n">
        <f aca="false">MAX(0,A105-B105-'Plan-Annahmen'!$B$89)</f>
        <v>54828.25</v>
      </c>
      <c r="D105" s="76" t="n">
        <f aca="false">IF(INT(MAX(0,C105))&lt;=12348,0,IF(INT(MAX(0,C105))&lt;=17799,(914.51*((INT(MAX(0,C105))-12348)/10000)+1400)*((INT(MAX(0,C105))-12348)/10000),IF(INT(MAX(0,C105))&lt;=69878,(173.1*((INT(MAX(0,C105))-17799)/10000)+2397)*((INT(MAX(0,C105))-17799)/10000)+1034.87,IF(INT(MAX(0,C105))&lt;=277825,0.42*INT(MAX(0,C105))-11135.63,0.45*INT(MAX(0,C105))-19470.38))))</f>
        <v>12284.176481771</v>
      </c>
      <c r="E105" s="76" t="n">
        <f aca="false">A105-B105-D105</f>
        <v>42580.073518229</v>
      </c>
      <c r="F105" s="94" t="n">
        <f aca="false">MAX(0,A105-B105-'Plan-Annahmen'!$B$75*12-'Plan-Annahmen'!$B$89)</f>
        <v>51228.25</v>
      </c>
      <c r="G105" s="76" t="n">
        <f aca="false">IF(INT(MAX(0,F105))&lt;=12348,0,IF(INT(MAX(0,F105))&lt;=17799,(914.51*((INT(MAX(0,F105))-12348)/10000)+1400)*((INT(MAX(0,F105))-12348)/10000),IF(INT(MAX(0,F105))&lt;=69878,(173.1*((INT(MAX(0,F105))-17799)/10000)+2397)*((INT(MAX(0,F105))-17799)/10000)+1034.87,IF(INT(MAX(0,F105))&lt;=277825,0.42*INT(MAX(0,F105))-11135.63,0.45*INT(MAX(0,F105))-19470.38))))</f>
        <v>10982.190408971</v>
      </c>
      <c r="H105" s="76" t="n">
        <f aca="false">A105-B105-G105-'Plan-Annahmen'!$B$75*12</f>
        <v>40282.059591029</v>
      </c>
    </row>
    <row r="106" customFormat="false" ht="15" hidden="false" customHeight="false" outlineLevel="0" collapsed="false">
      <c r="A106" s="96" t="n">
        <v>71000</v>
      </c>
      <c r="B106" s="94" t="n">
        <f aca="false">MIN(MAX(A106/12,'Plan-Annahmen'!$B$87),'Plan-Annahmen'!$B$88)*12*('Plan-Annahmen'!$B$84+'Plan-Annahmen'!$B$85+'Plan-Annahmen'!$B$86)</f>
        <v>15135.75</v>
      </c>
      <c r="C106" s="94" t="n">
        <f aca="false">MAX(0,A106-B106-'Plan-Annahmen'!$B$89)</f>
        <v>55828.25</v>
      </c>
      <c r="D106" s="76" t="n">
        <f aca="false">IF(INT(MAX(0,C106))&lt;=12348,0,IF(INT(MAX(0,C106))&lt;=17799,(914.51*((INT(MAX(0,C106))-12348)/10000)+1400)*((INT(MAX(0,C106))-12348)/10000),IF(INT(MAX(0,C106))&lt;=69878,(173.1*((INT(MAX(0,C106))-17799)/10000)+2397)*((INT(MAX(0,C106))-17799)/10000)+1034.87,IF(INT(MAX(0,C106))&lt;=277825,0.42*INT(MAX(0,C106))-11135.63,0.45*INT(MAX(0,C106))-19470.38))))</f>
        <v>12653.801879771</v>
      </c>
      <c r="E106" s="76" t="n">
        <f aca="false">A106-B106-D106</f>
        <v>43210.448120229</v>
      </c>
      <c r="F106" s="94" t="n">
        <f aca="false">MAX(0,A106-B106-'Plan-Annahmen'!$B$75*12-'Plan-Annahmen'!$B$89)</f>
        <v>52228.25</v>
      </c>
      <c r="G106" s="76" t="n">
        <f aca="false">IF(INT(MAX(0,F106))&lt;=12348,0,IF(INT(MAX(0,F106))&lt;=17799,(914.51*((INT(MAX(0,F106))-12348)/10000)+1400)*((INT(MAX(0,F106))-12348)/10000),IF(INT(MAX(0,F106))&lt;=69878,(173.1*((INT(MAX(0,F106))-17799)/10000)+2397)*((INT(MAX(0,F106))-17799)/10000)+1034.87,IF(INT(MAX(0,F106))&lt;=277825,0.42*INT(MAX(0,F106))-11135.63,0.45*INT(MAX(0,F106))-19470.38))))</f>
        <v>11339.352606971</v>
      </c>
      <c r="H106" s="76" t="n">
        <f aca="false">A106-B106-G106-'Plan-Annahmen'!$B$75*12</f>
        <v>40924.897393029</v>
      </c>
    </row>
    <row r="107" customFormat="false" ht="15" hidden="false" customHeight="false" outlineLevel="0" collapsed="false">
      <c r="A107" s="96" t="n">
        <v>72000</v>
      </c>
      <c r="B107" s="94" t="n">
        <f aca="false">MIN(MAX(A107/12,'Plan-Annahmen'!$B$87),'Plan-Annahmen'!$B$88)*12*('Plan-Annahmen'!$B$84+'Plan-Annahmen'!$B$85+'Plan-Annahmen'!$B$86)</f>
        <v>15135.75</v>
      </c>
      <c r="C107" s="94" t="n">
        <f aca="false">MAX(0,A107-B107-'Plan-Annahmen'!$B$89)</f>
        <v>56828.25</v>
      </c>
      <c r="D107" s="76" t="n">
        <f aca="false">IF(INT(MAX(0,C107))&lt;=12348,0,IF(INT(MAX(0,C107))&lt;=17799,(914.51*((INT(MAX(0,C107))-12348)/10000)+1400)*((INT(MAX(0,C107))-12348)/10000),IF(INT(MAX(0,C107))&lt;=69878,(173.1*((INT(MAX(0,C107))-17799)/10000)+2397)*((INT(MAX(0,C107))-17799)/10000)+1034.87,IF(INT(MAX(0,C107))&lt;=277825,0.42*INT(MAX(0,C107))-11135.63,0.45*INT(MAX(0,C107))-19470.38))))</f>
        <v>13026.889277771</v>
      </c>
      <c r="E107" s="76" t="n">
        <f aca="false">A107-B107-D107</f>
        <v>43837.360722229</v>
      </c>
      <c r="F107" s="94" t="n">
        <f aca="false">MAX(0,A107-B107-'Plan-Annahmen'!$B$75*12-'Plan-Annahmen'!$B$89)</f>
        <v>53228.25</v>
      </c>
      <c r="G107" s="76" t="n">
        <f aca="false">IF(INT(MAX(0,F107))&lt;=12348,0,IF(INT(MAX(0,F107))&lt;=17799,(914.51*((INT(MAX(0,F107))-12348)/10000)+1400)*((INT(MAX(0,F107))-12348)/10000),IF(INT(MAX(0,F107))&lt;=69878,(173.1*((INT(MAX(0,F107))-17799)/10000)+2397)*((INT(MAX(0,F107))-17799)/10000)+1034.87,IF(INT(MAX(0,F107))&lt;=277825,0.42*INT(MAX(0,F107))-11135.63,0.45*INT(MAX(0,F107))-19470.38))))</f>
        <v>11699.976804971</v>
      </c>
      <c r="H107" s="76" t="n">
        <f aca="false">A107-B107-G107-'Plan-Annahmen'!$B$75*12</f>
        <v>41564.273195029</v>
      </c>
    </row>
    <row r="108" customFormat="false" ht="15" hidden="false" customHeight="false" outlineLevel="0" collapsed="false">
      <c r="A108" s="96" t="n">
        <v>73000</v>
      </c>
      <c r="B108" s="94" t="n">
        <f aca="false">MIN(MAX(A108/12,'Plan-Annahmen'!$B$87),'Plan-Annahmen'!$B$88)*12*('Plan-Annahmen'!$B$84+'Plan-Annahmen'!$B$85+'Plan-Annahmen'!$B$86)</f>
        <v>15135.75</v>
      </c>
      <c r="C108" s="94" t="n">
        <f aca="false">MAX(0,A108-B108-'Plan-Annahmen'!$B$89)</f>
        <v>57828.25</v>
      </c>
      <c r="D108" s="76" t="n">
        <f aca="false">IF(INT(MAX(0,C108))&lt;=12348,0,IF(INT(MAX(0,C108))&lt;=17799,(914.51*((INT(MAX(0,C108))-12348)/10000)+1400)*((INT(MAX(0,C108))-12348)/10000),IF(INT(MAX(0,C108))&lt;=69878,(173.1*((INT(MAX(0,C108))-17799)/10000)+2397)*((INT(MAX(0,C108))-17799)/10000)+1034.87,IF(INT(MAX(0,C108))&lt;=277825,0.42*INT(MAX(0,C108))-11135.63,0.45*INT(MAX(0,C108))-19470.38))))</f>
        <v>13403.438675771</v>
      </c>
      <c r="E108" s="76" t="n">
        <f aca="false">A108-B108-D108</f>
        <v>44460.811324229</v>
      </c>
      <c r="F108" s="94" t="n">
        <f aca="false">MAX(0,A108-B108-'Plan-Annahmen'!$B$75*12-'Plan-Annahmen'!$B$89)</f>
        <v>54228.25</v>
      </c>
      <c r="G108" s="76" t="n">
        <f aca="false">IF(INT(MAX(0,F108))&lt;=12348,0,IF(INT(MAX(0,F108))&lt;=17799,(914.51*((INT(MAX(0,F108))-12348)/10000)+1400)*((INT(MAX(0,F108))-12348)/10000),IF(INT(MAX(0,F108))&lt;=69878,(173.1*((INT(MAX(0,F108))-17799)/10000)+2397)*((INT(MAX(0,F108))-17799)/10000)+1034.87,IF(INT(MAX(0,F108))&lt;=277825,0.42*INT(MAX(0,F108))-11135.63,0.45*INT(MAX(0,F108))-19470.38))))</f>
        <v>12064.063002971</v>
      </c>
      <c r="H108" s="76" t="n">
        <f aca="false">A108-B108-G108-'Plan-Annahmen'!$B$75*12</f>
        <v>42200.186997029</v>
      </c>
    </row>
    <row r="109" customFormat="false" ht="15" hidden="false" customHeight="false" outlineLevel="0" collapsed="false">
      <c r="A109" s="96" t="n">
        <v>74000</v>
      </c>
      <c r="B109" s="94" t="n">
        <f aca="false">MIN(MAX(A109/12,'Plan-Annahmen'!$B$87),'Plan-Annahmen'!$B$88)*12*('Plan-Annahmen'!$B$84+'Plan-Annahmen'!$B$85+'Plan-Annahmen'!$B$86)</f>
        <v>15135.75</v>
      </c>
      <c r="C109" s="94" t="n">
        <f aca="false">MAX(0,A109-B109-'Plan-Annahmen'!$B$89)</f>
        <v>58828.25</v>
      </c>
      <c r="D109" s="76" t="n">
        <f aca="false">IF(INT(MAX(0,C109))&lt;=12348,0,IF(INT(MAX(0,C109))&lt;=17799,(914.51*((INT(MAX(0,C109))-12348)/10000)+1400)*((INT(MAX(0,C109))-12348)/10000),IF(INT(MAX(0,C109))&lt;=69878,(173.1*((INT(MAX(0,C109))-17799)/10000)+2397)*((INT(MAX(0,C109))-17799)/10000)+1034.87,IF(INT(MAX(0,C109))&lt;=277825,0.42*INT(MAX(0,C109))-11135.63,0.45*INT(MAX(0,C109))-19470.38))))</f>
        <v>13783.450073771</v>
      </c>
      <c r="E109" s="76" t="n">
        <f aca="false">A109-B109-D109</f>
        <v>45080.799926229</v>
      </c>
      <c r="F109" s="94" t="n">
        <f aca="false">MAX(0,A109-B109-'Plan-Annahmen'!$B$75*12-'Plan-Annahmen'!$B$89)</f>
        <v>55228.25</v>
      </c>
      <c r="G109" s="76" t="n">
        <f aca="false">IF(INT(MAX(0,F109))&lt;=12348,0,IF(INT(MAX(0,F109))&lt;=17799,(914.51*((INT(MAX(0,F109))-12348)/10000)+1400)*((INT(MAX(0,F109))-12348)/10000),IF(INT(MAX(0,F109))&lt;=69878,(173.1*((INT(MAX(0,F109))-17799)/10000)+2397)*((INT(MAX(0,F109))-17799)/10000)+1034.87,IF(INT(MAX(0,F109))&lt;=277825,0.42*INT(MAX(0,F109))-11135.63,0.45*INT(MAX(0,F109))-19470.38))))</f>
        <v>12431.611200971</v>
      </c>
      <c r="H109" s="76" t="n">
        <f aca="false">A109-B109-G109-'Plan-Annahmen'!$B$75*12</f>
        <v>42832.638799029</v>
      </c>
    </row>
    <row r="110" customFormat="false" ht="15" hidden="false" customHeight="false" outlineLevel="0" collapsed="false">
      <c r="A110" s="96" t="n">
        <v>75000</v>
      </c>
      <c r="B110" s="94" t="n">
        <f aca="false">MIN(MAX(A110/12,'Plan-Annahmen'!$B$87),'Plan-Annahmen'!$B$88)*12*('Plan-Annahmen'!$B$84+'Plan-Annahmen'!$B$85+'Plan-Annahmen'!$B$86)</f>
        <v>15135.75</v>
      </c>
      <c r="C110" s="94" t="n">
        <f aca="false">MAX(0,A110-B110-'Plan-Annahmen'!$B$89)</f>
        <v>59828.25</v>
      </c>
      <c r="D110" s="76" t="n">
        <f aca="false">IF(INT(MAX(0,C110))&lt;=12348,0,IF(INT(MAX(0,C110))&lt;=17799,(914.51*((INT(MAX(0,C110))-12348)/10000)+1400)*((INT(MAX(0,C110))-12348)/10000),IF(INT(MAX(0,C110))&lt;=69878,(173.1*((INT(MAX(0,C110))-17799)/10000)+2397)*((INT(MAX(0,C110))-17799)/10000)+1034.87,IF(INT(MAX(0,C110))&lt;=277825,0.42*INT(MAX(0,C110))-11135.63,0.45*INT(MAX(0,C110))-19470.38))))</f>
        <v>14166.923471771</v>
      </c>
      <c r="E110" s="76" t="n">
        <f aca="false">A110-B110-D110</f>
        <v>45697.326528229</v>
      </c>
      <c r="F110" s="94" t="n">
        <f aca="false">MAX(0,A110-B110-'Plan-Annahmen'!$B$75*12-'Plan-Annahmen'!$B$89)</f>
        <v>56228.25</v>
      </c>
      <c r="G110" s="76" t="n">
        <f aca="false">IF(INT(MAX(0,F110))&lt;=12348,0,IF(INT(MAX(0,F110))&lt;=17799,(914.51*((INT(MAX(0,F110))-12348)/10000)+1400)*((INT(MAX(0,F110))-12348)/10000),IF(INT(MAX(0,F110))&lt;=69878,(173.1*((INT(MAX(0,F110))-17799)/10000)+2397)*((INT(MAX(0,F110))-17799)/10000)+1034.87,IF(INT(MAX(0,F110))&lt;=277825,0.42*INT(MAX(0,F110))-11135.63,0.45*INT(MAX(0,F110))-19470.38))))</f>
        <v>12802.621398971</v>
      </c>
      <c r="H110" s="76" t="n">
        <f aca="false">A110-B110-G110-'Plan-Annahmen'!$B$75*12</f>
        <v>43461.628601029</v>
      </c>
    </row>
    <row r="111" customFormat="false" ht="15" hidden="false" customHeight="false" outlineLevel="0" collapsed="false">
      <c r="A111" s="96" t="n">
        <v>76000</v>
      </c>
      <c r="B111" s="94" t="n">
        <f aca="false">MIN(MAX(A111/12,'Plan-Annahmen'!$B$87),'Plan-Annahmen'!$B$88)*12*('Plan-Annahmen'!$B$84+'Plan-Annahmen'!$B$85+'Plan-Annahmen'!$B$86)</f>
        <v>15135.75</v>
      </c>
      <c r="C111" s="94" t="n">
        <f aca="false">MAX(0,A111-B111-'Plan-Annahmen'!$B$89)</f>
        <v>60828.25</v>
      </c>
      <c r="D111" s="76" t="n">
        <f aca="false">IF(INT(MAX(0,C111))&lt;=12348,0,IF(INT(MAX(0,C111))&lt;=17799,(914.51*((INT(MAX(0,C111))-12348)/10000)+1400)*((INT(MAX(0,C111))-12348)/10000),IF(INT(MAX(0,C111))&lt;=69878,(173.1*((INT(MAX(0,C111))-17799)/10000)+2397)*((INT(MAX(0,C111))-17799)/10000)+1034.87,IF(INT(MAX(0,C111))&lt;=277825,0.42*INT(MAX(0,C111))-11135.63,0.45*INT(MAX(0,C111))-19470.38))))</f>
        <v>14553.858869771</v>
      </c>
      <c r="E111" s="76" t="n">
        <f aca="false">A111-B111-D111</f>
        <v>46310.391130229</v>
      </c>
      <c r="F111" s="94" t="n">
        <f aca="false">MAX(0,A111-B111-'Plan-Annahmen'!$B$75*12-'Plan-Annahmen'!$B$89)</f>
        <v>57228.25</v>
      </c>
      <c r="G111" s="76" t="n">
        <f aca="false">IF(INT(MAX(0,F111))&lt;=12348,0,IF(INT(MAX(0,F111))&lt;=17799,(914.51*((INT(MAX(0,F111))-12348)/10000)+1400)*((INT(MAX(0,F111))-12348)/10000),IF(INT(MAX(0,F111))&lt;=69878,(173.1*((INT(MAX(0,F111))-17799)/10000)+2397)*((INT(MAX(0,F111))-17799)/10000)+1034.87,IF(INT(MAX(0,F111))&lt;=277825,0.42*INT(MAX(0,F111))-11135.63,0.45*INT(MAX(0,F111))-19470.38))))</f>
        <v>13177.093596971</v>
      </c>
      <c r="H111" s="76" t="n">
        <f aca="false">A111-B111-G111-'Plan-Annahmen'!$B$75*12</f>
        <v>44087.156403029</v>
      </c>
    </row>
    <row r="112" customFormat="false" ht="15" hidden="false" customHeight="false" outlineLevel="0" collapsed="false">
      <c r="A112" s="96" t="n">
        <v>77000</v>
      </c>
      <c r="B112" s="94" t="n">
        <f aca="false">MIN(MAX(A112/12,'Plan-Annahmen'!$B$87),'Plan-Annahmen'!$B$88)*12*('Plan-Annahmen'!$B$84+'Plan-Annahmen'!$B$85+'Plan-Annahmen'!$B$86)</f>
        <v>15135.75</v>
      </c>
      <c r="C112" s="94" t="n">
        <f aca="false">MAX(0,A112-B112-'Plan-Annahmen'!$B$89)</f>
        <v>61828.25</v>
      </c>
      <c r="D112" s="76" t="n">
        <f aca="false">IF(INT(MAX(0,C112))&lt;=12348,0,IF(INT(MAX(0,C112))&lt;=17799,(914.51*((INT(MAX(0,C112))-12348)/10000)+1400)*((INT(MAX(0,C112))-12348)/10000),IF(INT(MAX(0,C112))&lt;=69878,(173.1*((INT(MAX(0,C112))-17799)/10000)+2397)*((INT(MAX(0,C112))-17799)/10000)+1034.87,IF(INT(MAX(0,C112))&lt;=277825,0.42*INT(MAX(0,C112))-11135.63,0.45*INT(MAX(0,C112))-19470.38))))</f>
        <v>14944.256267771</v>
      </c>
      <c r="E112" s="76" t="n">
        <f aca="false">A112-B112-D112</f>
        <v>46919.993732229</v>
      </c>
      <c r="F112" s="94" t="n">
        <f aca="false">MAX(0,A112-B112-'Plan-Annahmen'!$B$75*12-'Plan-Annahmen'!$B$89)</f>
        <v>58228.25</v>
      </c>
      <c r="G112" s="76" t="n">
        <f aca="false">IF(INT(MAX(0,F112))&lt;=12348,0,IF(INT(MAX(0,F112))&lt;=17799,(914.51*((INT(MAX(0,F112))-12348)/10000)+1400)*((INT(MAX(0,F112))-12348)/10000),IF(INT(MAX(0,F112))&lt;=69878,(173.1*((INT(MAX(0,F112))-17799)/10000)+2397)*((INT(MAX(0,F112))-17799)/10000)+1034.87,IF(INT(MAX(0,F112))&lt;=277825,0.42*INT(MAX(0,F112))-11135.63,0.45*INT(MAX(0,F112))-19470.38))))</f>
        <v>13555.027794971</v>
      </c>
      <c r="H112" s="76" t="n">
        <f aca="false">A112-B112-G112-'Plan-Annahmen'!$B$75*12</f>
        <v>44709.222205029</v>
      </c>
    </row>
    <row r="113" customFormat="false" ht="15" hidden="false" customHeight="false" outlineLevel="0" collapsed="false">
      <c r="A113" s="96" t="n">
        <v>78000</v>
      </c>
      <c r="B113" s="94" t="n">
        <f aca="false">MIN(MAX(A113/12,'Plan-Annahmen'!$B$87),'Plan-Annahmen'!$B$88)*12*('Plan-Annahmen'!$B$84+'Plan-Annahmen'!$B$85+'Plan-Annahmen'!$B$86)</f>
        <v>15135.75</v>
      </c>
      <c r="C113" s="94" t="n">
        <f aca="false">MAX(0,A113-B113-'Plan-Annahmen'!$B$89)</f>
        <v>62828.25</v>
      </c>
      <c r="D113" s="76" t="n">
        <f aca="false">IF(INT(MAX(0,C113))&lt;=12348,0,IF(INT(MAX(0,C113))&lt;=17799,(914.51*((INT(MAX(0,C113))-12348)/10000)+1400)*((INT(MAX(0,C113))-12348)/10000),IF(INT(MAX(0,C113))&lt;=69878,(173.1*((INT(MAX(0,C113))-17799)/10000)+2397)*((INT(MAX(0,C113))-17799)/10000)+1034.87,IF(INT(MAX(0,C113))&lt;=277825,0.42*INT(MAX(0,C113))-11135.63,0.45*INT(MAX(0,C113))-19470.38))))</f>
        <v>15338.115665771</v>
      </c>
      <c r="E113" s="76" t="n">
        <f aca="false">A113-B113-D113</f>
        <v>47526.134334229</v>
      </c>
      <c r="F113" s="94" t="n">
        <f aca="false">MAX(0,A113-B113-'Plan-Annahmen'!$B$75*12-'Plan-Annahmen'!$B$89)</f>
        <v>59228.25</v>
      </c>
      <c r="G113" s="76" t="n">
        <f aca="false">IF(INT(MAX(0,F113))&lt;=12348,0,IF(INT(MAX(0,F113))&lt;=17799,(914.51*((INT(MAX(0,F113))-12348)/10000)+1400)*((INT(MAX(0,F113))-12348)/10000),IF(INT(MAX(0,F113))&lt;=69878,(173.1*((INT(MAX(0,F113))-17799)/10000)+2397)*((INT(MAX(0,F113))-17799)/10000)+1034.87,IF(INT(MAX(0,F113))&lt;=277825,0.42*INT(MAX(0,F113))-11135.63,0.45*INT(MAX(0,F113))-19470.38))))</f>
        <v>13936.423992971</v>
      </c>
      <c r="H113" s="76" t="n">
        <f aca="false">A113-B113-G113-'Plan-Annahmen'!$B$75*12</f>
        <v>45327.826007029</v>
      </c>
    </row>
    <row r="114" customFormat="false" ht="15" hidden="false" customHeight="false" outlineLevel="0" collapsed="false">
      <c r="A114" s="96" t="n">
        <v>79000</v>
      </c>
      <c r="B114" s="94" t="n">
        <f aca="false">MIN(MAX(A114/12,'Plan-Annahmen'!$B$87),'Plan-Annahmen'!$B$88)*12*('Plan-Annahmen'!$B$84+'Plan-Annahmen'!$B$85+'Plan-Annahmen'!$B$86)</f>
        <v>15135.75</v>
      </c>
      <c r="C114" s="94" t="n">
        <f aca="false">MAX(0,A114-B114-'Plan-Annahmen'!$B$89)</f>
        <v>63828.25</v>
      </c>
      <c r="D114" s="76" t="n">
        <f aca="false">IF(INT(MAX(0,C114))&lt;=12348,0,IF(INT(MAX(0,C114))&lt;=17799,(914.51*((INT(MAX(0,C114))-12348)/10000)+1400)*((INT(MAX(0,C114))-12348)/10000),IF(INT(MAX(0,C114))&lt;=69878,(173.1*((INT(MAX(0,C114))-17799)/10000)+2397)*((INT(MAX(0,C114))-17799)/10000)+1034.87,IF(INT(MAX(0,C114))&lt;=277825,0.42*INT(MAX(0,C114))-11135.63,0.45*INT(MAX(0,C114))-19470.38))))</f>
        <v>15735.437063771</v>
      </c>
      <c r="E114" s="76" t="n">
        <f aca="false">A114-B114-D114</f>
        <v>48128.812936229</v>
      </c>
      <c r="F114" s="94" t="n">
        <f aca="false">MAX(0,A114-B114-'Plan-Annahmen'!$B$75*12-'Plan-Annahmen'!$B$89)</f>
        <v>60228.25</v>
      </c>
      <c r="G114" s="76" t="n">
        <f aca="false">IF(INT(MAX(0,F114))&lt;=12348,0,IF(INT(MAX(0,F114))&lt;=17799,(914.51*((INT(MAX(0,F114))-12348)/10000)+1400)*((INT(MAX(0,F114))-12348)/10000),IF(INT(MAX(0,F114))&lt;=69878,(173.1*((INT(MAX(0,F114))-17799)/10000)+2397)*((INT(MAX(0,F114))-17799)/10000)+1034.87,IF(INT(MAX(0,F114))&lt;=277825,0.42*INT(MAX(0,F114))-11135.63,0.45*INT(MAX(0,F114))-19470.38))))</f>
        <v>14321.282190971</v>
      </c>
      <c r="H114" s="76" t="n">
        <f aca="false">A114-B114-G114-'Plan-Annahmen'!$B$75*12</f>
        <v>45942.967809029</v>
      </c>
    </row>
    <row r="115" customFormat="false" ht="15" hidden="false" customHeight="false" outlineLevel="0" collapsed="false">
      <c r="A115" s="96" t="n">
        <v>80000</v>
      </c>
      <c r="B115" s="94" t="n">
        <f aca="false">MIN(MAX(A115/12,'Plan-Annahmen'!$B$87),'Plan-Annahmen'!$B$88)*12*('Plan-Annahmen'!$B$84+'Plan-Annahmen'!$B$85+'Plan-Annahmen'!$B$86)</f>
        <v>15135.75</v>
      </c>
      <c r="C115" s="94" t="n">
        <f aca="false">MAX(0,A115-B115-'Plan-Annahmen'!$B$89)</f>
        <v>64828.25</v>
      </c>
      <c r="D115" s="76" t="n">
        <f aca="false">IF(INT(MAX(0,C115))&lt;=12348,0,IF(INT(MAX(0,C115))&lt;=17799,(914.51*((INT(MAX(0,C115))-12348)/10000)+1400)*((INT(MAX(0,C115))-12348)/10000),IF(INT(MAX(0,C115))&lt;=69878,(173.1*((INT(MAX(0,C115))-17799)/10000)+2397)*((INT(MAX(0,C115))-17799)/10000)+1034.87,IF(INT(MAX(0,C115))&lt;=277825,0.42*INT(MAX(0,C115))-11135.63,0.45*INT(MAX(0,C115))-19470.38))))</f>
        <v>16136.220461771</v>
      </c>
      <c r="E115" s="76" t="n">
        <f aca="false">A115-B115-D115</f>
        <v>48728.029538229</v>
      </c>
      <c r="F115" s="94" t="n">
        <f aca="false">MAX(0,A115-B115-'Plan-Annahmen'!$B$75*12-'Plan-Annahmen'!$B$89)</f>
        <v>61228.25</v>
      </c>
      <c r="G115" s="76" t="n">
        <f aca="false">IF(INT(MAX(0,F115))&lt;=12348,0,IF(INT(MAX(0,F115))&lt;=17799,(914.51*((INT(MAX(0,F115))-12348)/10000)+1400)*((INT(MAX(0,F115))-12348)/10000),IF(INT(MAX(0,F115))&lt;=69878,(173.1*((INT(MAX(0,F115))-17799)/10000)+2397)*((INT(MAX(0,F115))-17799)/10000)+1034.87,IF(INT(MAX(0,F115))&lt;=277825,0.42*INT(MAX(0,F115))-11135.63,0.45*INT(MAX(0,F115))-19470.38))))</f>
        <v>14709.602388971</v>
      </c>
      <c r="H115" s="76" t="n">
        <f aca="false">A115-B115-G115-'Plan-Annahmen'!$B$75*12</f>
        <v>46554.647611029</v>
      </c>
    </row>
    <row r="116" customFormat="false" ht="15" hidden="false" customHeight="false" outlineLevel="0" collapsed="false">
      <c r="A116" s="96" t="n">
        <v>81000</v>
      </c>
      <c r="B116" s="94" t="n">
        <f aca="false">MIN(MAX(A116/12,'Plan-Annahmen'!$B$87),'Plan-Annahmen'!$B$88)*12*('Plan-Annahmen'!$B$84+'Plan-Annahmen'!$B$85+'Plan-Annahmen'!$B$86)</f>
        <v>15135.75</v>
      </c>
      <c r="C116" s="94" t="n">
        <f aca="false">MAX(0,A116-B116-'Plan-Annahmen'!$B$89)</f>
        <v>65828.25</v>
      </c>
      <c r="D116" s="76" t="n">
        <f aca="false">IF(INT(MAX(0,C116))&lt;=12348,0,IF(INT(MAX(0,C116))&lt;=17799,(914.51*((INT(MAX(0,C116))-12348)/10000)+1400)*((INT(MAX(0,C116))-12348)/10000),IF(INT(MAX(0,C116))&lt;=69878,(173.1*((INT(MAX(0,C116))-17799)/10000)+2397)*((INT(MAX(0,C116))-17799)/10000)+1034.87,IF(INT(MAX(0,C116))&lt;=277825,0.42*INT(MAX(0,C116))-11135.63,0.45*INT(MAX(0,C116))-19470.38))))</f>
        <v>16540.465859771</v>
      </c>
      <c r="E116" s="76" t="n">
        <f aca="false">A116-B116-D116</f>
        <v>49323.784140229</v>
      </c>
      <c r="F116" s="94" t="n">
        <f aca="false">MAX(0,A116-B116-'Plan-Annahmen'!$B$75*12-'Plan-Annahmen'!$B$89)</f>
        <v>62228.25</v>
      </c>
      <c r="G116" s="76" t="n">
        <f aca="false">IF(INT(MAX(0,F116))&lt;=12348,0,IF(INT(MAX(0,F116))&lt;=17799,(914.51*((INT(MAX(0,F116))-12348)/10000)+1400)*((INT(MAX(0,F116))-12348)/10000),IF(INT(MAX(0,F116))&lt;=69878,(173.1*((INT(MAX(0,F116))-17799)/10000)+2397)*((INT(MAX(0,F116))-17799)/10000)+1034.87,IF(INT(MAX(0,F116))&lt;=277825,0.42*INT(MAX(0,F116))-11135.63,0.45*INT(MAX(0,F116))-19470.38))))</f>
        <v>15101.384586971</v>
      </c>
      <c r="H116" s="76" t="n">
        <f aca="false">A116-B116-G116-'Plan-Annahmen'!$B$75*12</f>
        <v>47162.865413029</v>
      </c>
    </row>
    <row r="117" customFormat="false" ht="15" hidden="false" customHeight="false" outlineLevel="0" collapsed="false">
      <c r="A117" s="96" t="n">
        <v>82000</v>
      </c>
      <c r="B117" s="94" t="n">
        <f aca="false">MIN(MAX(A117/12,'Plan-Annahmen'!$B$87),'Plan-Annahmen'!$B$88)*12*('Plan-Annahmen'!$B$84+'Plan-Annahmen'!$B$85+'Plan-Annahmen'!$B$86)</f>
        <v>15135.75</v>
      </c>
      <c r="C117" s="94" t="n">
        <f aca="false">MAX(0,A117-B117-'Plan-Annahmen'!$B$89)</f>
        <v>66828.25</v>
      </c>
      <c r="D117" s="76" t="n">
        <f aca="false">IF(INT(MAX(0,C117))&lt;=12348,0,IF(INT(MAX(0,C117))&lt;=17799,(914.51*((INT(MAX(0,C117))-12348)/10000)+1400)*((INT(MAX(0,C117))-12348)/10000),IF(INT(MAX(0,C117))&lt;=69878,(173.1*((INT(MAX(0,C117))-17799)/10000)+2397)*((INT(MAX(0,C117))-17799)/10000)+1034.87,IF(INT(MAX(0,C117))&lt;=277825,0.42*INT(MAX(0,C117))-11135.63,0.45*INT(MAX(0,C117))-19470.38))))</f>
        <v>16948.173257771</v>
      </c>
      <c r="E117" s="76" t="n">
        <f aca="false">A117-B117-D117</f>
        <v>49916.076742229</v>
      </c>
      <c r="F117" s="94" t="n">
        <f aca="false">MAX(0,A117-B117-'Plan-Annahmen'!$B$75*12-'Plan-Annahmen'!$B$89)</f>
        <v>63228.25</v>
      </c>
      <c r="G117" s="76" t="n">
        <f aca="false">IF(INT(MAX(0,F117))&lt;=12348,0,IF(INT(MAX(0,F117))&lt;=17799,(914.51*((INT(MAX(0,F117))-12348)/10000)+1400)*((INT(MAX(0,F117))-12348)/10000),IF(INT(MAX(0,F117))&lt;=69878,(173.1*((INT(MAX(0,F117))-17799)/10000)+2397)*((INT(MAX(0,F117))-17799)/10000)+1034.87,IF(INT(MAX(0,F117))&lt;=277825,0.42*INT(MAX(0,F117))-11135.63,0.45*INT(MAX(0,F117))-19470.38))))</f>
        <v>15496.628784971</v>
      </c>
      <c r="H117" s="76" t="n">
        <f aca="false">A117-B117-G117-'Plan-Annahmen'!$B$75*12</f>
        <v>47767.621215029</v>
      </c>
    </row>
    <row r="118" customFormat="false" ht="15" hidden="false" customHeight="false" outlineLevel="0" collapsed="false">
      <c r="A118" s="96" t="n">
        <v>83000</v>
      </c>
      <c r="B118" s="94" t="n">
        <f aca="false">MIN(MAX(A118/12,'Plan-Annahmen'!$B$87),'Plan-Annahmen'!$B$88)*12*('Plan-Annahmen'!$B$84+'Plan-Annahmen'!$B$85+'Plan-Annahmen'!$B$86)</f>
        <v>15135.75</v>
      </c>
      <c r="C118" s="94" t="n">
        <f aca="false">MAX(0,A118-B118-'Plan-Annahmen'!$B$89)</f>
        <v>67828.25</v>
      </c>
      <c r="D118" s="76" t="n">
        <f aca="false">IF(INT(MAX(0,C118))&lt;=12348,0,IF(INT(MAX(0,C118))&lt;=17799,(914.51*((INT(MAX(0,C118))-12348)/10000)+1400)*((INT(MAX(0,C118))-12348)/10000),IF(INT(MAX(0,C118))&lt;=69878,(173.1*((INT(MAX(0,C118))-17799)/10000)+2397)*((INT(MAX(0,C118))-17799)/10000)+1034.87,IF(INT(MAX(0,C118))&lt;=277825,0.42*INT(MAX(0,C118))-11135.63,0.45*INT(MAX(0,C118))-19470.38))))</f>
        <v>17359.342655771</v>
      </c>
      <c r="E118" s="76" t="n">
        <f aca="false">A118-B118-D118</f>
        <v>50504.907344229</v>
      </c>
      <c r="F118" s="94" t="n">
        <f aca="false">MAX(0,A118-B118-'Plan-Annahmen'!$B$75*12-'Plan-Annahmen'!$B$89)</f>
        <v>64228.25</v>
      </c>
      <c r="G118" s="76" t="n">
        <f aca="false">IF(INT(MAX(0,F118))&lt;=12348,0,IF(INT(MAX(0,F118))&lt;=17799,(914.51*((INT(MAX(0,F118))-12348)/10000)+1400)*((INT(MAX(0,F118))-12348)/10000),IF(INT(MAX(0,F118))&lt;=69878,(173.1*((INT(MAX(0,F118))-17799)/10000)+2397)*((INT(MAX(0,F118))-17799)/10000)+1034.87,IF(INT(MAX(0,F118))&lt;=277825,0.42*INT(MAX(0,F118))-11135.63,0.45*INT(MAX(0,F118))-19470.38))))</f>
        <v>15895.334982971</v>
      </c>
      <c r="H118" s="76" t="n">
        <f aca="false">A118-B118-G118-'Plan-Annahmen'!$B$75*12</f>
        <v>48368.915017029</v>
      </c>
    </row>
    <row r="119" customFormat="false" ht="15" hidden="false" customHeight="false" outlineLevel="0" collapsed="false">
      <c r="A119" s="96" t="n">
        <v>84000</v>
      </c>
      <c r="B119" s="94" t="n">
        <f aca="false">MIN(MAX(A119/12,'Plan-Annahmen'!$B$87),'Plan-Annahmen'!$B$88)*12*('Plan-Annahmen'!$B$84+'Plan-Annahmen'!$B$85+'Plan-Annahmen'!$B$86)</f>
        <v>15135.75</v>
      </c>
      <c r="C119" s="94" t="n">
        <f aca="false">MAX(0,A119-B119-'Plan-Annahmen'!$B$89)</f>
        <v>68828.25</v>
      </c>
      <c r="D119" s="76" t="n">
        <f aca="false">IF(INT(MAX(0,C119))&lt;=12348,0,IF(INT(MAX(0,C119))&lt;=17799,(914.51*((INT(MAX(0,C119))-12348)/10000)+1400)*((INT(MAX(0,C119))-12348)/10000),IF(INT(MAX(0,C119))&lt;=69878,(173.1*((INT(MAX(0,C119))-17799)/10000)+2397)*((INT(MAX(0,C119))-17799)/10000)+1034.87,IF(INT(MAX(0,C119))&lt;=277825,0.42*INT(MAX(0,C119))-11135.63,0.45*INT(MAX(0,C119))-19470.38))))</f>
        <v>17773.974053771</v>
      </c>
      <c r="E119" s="76" t="n">
        <f aca="false">A119-B119-D119</f>
        <v>51090.275946229</v>
      </c>
      <c r="F119" s="94" t="n">
        <f aca="false">MAX(0,A119-B119-'Plan-Annahmen'!$B$75*12-'Plan-Annahmen'!$B$89)</f>
        <v>65228.25</v>
      </c>
      <c r="G119" s="76" t="n">
        <f aca="false">IF(INT(MAX(0,F119))&lt;=12348,0,IF(INT(MAX(0,F119))&lt;=17799,(914.51*((INT(MAX(0,F119))-12348)/10000)+1400)*((INT(MAX(0,F119))-12348)/10000),IF(INT(MAX(0,F119))&lt;=69878,(173.1*((INT(MAX(0,F119))-17799)/10000)+2397)*((INT(MAX(0,F119))-17799)/10000)+1034.87,IF(INT(MAX(0,F119))&lt;=277825,0.42*INT(MAX(0,F119))-11135.63,0.45*INT(MAX(0,F119))-19470.38))))</f>
        <v>16297.503180971</v>
      </c>
      <c r="H119" s="76" t="n">
        <f aca="false">A119-B119-G119-'Plan-Annahmen'!$B$75*12</f>
        <v>48966.746819029</v>
      </c>
    </row>
    <row r="120" customFormat="false" ht="15" hidden="false" customHeight="false" outlineLevel="0" collapsed="false">
      <c r="A120" s="96" t="n">
        <v>85000</v>
      </c>
      <c r="B120" s="94" t="n">
        <f aca="false">MIN(MAX(A120/12,'Plan-Annahmen'!$B$87),'Plan-Annahmen'!$B$88)*12*('Plan-Annahmen'!$B$84+'Plan-Annahmen'!$B$85+'Plan-Annahmen'!$B$86)</f>
        <v>15135.75</v>
      </c>
      <c r="C120" s="94" t="n">
        <f aca="false">MAX(0,A120-B120-'Plan-Annahmen'!$B$89)</f>
        <v>69828.25</v>
      </c>
      <c r="D120" s="76" t="n">
        <f aca="false">IF(INT(MAX(0,C120))&lt;=12348,0,IF(INT(MAX(0,C120))&lt;=17799,(914.51*((INT(MAX(0,C120))-12348)/10000)+1400)*((INT(MAX(0,C120))-12348)/10000),IF(INT(MAX(0,C120))&lt;=69878,(173.1*((INT(MAX(0,C120))-17799)/10000)+2397)*((INT(MAX(0,C120))-17799)/10000)+1034.87,IF(INT(MAX(0,C120))&lt;=277825,0.42*INT(MAX(0,C120))-11135.63,0.45*INT(MAX(0,C120))-19470.38))))</f>
        <v>18192.067451771</v>
      </c>
      <c r="E120" s="76" t="n">
        <f aca="false">A120-B120-D120</f>
        <v>51672.182548229</v>
      </c>
      <c r="F120" s="94" t="n">
        <f aca="false">MAX(0,A120-B120-'Plan-Annahmen'!$B$75*12-'Plan-Annahmen'!$B$89)</f>
        <v>66228.25</v>
      </c>
      <c r="G120" s="76" t="n">
        <f aca="false">IF(INT(MAX(0,F120))&lt;=12348,0,IF(INT(MAX(0,F120))&lt;=17799,(914.51*((INT(MAX(0,F120))-12348)/10000)+1400)*((INT(MAX(0,F120))-12348)/10000),IF(INT(MAX(0,F120))&lt;=69878,(173.1*((INT(MAX(0,F120))-17799)/10000)+2397)*((INT(MAX(0,F120))-17799)/10000)+1034.87,IF(INT(MAX(0,F120))&lt;=277825,0.42*INT(MAX(0,F120))-11135.63,0.45*INT(MAX(0,F120))-19470.38))))</f>
        <v>16703.133378971</v>
      </c>
      <c r="H120" s="76" t="n">
        <f aca="false">A120-B120-G120-'Plan-Annahmen'!$B$75*12</f>
        <v>49561.116621029</v>
      </c>
    </row>
    <row r="121" customFormat="false" ht="15" hidden="false" customHeight="false" outlineLevel="0" collapsed="false">
      <c r="A121" s="96" t="n">
        <v>86000</v>
      </c>
      <c r="B121" s="94" t="n">
        <f aca="false">MIN(MAX(A121/12,'Plan-Annahmen'!$B$87),'Plan-Annahmen'!$B$88)*12*('Plan-Annahmen'!$B$84+'Plan-Annahmen'!$B$85+'Plan-Annahmen'!$B$86)</f>
        <v>15135.75</v>
      </c>
      <c r="C121" s="94" t="n">
        <f aca="false">MAX(0,A121-B121-'Plan-Annahmen'!$B$89)</f>
        <v>70828.25</v>
      </c>
      <c r="D121" s="76" t="n">
        <f aca="false">IF(INT(MAX(0,C121))&lt;=12348,0,IF(INT(MAX(0,C121))&lt;=17799,(914.51*((INT(MAX(0,C121))-12348)/10000)+1400)*((INT(MAX(0,C121))-12348)/10000),IF(INT(MAX(0,C121))&lt;=69878,(173.1*((INT(MAX(0,C121))-17799)/10000)+2397)*((INT(MAX(0,C121))-17799)/10000)+1034.87,IF(INT(MAX(0,C121))&lt;=277825,0.42*INT(MAX(0,C121))-11135.63,0.45*INT(MAX(0,C121))-19470.38))))</f>
        <v>18612.13</v>
      </c>
      <c r="E121" s="76" t="n">
        <f aca="false">A121-B121-D121</f>
        <v>52252.12</v>
      </c>
      <c r="F121" s="94" t="n">
        <f aca="false">MAX(0,A121-B121-'Plan-Annahmen'!$B$75*12-'Plan-Annahmen'!$B$89)</f>
        <v>67228.25</v>
      </c>
      <c r="G121" s="76" t="n">
        <f aca="false">IF(INT(MAX(0,F121))&lt;=12348,0,IF(INT(MAX(0,F121))&lt;=17799,(914.51*((INT(MAX(0,F121))-12348)/10000)+1400)*((INT(MAX(0,F121))-12348)/10000),IF(INT(MAX(0,F121))&lt;=69878,(173.1*((INT(MAX(0,F121))-17799)/10000)+2397)*((INT(MAX(0,F121))-17799)/10000)+1034.87,IF(INT(MAX(0,F121))&lt;=277825,0.42*INT(MAX(0,F121))-11135.63,0.45*INT(MAX(0,F121))-19470.38))))</f>
        <v>17112.225576971</v>
      </c>
      <c r="H121" s="76" t="n">
        <f aca="false">A121-B121-G121-'Plan-Annahmen'!$B$75*12</f>
        <v>50152.024423029</v>
      </c>
    </row>
    <row r="122" customFormat="false" ht="15" hidden="false" customHeight="false" outlineLevel="0" collapsed="false">
      <c r="A122" s="96" t="n">
        <v>87000</v>
      </c>
      <c r="B122" s="94" t="n">
        <f aca="false">MIN(MAX(A122/12,'Plan-Annahmen'!$B$87),'Plan-Annahmen'!$B$88)*12*('Plan-Annahmen'!$B$84+'Plan-Annahmen'!$B$85+'Plan-Annahmen'!$B$86)</f>
        <v>15135.75</v>
      </c>
      <c r="C122" s="94" t="n">
        <f aca="false">MAX(0,A122-B122-'Plan-Annahmen'!$B$89)</f>
        <v>71828.25</v>
      </c>
      <c r="D122" s="76" t="n">
        <f aca="false">IF(INT(MAX(0,C122))&lt;=12348,0,IF(INT(MAX(0,C122))&lt;=17799,(914.51*((INT(MAX(0,C122))-12348)/10000)+1400)*((INT(MAX(0,C122))-12348)/10000),IF(INT(MAX(0,C122))&lt;=69878,(173.1*((INT(MAX(0,C122))-17799)/10000)+2397)*((INT(MAX(0,C122))-17799)/10000)+1034.87,IF(INT(MAX(0,C122))&lt;=277825,0.42*INT(MAX(0,C122))-11135.63,0.45*INT(MAX(0,C122))-19470.38))))</f>
        <v>19032.13</v>
      </c>
      <c r="E122" s="76" t="n">
        <f aca="false">A122-B122-D122</f>
        <v>52832.12</v>
      </c>
      <c r="F122" s="94" t="n">
        <f aca="false">MAX(0,A122-B122-'Plan-Annahmen'!$B$75*12-'Plan-Annahmen'!$B$89)</f>
        <v>68228.25</v>
      </c>
      <c r="G122" s="76" t="n">
        <f aca="false">IF(INT(MAX(0,F122))&lt;=12348,0,IF(INT(MAX(0,F122))&lt;=17799,(914.51*((INT(MAX(0,F122))-12348)/10000)+1400)*((INT(MAX(0,F122))-12348)/10000),IF(INT(MAX(0,F122))&lt;=69878,(173.1*((INT(MAX(0,F122))-17799)/10000)+2397)*((INT(MAX(0,F122))-17799)/10000)+1034.87,IF(INT(MAX(0,F122))&lt;=277825,0.42*INT(MAX(0,F122))-11135.63,0.45*INT(MAX(0,F122))-19470.38))))</f>
        <v>17524.779774971</v>
      </c>
      <c r="H122" s="76" t="n">
        <f aca="false">A122-B122-G122-'Plan-Annahmen'!$B$75*12</f>
        <v>50739.470225029</v>
      </c>
    </row>
    <row r="123" customFormat="false" ht="15" hidden="false" customHeight="false" outlineLevel="0" collapsed="false">
      <c r="A123" s="96" t="n">
        <v>88000</v>
      </c>
      <c r="B123" s="94" t="n">
        <f aca="false">MIN(MAX(A123/12,'Plan-Annahmen'!$B$87),'Plan-Annahmen'!$B$88)*12*('Plan-Annahmen'!$B$84+'Plan-Annahmen'!$B$85+'Plan-Annahmen'!$B$86)</f>
        <v>15135.75</v>
      </c>
      <c r="C123" s="94" t="n">
        <f aca="false">MAX(0,A123-B123-'Plan-Annahmen'!$B$89)</f>
        <v>72828.25</v>
      </c>
      <c r="D123" s="76" t="n">
        <f aca="false">IF(INT(MAX(0,C123))&lt;=12348,0,IF(INT(MAX(0,C123))&lt;=17799,(914.51*((INT(MAX(0,C123))-12348)/10000)+1400)*((INT(MAX(0,C123))-12348)/10000),IF(INT(MAX(0,C123))&lt;=69878,(173.1*((INT(MAX(0,C123))-17799)/10000)+2397)*((INT(MAX(0,C123))-17799)/10000)+1034.87,IF(INT(MAX(0,C123))&lt;=277825,0.42*INT(MAX(0,C123))-11135.63,0.45*INT(MAX(0,C123))-19470.38))))</f>
        <v>19452.13</v>
      </c>
      <c r="E123" s="76" t="n">
        <f aca="false">A123-B123-D123</f>
        <v>53412.12</v>
      </c>
      <c r="F123" s="94" t="n">
        <f aca="false">MAX(0,A123-B123-'Plan-Annahmen'!$B$75*12-'Plan-Annahmen'!$B$89)</f>
        <v>69228.25</v>
      </c>
      <c r="G123" s="76" t="n">
        <f aca="false">IF(INT(MAX(0,F123))&lt;=12348,0,IF(INT(MAX(0,F123))&lt;=17799,(914.51*((INT(MAX(0,F123))-12348)/10000)+1400)*((INT(MAX(0,F123))-12348)/10000),IF(INT(MAX(0,F123))&lt;=69878,(173.1*((INT(MAX(0,F123))-17799)/10000)+2397)*((INT(MAX(0,F123))-17799)/10000)+1034.87,IF(INT(MAX(0,F123))&lt;=277825,0.42*INT(MAX(0,F123))-11135.63,0.45*INT(MAX(0,F123))-19470.38))))</f>
        <v>17940.795972971</v>
      </c>
      <c r="H123" s="76" t="n">
        <f aca="false">A123-B123-G123-'Plan-Annahmen'!$B$75*12</f>
        <v>51323.454027029</v>
      </c>
    </row>
    <row r="124" customFormat="false" ht="15" hidden="false" customHeight="false" outlineLevel="0" collapsed="false">
      <c r="A124" s="96" t="n">
        <v>89000</v>
      </c>
      <c r="B124" s="94" t="n">
        <f aca="false">MIN(MAX(A124/12,'Plan-Annahmen'!$B$87),'Plan-Annahmen'!$B$88)*12*('Plan-Annahmen'!$B$84+'Plan-Annahmen'!$B$85+'Plan-Annahmen'!$B$86)</f>
        <v>15135.75</v>
      </c>
      <c r="C124" s="94" t="n">
        <f aca="false">MAX(0,A124-B124-'Plan-Annahmen'!$B$89)</f>
        <v>73828.25</v>
      </c>
      <c r="D124" s="76" t="n">
        <f aca="false">IF(INT(MAX(0,C124))&lt;=12348,0,IF(INT(MAX(0,C124))&lt;=17799,(914.51*((INT(MAX(0,C124))-12348)/10000)+1400)*((INT(MAX(0,C124))-12348)/10000),IF(INT(MAX(0,C124))&lt;=69878,(173.1*((INT(MAX(0,C124))-17799)/10000)+2397)*((INT(MAX(0,C124))-17799)/10000)+1034.87,IF(INT(MAX(0,C124))&lt;=277825,0.42*INT(MAX(0,C124))-11135.63,0.45*INT(MAX(0,C124))-19470.38))))</f>
        <v>19872.13</v>
      </c>
      <c r="E124" s="76" t="n">
        <f aca="false">A124-B124-D124</f>
        <v>53992.12</v>
      </c>
      <c r="F124" s="94" t="n">
        <f aca="false">MAX(0,A124-B124-'Plan-Annahmen'!$B$75*12-'Plan-Annahmen'!$B$89)</f>
        <v>70228.25</v>
      </c>
      <c r="G124" s="76" t="n">
        <f aca="false">IF(INT(MAX(0,F124))&lt;=12348,0,IF(INT(MAX(0,F124))&lt;=17799,(914.51*((INT(MAX(0,F124))-12348)/10000)+1400)*((INT(MAX(0,F124))-12348)/10000),IF(INT(MAX(0,F124))&lt;=69878,(173.1*((INT(MAX(0,F124))-17799)/10000)+2397)*((INT(MAX(0,F124))-17799)/10000)+1034.87,IF(INT(MAX(0,F124))&lt;=277825,0.42*INT(MAX(0,F124))-11135.63,0.45*INT(MAX(0,F124))-19470.38))))</f>
        <v>18360.13</v>
      </c>
      <c r="H124" s="76" t="n">
        <f aca="false">A124-B124-G124-'Plan-Annahmen'!$B$75*12</f>
        <v>51904.12</v>
      </c>
    </row>
    <row r="125" customFormat="false" ht="15" hidden="false" customHeight="false" outlineLevel="0" collapsed="false">
      <c r="A125" s="96" t="n">
        <v>90000</v>
      </c>
      <c r="B125" s="94" t="n">
        <f aca="false">MIN(MAX(A125/12,'Plan-Annahmen'!$B$87),'Plan-Annahmen'!$B$88)*12*('Plan-Annahmen'!$B$84+'Plan-Annahmen'!$B$85+'Plan-Annahmen'!$B$86)</f>
        <v>15135.75</v>
      </c>
      <c r="C125" s="94" t="n">
        <f aca="false">MAX(0,A125-B125-'Plan-Annahmen'!$B$89)</f>
        <v>74828.25</v>
      </c>
      <c r="D125" s="76" t="n">
        <f aca="false">IF(INT(MAX(0,C125))&lt;=12348,0,IF(INT(MAX(0,C125))&lt;=17799,(914.51*((INT(MAX(0,C125))-12348)/10000)+1400)*((INT(MAX(0,C125))-12348)/10000),IF(INT(MAX(0,C125))&lt;=69878,(173.1*((INT(MAX(0,C125))-17799)/10000)+2397)*((INT(MAX(0,C125))-17799)/10000)+1034.87,IF(INT(MAX(0,C125))&lt;=277825,0.42*INT(MAX(0,C125))-11135.63,0.45*INT(MAX(0,C125))-19470.38))))</f>
        <v>20292.13</v>
      </c>
      <c r="E125" s="76" t="n">
        <f aca="false">A125-B125-D125</f>
        <v>54572.12</v>
      </c>
      <c r="F125" s="94" t="n">
        <f aca="false">MAX(0,A125-B125-'Plan-Annahmen'!$B$75*12-'Plan-Annahmen'!$B$89)</f>
        <v>71228.25</v>
      </c>
      <c r="G125" s="76" t="n">
        <f aca="false">IF(INT(MAX(0,F125))&lt;=12348,0,IF(INT(MAX(0,F125))&lt;=17799,(914.51*((INT(MAX(0,F125))-12348)/10000)+1400)*((INT(MAX(0,F125))-12348)/10000),IF(INT(MAX(0,F125))&lt;=69878,(173.1*((INT(MAX(0,F125))-17799)/10000)+2397)*((INT(MAX(0,F125))-17799)/10000)+1034.87,IF(INT(MAX(0,F125))&lt;=277825,0.42*INT(MAX(0,F125))-11135.63,0.45*INT(MAX(0,F125))-19470.38))))</f>
        <v>18780.13</v>
      </c>
      <c r="H125" s="76" t="n">
        <f aca="false">A125-B125-G125-'Plan-Annahmen'!$B$75*12</f>
        <v>52484.12</v>
      </c>
    </row>
    <row r="126" customFormat="false" ht="15" hidden="false" customHeight="false" outlineLevel="0" collapsed="false">
      <c r="A126" s="96" t="n">
        <v>91000</v>
      </c>
      <c r="B126" s="94" t="n">
        <f aca="false">MIN(MAX(A126/12,'Plan-Annahmen'!$B$87),'Plan-Annahmen'!$B$88)*12*('Plan-Annahmen'!$B$84+'Plan-Annahmen'!$B$85+'Plan-Annahmen'!$B$86)</f>
        <v>15135.75</v>
      </c>
      <c r="C126" s="94" t="n">
        <f aca="false">MAX(0,A126-B126-'Plan-Annahmen'!$B$89)</f>
        <v>75828.25</v>
      </c>
      <c r="D126" s="76" t="n">
        <f aca="false">IF(INT(MAX(0,C126))&lt;=12348,0,IF(INT(MAX(0,C126))&lt;=17799,(914.51*((INT(MAX(0,C126))-12348)/10000)+1400)*((INT(MAX(0,C126))-12348)/10000),IF(INT(MAX(0,C126))&lt;=69878,(173.1*((INT(MAX(0,C126))-17799)/10000)+2397)*((INT(MAX(0,C126))-17799)/10000)+1034.87,IF(INT(MAX(0,C126))&lt;=277825,0.42*INT(MAX(0,C126))-11135.63,0.45*INT(MAX(0,C126))-19470.38))))</f>
        <v>20712.13</v>
      </c>
      <c r="E126" s="76" t="n">
        <f aca="false">A126-B126-D126</f>
        <v>55152.12</v>
      </c>
      <c r="F126" s="94" t="n">
        <f aca="false">MAX(0,A126-B126-'Plan-Annahmen'!$B$75*12-'Plan-Annahmen'!$B$89)</f>
        <v>72228.25</v>
      </c>
      <c r="G126" s="76" t="n">
        <f aca="false">IF(INT(MAX(0,F126))&lt;=12348,0,IF(INT(MAX(0,F126))&lt;=17799,(914.51*((INT(MAX(0,F126))-12348)/10000)+1400)*((INT(MAX(0,F126))-12348)/10000),IF(INT(MAX(0,F126))&lt;=69878,(173.1*((INT(MAX(0,F126))-17799)/10000)+2397)*((INT(MAX(0,F126))-17799)/10000)+1034.87,IF(INT(MAX(0,F126))&lt;=277825,0.42*INT(MAX(0,F126))-11135.63,0.45*INT(MAX(0,F126))-19470.38))))</f>
        <v>19200.13</v>
      </c>
      <c r="H126" s="76" t="n">
        <f aca="false">A126-B126-G126-'Plan-Annahmen'!$B$75*12</f>
        <v>53064.12</v>
      </c>
    </row>
    <row r="127" customFormat="false" ht="15" hidden="false" customHeight="false" outlineLevel="0" collapsed="false">
      <c r="A127" s="96" t="n">
        <v>92000</v>
      </c>
      <c r="B127" s="94" t="n">
        <f aca="false">MIN(MAX(A127/12,'Plan-Annahmen'!$B$87),'Plan-Annahmen'!$B$88)*12*('Plan-Annahmen'!$B$84+'Plan-Annahmen'!$B$85+'Plan-Annahmen'!$B$86)</f>
        <v>15135.75</v>
      </c>
      <c r="C127" s="94" t="n">
        <f aca="false">MAX(0,A127-B127-'Plan-Annahmen'!$B$89)</f>
        <v>76828.25</v>
      </c>
      <c r="D127" s="76" t="n">
        <f aca="false">IF(INT(MAX(0,C127))&lt;=12348,0,IF(INT(MAX(0,C127))&lt;=17799,(914.51*((INT(MAX(0,C127))-12348)/10000)+1400)*((INT(MAX(0,C127))-12348)/10000),IF(INT(MAX(0,C127))&lt;=69878,(173.1*((INT(MAX(0,C127))-17799)/10000)+2397)*((INT(MAX(0,C127))-17799)/10000)+1034.87,IF(INT(MAX(0,C127))&lt;=277825,0.42*INT(MAX(0,C127))-11135.63,0.45*INT(MAX(0,C127))-19470.38))))</f>
        <v>21132.13</v>
      </c>
      <c r="E127" s="76" t="n">
        <f aca="false">A127-B127-D127</f>
        <v>55732.12</v>
      </c>
      <c r="F127" s="94" t="n">
        <f aca="false">MAX(0,A127-B127-'Plan-Annahmen'!$B$75*12-'Plan-Annahmen'!$B$89)</f>
        <v>73228.25</v>
      </c>
      <c r="G127" s="76" t="n">
        <f aca="false">IF(INT(MAX(0,F127))&lt;=12348,0,IF(INT(MAX(0,F127))&lt;=17799,(914.51*((INT(MAX(0,F127))-12348)/10000)+1400)*((INT(MAX(0,F127))-12348)/10000),IF(INT(MAX(0,F127))&lt;=69878,(173.1*((INT(MAX(0,F127))-17799)/10000)+2397)*((INT(MAX(0,F127))-17799)/10000)+1034.87,IF(INT(MAX(0,F127))&lt;=277825,0.42*INT(MAX(0,F127))-11135.63,0.45*INT(MAX(0,F127))-19470.38))))</f>
        <v>19620.13</v>
      </c>
      <c r="H127" s="76" t="n">
        <f aca="false">A127-B127-G127-'Plan-Annahmen'!$B$75*12</f>
        <v>53644.12</v>
      </c>
    </row>
    <row r="128" customFormat="false" ht="15" hidden="false" customHeight="false" outlineLevel="0" collapsed="false">
      <c r="A128" s="96" t="n">
        <v>93000</v>
      </c>
      <c r="B128" s="94" t="n">
        <f aca="false">MIN(MAX(A128/12,'Plan-Annahmen'!$B$87),'Plan-Annahmen'!$B$88)*12*('Plan-Annahmen'!$B$84+'Plan-Annahmen'!$B$85+'Plan-Annahmen'!$B$86)</f>
        <v>15135.75</v>
      </c>
      <c r="C128" s="94" t="n">
        <f aca="false">MAX(0,A128-B128-'Plan-Annahmen'!$B$89)</f>
        <v>77828.25</v>
      </c>
      <c r="D128" s="76" t="n">
        <f aca="false">IF(INT(MAX(0,C128))&lt;=12348,0,IF(INT(MAX(0,C128))&lt;=17799,(914.51*((INT(MAX(0,C128))-12348)/10000)+1400)*((INT(MAX(0,C128))-12348)/10000),IF(INT(MAX(0,C128))&lt;=69878,(173.1*((INT(MAX(0,C128))-17799)/10000)+2397)*((INT(MAX(0,C128))-17799)/10000)+1034.87,IF(INT(MAX(0,C128))&lt;=277825,0.42*INT(MAX(0,C128))-11135.63,0.45*INT(MAX(0,C128))-19470.38))))</f>
        <v>21552.13</v>
      </c>
      <c r="E128" s="76" t="n">
        <f aca="false">A128-B128-D128</f>
        <v>56312.12</v>
      </c>
      <c r="F128" s="94" t="n">
        <f aca="false">MAX(0,A128-B128-'Plan-Annahmen'!$B$75*12-'Plan-Annahmen'!$B$89)</f>
        <v>74228.25</v>
      </c>
      <c r="G128" s="76" t="n">
        <f aca="false">IF(INT(MAX(0,F128))&lt;=12348,0,IF(INT(MAX(0,F128))&lt;=17799,(914.51*((INT(MAX(0,F128))-12348)/10000)+1400)*((INT(MAX(0,F128))-12348)/10000),IF(INT(MAX(0,F128))&lt;=69878,(173.1*((INT(MAX(0,F128))-17799)/10000)+2397)*((INT(MAX(0,F128))-17799)/10000)+1034.87,IF(INT(MAX(0,F128))&lt;=277825,0.42*INT(MAX(0,F128))-11135.63,0.45*INT(MAX(0,F128))-19470.38))))</f>
        <v>20040.13</v>
      </c>
      <c r="H128" s="76" t="n">
        <f aca="false">A128-B128-G128-'Plan-Annahmen'!$B$75*12</f>
        <v>54224.12</v>
      </c>
    </row>
    <row r="129" customFormat="false" ht="15" hidden="false" customHeight="false" outlineLevel="0" collapsed="false">
      <c r="A129" s="96" t="n">
        <v>94000</v>
      </c>
      <c r="B129" s="94" t="n">
        <f aca="false">MIN(MAX(A129/12,'Plan-Annahmen'!$B$87),'Plan-Annahmen'!$B$88)*12*('Plan-Annahmen'!$B$84+'Plan-Annahmen'!$B$85+'Plan-Annahmen'!$B$86)</f>
        <v>15135.75</v>
      </c>
      <c r="C129" s="94" t="n">
        <f aca="false">MAX(0,A129-B129-'Plan-Annahmen'!$B$89)</f>
        <v>78828.25</v>
      </c>
      <c r="D129" s="76" t="n">
        <f aca="false">IF(INT(MAX(0,C129))&lt;=12348,0,IF(INT(MAX(0,C129))&lt;=17799,(914.51*((INT(MAX(0,C129))-12348)/10000)+1400)*((INT(MAX(0,C129))-12348)/10000),IF(INT(MAX(0,C129))&lt;=69878,(173.1*((INT(MAX(0,C129))-17799)/10000)+2397)*((INT(MAX(0,C129))-17799)/10000)+1034.87,IF(INT(MAX(0,C129))&lt;=277825,0.42*INT(MAX(0,C129))-11135.63,0.45*INT(MAX(0,C129))-19470.38))))</f>
        <v>21972.13</v>
      </c>
      <c r="E129" s="76" t="n">
        <f aca="false">A129-B129-D129</f>
        <v>56892.12</v>
      </c>
      <c r="F129" s="94" t="n">
        <f aca="false">MAX(0,A129-B129-'Plan-Annahmen'!$B$75*12-'Plan-Annahmen'!$B$89)</f>
        <v>75228.25</v>
      </c>
      <c r="G129" s="76" t="n">
        <f aca="false">IF(INT(MAX(0,F129))&lt;=12348,0,IF(INT(MAX(0,F129))&lt;=17799,(914.51*((INT(MAX(0,F129))-12348)/10000)+1400)*((INT(MAX(0,F129))-12348)/10000),IF(INT(MAX(0,F129))&lt;=69878,(173.1*((INT(MAX(0,F129))-17799)/10000)+2397)*((INT(MAX(0,F129))-17799)/10000)+1034.87,IF(INT(MAX(0,F129))&lt;=277825,0.42*INT(MAX(0,F129))-11135.63,0.45*INT(MAX(0,F129))-19470.38))))</f>
        <v>20460.13</v>
      </c>
      <c r="H129" s="76" t="n">
        <f aca="false">A129-B129-G129-'Plan-Annahmen'!$B$75*12</f>
        <v>54804.12</v>
      </c>
    </row>
    <row r="130" customFormat="false" ht="15" hidden="false" customHeight="false" outlineLevel="0" collapsed="false">
      <c r="A130" s="96" t="n">
        <v>95000</v>
      </c>
      <c r="B130" s="94" t="n">
        <f aca="false">MIN(MAX(A130/12,'Plan-Annahmen'!$B$87),'Plan-Annahmen'!$B$88)*12*('Plan-Annahmen'!$B$84+'Plan-Annahmen'!$B$85+'Plan-Annahmen'!$B$86)</f>
        <v>15135.75</v>
      </c>
      <c r="C130" s="94" t="n">
        <f aca="false">MAX(0,A130-B130-'Plan-Annahmen'!$B$89)</f>
        <v>79828.25</v>
      </c>
      <c r="D130" s="76" t="n">
        <f aca="false">IF(INT(MAX(0,C130))&lt;=12348,0,IF(INT(MAX(0,C130))&lt;=17799,(914.51*((INT(MAX(0,C130))-12348)/10000)+1400)*((INT(MAX(0,C130))-12348)/10000),IF(INT(MAX(0,C130))&lt;=69878,(173.1*((INT(MAX(0,C130))-17799)/10000)+2397)*((INT(MAX(0,C130))-17799)/10000)+1034.87,IF(INT(MAX(0,C130))&lt;=277825,0.42*INT(MAX(0,C130))-11135.63,0.45*INT(MAX(0,C130))-19470.38))))</f>
        <v>22392.13</v>
      </c>
      <c r="E130" s="76" t="n">
        <f aca="false">A130-B130-D130</f>
        <v>57472.12</v>
      </c>
      <c r="F130" s="94" t="n">
        <f aca="false">MAX(0,A130-B130-'Plan-Annahmen'!$B$75*12-'Plan-Annahmen'!$B$89)</f>
        <v>76228.25</v>
      </c>
      <c r="G130" s="76" t="n">
        <f aca="false">IF(INT(MAX(0,F130))&lt;=12348,0,IF(INT(MAX(0,F130))&lt;=17799,(914.51*((INT(MAX(0,F130))-12348)/10000)+1400)*((INT(MAX(0,F130))-12348)/10000),IF(INT(MAX(0,F130))&lt;=69878,(173.1*((INT(MAX(0,F130))-17799)/10000)+2397)*((INT(MAX(0,F130))-17799)/10000)+1034.87,IF(INT(MAX(0,F130))&lt;=277825,0.42*INT(MAX(0,F130))-11135.63,0.45*INT(MAX(0,F130))-19470.38))))</f>
        <v>20880.13</v>
      </c>
      <c r="H130" s="76" t="n">
        <f aca="false">A130-B130-G130-'Plan-Annahmen'!$B$75*12</f>
        <v>55384.12</v>
      </c>
    </row>
    <row r="131" customFormat="false" ht="15" hidden="false" customHeight="false" outlineLevel="0" collapsed="false">
      <c r="A131" s="96" t="n">
        <v>96000</v>
      </c>
      <c r="B131" s="94" t="n">
        <f aca="false">MIN(MAX(A131/12,'Plan-Annahmen'!$B$87),'Plan-Annahmen'!$B$88)*12*('Plan-Annahmen'!$B$84+'Plan-Annahmen'!$B$85+'Plan-Annahmen'!$B$86)</f>
        <v>15135.75</v>
      </c>
      <c r="C131" s="94" t="n">
        <f aca="false">MAX(0,A131-B131-'Plan-Annahmen'!$B$89)</f>
        <v>80828.25</v>
      </c>
      <c r="D131" s="76" t="n">
        <f aca="false">IF(INT(MAX(0,C131))&lt;=12348,0,IF(INT(MAX(0,C131))&lt;=17799,(914.51*((INT(MAX(0,C131))-12348)/10000)+1400)*((INT(MAX(0,C131))-12348)/10000),IF(INT(MAX(0,C131))&lt;=69878,(173.1*((INT(MAX(0,C131))-17799)/10000)+2397)*((INT(MAX(0,C131))-17799)/10000)+1034.87,IF(INT(MAX(0,C131))&lt;=277825,0.42*INT(MAX(0,C131))-11135.63,0.45*INT(MAX(0,C131))-19470.38))))</f>
        <v>22812.13</v>
      </c>
      <c r="E131" s="76" t="n">
        <f aca="false">A131-B131-D131</f>
        <v>58052.12</v>
      </c>
      <c r="F131" s="94" t="n">
        <f aca="false">MAX(0,A131-B131-'Plan-Annahmen'!$B$75*12-'Plan-Annahmen'!$B$89)</f>
        <v>77228.25</v>
      </c>
      <c r="G131" s="76" t="n">
        <f aca="false">IF(INT(MAX(0,F131))&lt;=12348,0,IF(INT(MAX(0,F131))&lt;=17799,(914.51*((INT(MAX(0,F131))-12348)/10000)+1400)*((INT(MAX(0,F131))-12348)/10000),IF(INT(MAX(0,F131))&lt;=69878,(173.1*((INT(MAX(0,F131))-17799)/10000)+2397)*((INT(MAX(0,F131))-17799)/10000)+1034.87,IF(INT(MAX(0,F131))&lt;=277825,0.42*INT(MAX(0,F131))-11135.63,0.45*INT(MAX(0,F131))-19470.38))))</f>
        <v>21300.13</v>
      </c>
      <c r="H131" s="76" t="n">
        <f aca="false">A131-B131-G131-'Plan-Annahmen'!$B$75*12</f>
        <v>55964.12</v>
      </c>
    </row>
    <row r="132" customFormat="false" ht="15" hidden="false" customHeight="false" outlineLevel="0" collapsed="false">
      <c r="A132" s="96" t="n">
        <v>97000</v>
      </c>
      <c r="B132" s="94" t="n">
        <f aca="false">MIN(MAX(A132/12,'Plan-Annahmen'!$B$87),'Plan-Annahmen'!$B$88)*12*('Plan-Annahmen'!$B$84+'Plan-Annahmen'!$B$85+'Plan-Annahmen'!$B$86)</f>
        <v>15135.75</v>
      </c>
      <c r="C132" s="94" t="n">
        <f aca="false">MAX(0,A132-B132-'Plan-Annahmen'!$B$89)</f>
        <v>81828.25</v>
      </c>
      <c r="D132" s="76" t="n">
        <f aca="false">IF(INT(MAX(0,C132))&lt;=12348,0,IF(INT(MAX(0,C132))&lt;=17799,(914.51*((INT(MAX(0,C132))-12348)/10000)+1400)*((INT(MAX(0,C132))-12348)/10000),IF(INT(MAX(0,C132))&lt;=69878,(173.1*((INT(MAX(0,C132))-17799)/10000)+2397)*((INT(MAX(0,C132))-17799)/10000)+1034.87,IF(INT(MAX(0,C132))&lt;=277825,0.42*INT(MAX(0,C132))-11135.63,0.45*INT(MAX(0,C132))-19470.38))))</f>
        <v>23232.13</v>
      </c>
      <c r="E132" s="76" t="n">
        <f aca="false">A132-B132-D132</f>
        <v>58632.12</v>
      </c>
      <c r="F132" s="94" t="n">
        <f aca="false">MAX(0,A132-B132-'Plan-Annahmen'!$B$75*12-'Plan-Annahmen'!$B$89)</f>
        <v>78228.25</v>
      </c>
      <c r="G132" s="76" t="n">
        <f aca="false">IF(INT(MAX(0,F132))&lt;=12348,0,IF(INT(MAX(0,F132))&lt;=17799,(914.51*((INT(MAX(0,F132))-12348)/10000)+1400)*((INT(MAX(0,F132))-12348)/10000),IF(INT(MAX(0,F132))&lt;=69878,(173.1*((INT(MAX(0,F132))-17799)/10000)+2397)*((INT(MAX(0,F132))-17799)/10000)+1034.87,IF(INT(MAX(0,F132))&lt;=277825,0.42*INT(MAX(0,F132))-11135.63,0.45*INT(MAX(0,F132))-19470.38))))</f>
        <v>21720.13</v>
      </c>
      <c r="H132" s="76" t="n">
        <f aca="false">A132-B132-G132-'Plan-Annahmen'!$B$75*12</f>
        <v>56544.12</v>
      </c>
    </row>
    <row r="133" customFormat="false" ht="15" hidden="false" customHeight="false" outlineLevel="0" collapsed="false">
      <c r="A133" s="96" t="n">
        <v>98000</v>
      </c>
      <c r="B133" s="94" t="n">
        <f aca="false">MIN(MAX(A133/12,'Plan-Annahmen'!$B$87),'Plan-Annahmen'!$B$88)*12*('Plan-Annahmen'!$B$84+'Plan-Annahmen'!$B$85+'Plan-Annahmen'!$B$86)</f>
        <v>15135.75</v>
      </c>
      <c r="C133" s="94" t="n">
        <f aca="false">MAX(0,A133-B133-'Plan-Annahmen'!$B$89)</f>
        <v>82828.25</v>
      </c>
      <c r="D133" s="76" t="n">
        <f aca="false">IF(INT(MAX(0,C133))&lt;=12348,0,IF(INT(MAX(0,C133))&lt;=17799,(914.51*((INT(MAX(0,C133))-12348)/10000)+1400)*((INT(MAX(0,C133))-12348)/10000),IF(INT(MAX(0,C133))&lt;=69878,(173.1*((INT(MAX(0,C133))-17799)/10000)+2397)*((INT(MAX(0,C133))-17799)/10000)+1034.87,IF(INT(MAX(0,C133))&lt;=277825,0.42*INT(MAX(0,C133))-11135.63,0.45*INT(MAX(0,C133))-19470.38))))</f>
        <v>23652.13</v>
      </c>
      <c r="E133" s="76" t="n">
        <f aca="false">A133-B133-D133</f>
        <v>59212.12</v>
      </c>
      <c r="F133" s="94" t="n">
        <f aca="false">MAX(0,A133-B133-'Plan-Annahmen'!$B$75*12-'Plan-Annahmen'!$B$89)</f>
        <v>79228.25</v>
      </c>
      <c r="G133" s="76" t="n">
        <f aca="false">IF(INT(MAX(0,F133))&lt;=12348,0,IF(INT(MAX(0,F133))&lt;=17799,(914.51*((INT(MAX(0,F133))-12348)/10000)+1400)*((INT(MAX(0,F133))-12348)/10000),IF(INT(MAX(0,F133))&lt;=69878,(173.1*((INT(MAX(0,F133))-17799)/10000)+2397)*((INT(MAX(0,F133))-17799)/10000)+1034.87,IF(INT(MAX(0,F133))&lt;=277825,0.42*INT(MAX(0,F133))-11135.63,0.45*INT(MAX(0,F133))-19470.38))))</f>
        <v>22140.13</v>
      </c>
      <c r="H133" s="76" t="n">
        <f aca="false">A133-B133-G133-'Plan-Annahmen'!$B$75*12</f>
        <v>57124.12</v>
      </c>
    </row>
    <row r="134" customFormat="false" ht="15" hidden="false" customHeight="false" outlineLevel="0" collapsed="false">
      <c r="A134" s="96" t="n">
        <v>99000</v>
      </c>
      <c r="B134" s="94" t="n">
        <f aca="false">MIN(MAX(A134/12,'Plan-Annahmen'!$B$87),'Plan-Annahmen'!$B$88)*12*('Plan-Annahmen'!$B$84+'Plan-Annahmen'!$B$85+'Plan-Annahmen'!$B$86)</f>
        <v>15135.75</v>
      </c>
      <c r="C134" s="94" t="n">
        <f aca="false">MAX(0,A134-B134-'Plan-Annahmen'!$B$89)</f>
        <v>83828.25</v>
      </c>
      <c r="D134" s="76" t="n">
        <f aca="false">IF(INT(MAX(0,C134))&lt;=12348,0,IF(INT(MAX(0,C134))&lt;=17799,(914.51*((INT(MAX(0,C134))-12348)/10000)+1400)*((INT(MAX(0,C134))-12348)/10000),IF(INT(MAX(0,C134))&lt;=69878,(173.1*((INT(MAX(0,C134))-17799)/10000)+2397)*((INT(MAX(0,C134))-17799)/10000)+1034.87,IF(INT(MAX(0,C134))&lt;=277825,0.42*INT(MAX(0,C134))-11135.63,0.45*INT(MAX(0,C134))-19470.38))))</f>
        <v>24072.13</v>
      </c>
      <c r="E134" s="76" t="n">
        <f aca="false">A134-B134-D134</f>
        <v>59792.12</v>
      </c>
      <c r="F134" s="94" t="n">
        <f aca="false">MAX(0,A134-B134-'Plan-Annahmen'!$B$75*12-'Plan-Annahmen'!$B$89)</f>
        <v>80228.25</v>
      </c>
      <c r="G134" s="76" t="n">
        <f aca="false">IF(INT(MAX(0,F134))&lt;=12348,0,IF(INT(MAX(0,F134))&lt;=17799,(914.51*((INT(MAX(0,F134))-12348)/10000)+1400)*((INT(MAX(0,F134))-12348)/10000),IF(INT(MAX(0,F134))&lt;=69878,(173.1*((INT(MAX(0,F134))-17799)/10000)+2397)*((INT(MAX(0,F134))-17799)/10000)+1034.87,IF(INT(MAX(0,F134))&lt;=277825,0.42*INT(MAX(0,F134))-11135.63,0.45*INT(MAX(0,F134))-19470.38))))</f>
        <v>22560.13</v>
      </c>
      <c r="H134" s="76" t="n">
        <f aca="false">A134-B134-G134-'Plan-Annahmen'!$B$75*12</f>
        <v>57704.12</v>
      </c>
    </row>
    <row r="135" customFormat="false" ht="15" hidden="false" customHeight="false" outlineLevel="0" collapsed="false">
      <c r="A135" s="96" t="n">
        <v>100000</v>
      </c>
      <c r="B135" s="94" t="n">
        <f aca="false">MIN(MAX(A135/12,'Plan-Annahmen'!$B$87),'Plan-Annahmen'!$B$88)*12*('Plan-Annahmen'!$B$84+'Plan-Annahmen'!$B$85+'Plan-Annahmen'!$B$86)</f>
        <v>15135.75</v>
      </c>
      <c r="C135" s="94" t="n">
        <f aca="false">MAX(0,A135-B135-'Plan-Annahmen'!$B$89)</f>
        <v>84828.25</v>
      </c>
      <c r="D135" s="76" t="n">
        <f aca="false">IF(INT(MAX(0,C135))&lt;=12348,0,IF(INT(MAX(0,C135))&lt;=17799,(914.51*((INT(MAX(0,C135))-12348)/10000)+1400)*((INT(MAX(0,C135))-12348)/10000),IF(INT(MAX(0,C135))&lt;=69878,(173.1*((INT(MAX(0,C135))-17799)/10000)+2397)*((INT(MAX(0,C135))-17799)/10000)+1034.87,IF(INT(MAX(0,C135))&lt;=277825,0.42*INT(MAX(0,C135))-11135.63,0.45*INT(MAX(0,C135))-19470.38))))</f>
        <v>24492.13</v>
      </c>
      <c r="E135" s="76" t="n">
        <f aca="false">A135-B135-D135</f>
        <v>60372.12</v>
      </c>
      <c r="F135" s="94" t="n">
        <f aca="false">MAX(0,A135-B135-'Plan-Annahmen'!$B$75*12-'Plan-Annahmen'!$B$89)</f>
        <v>81228.25</v>
      </c>
      <c r="G135" s="76" t="n">
        <f aca="false">IF(INT(MAX(0,F135))&lt;=12348,0,IF(INT(MAX(0,F135))&lt;=17799,(914.51*((INT(MAX(0,F135))-12348)/10000)+1400)*((INT(MAX(0,F135))-12348)/10000),IF(INT(MAX(0,F135))&lt;=69878,(173.1*((INT(MAX(0,F135))-17799)/10000)+2397)*((INT(MAX(0,F135))-17799)/10000)+1034.87,IF(INT(MAX(0,F135))&lt;=277825,0.42*INT(MAX(0,F135))-11135.63,0.45*INT(MAX(0,F135))-19470.38))))</f>
        <v>22980.13</v>
      </c>
      <c r="H135" s="76" t="n">
        <f aca="false">A135-B135-G135-'Plan-Annahmen'!$B$75*12</f>
        <v>58284.12</v>
      </c>
    </row>
    <row r="136" customFormat="false" ht="15" hidden="false" customHeight="false" outlineLevel="0" collapsed="false">
      <c r="A136" s="96" t="n">
        <v>101000</v>
      </c>
      <c r="B136" s="94" t="n">
        <f aca="false">MIN(MAX(A136/12,'Plan-Annahmen'!$B$87),'Plan-Annahmen'!$B$88)*12*('Plan-Annahmen'!$B$84+'Plan-Annahmen'!$B$85+'Plan-Annahmen'!$B$86)</f>
        <v>15135.75</v>
      </c>
      <c r="C136" s="94" t="n">
        <f aca="false">MAX(0,A136-B136-'Plan-Annahmen'!$B$89)</f>
        <v>85828.25</v>
      </c>
      <c r="D136" s="76" t="n">
        <f aca="false">IF(INT(MAX(0,C136))&lt;=12348,0,IF(INT(MAX(0,C136))&lt;=17799,(914.51*((INT(MAX(0,C136))-12348)/10000)+1400)*((INT(MAX(0,C136))-12348)/10000),IF(INT(MAX(0,C136))&lt;=69878,(173.1*((INT(MAX(0,C136))-17799)/10000)+2397)*((INT(MAX(0,C136))-17799)/10000)+1034.87,IF(INT(MAX(0,C136))&lt;=277825,0.42*INT(MAX(0,C136))-11135.63,0.45*INT(MAX(0,C136))-19470.38))))</f>
        <v>24912.13</v>
      </c>
      <c r="E136" s="76" t="n">
        <f aca="false">A136-B136-D136</f>
        <v>60952.12</v>
      </c>
      <c r="F136" s="94" t="n">
        <f aca="false">MAX(0,A136-B136-'Plan-Annahmen'!$B$75*12-'Plan-Annahmen'!$B$89)</f>
        <v>82228.25</v>
      </c>
      <c r="G136" s="76" t="n">
        <f aca="false">IF(INT(MAX(0,F136))&lt;=12348,0,IF(INT(MAX(0,F136))&lt;=17799,(914.51*((INT(MAX(0,F136))-12348)/10000)+1400)*((INT(MAX(0,F136))-12348)/10000),IF(INT(MAX(0,F136))&lt;=69878,(173.1*((INT(MAX(0,F136))-17799)/10000)+2397)*((INT(MAX(0,F136))-17799)/10000)+1034.87,IF(INT(MAX(0,F136))&lt;=277825,0.42*INT(MAX(0,F136))-11135.63,0.45*INT(MAX(0,F136))-19470.38))))</f>
        <v>23400.13</v>
      </c>
      <c r="H136" s="76" t="n">
        <f aca="false">A136-B136-G136-'Plan-Annahmen'!$B$75*12</f>
        <v>58864.12</v>
      </c>
    </row>
    <row r="137" customFormat="false" ht="15" hidden="false" customHeight="false" outlineLevel="0" collapsed="false">
      <c r="A137" s="96" t="n">
        <v>102000</v>
      </c>
      <c r="B137" s="94" t="n">
        <f aca="false">MIN(MAX(A137/12,'Plan-Annahmen'!$B$87),'Plan-Annahmen'!$B$88)*12*('Plan-Annahmen'!$B$84+'Plan-Annahmen'!$B$85+'Plan-Annahmen'!$B$86)</f>
        <v>15135.75</v>
      </c>
      <c r="C137" s="94" t="n">
        <f aca="false">MAX(0,A137-B137-'Plan-Annahmen'!$B$89)</f>
        <v>86828.25</v>
      </c>
      <c r="D137" s="76" t="n">
        <f aca="false">IF(INT(MAX(0,C137))&lt;=12348,0,IF(INT(MAX(0,C137))&lt;=17799,(914.51*((INT(MAX(0,C137))-12348)/10000)+1400)*((INT(MAX(0,C137))-12348)/10000),IF(INT(MAX(0,C137))&lt;=69878,(173.1*((INT(MAX(0,C137))-17799)/10000)+2397)*((INT(MAX(0,C137))-17799)/10000)+1034.87,IF(INT(MAX(0,C137))&lt;=277825,0.42*INT(MAX(0,C137))-11135.63,0.45*INT(MAX(0,C137))-19470.38))))</f>
        <v>25332.13</v>
      </c>
      <c r="E137" s="76" t="n">
        <f aca="false">A137-B137-D137</f>
        <v>61532.12</v>
      </c>
      <c r="F137" s="94" t="n">
        <f aca="false">MAX(0,A137-B137-'Plan-Annahmen'!$B$75*12-'Plan-Annahmen'!$B$89)</f>
        <v>83228.25</v>
      </c>
      <c r="G137" s="76" t="n">
        <f aca="false">IF(INT(MAX(0,F137))&lt;=12348,0,IF(INT(MAX(0,F137))&lt;=17799,(914.51*((INT(MAX(0,F137))-12348)/10000)+1400)*((INT(MAX(0,F137))-12348)/10000),IF(INT(MAX(0,F137))&lt;=69878,(173.1*((INT(MAX(0,F137))-17799)/10000)+2397)*((INT(MAX(0,F137))-17799)/10000)+1034.87,IF(INT(MAX(0,F137))&lt;=277825,0.42*INT(MAX(0,F137))-11135.63,0.45*INT(MAX(0,F137))-19470.38))))</f>
        <v>23820.13</v>
      </c>
      <c r="H137" s="76" t="n">
        <f aca="false">A137-B137-G137-'Plan-Annahmen'!$B$75*12</f>
        <v>59444.12</v>
      </c>
    </row>
    <row r="138" customFormat="false" ht="15" hidden="false" customHeight="false" outlineLevel="0" collapsed="false">
      <c r="A138" s="96" t="n">
        <v>103000</v>
      </c>
      <c r="B138" s="94" t="n">
        <f aca="false">MIN(MAX(A138/12,'Plan-Annahmen'!$B$87),'Plan-Annahmen'!$B$88)*12*('Plan-Annahmen'!$B$84+'Plan-Annahmen'!$B$85+'Plan-Annahmen'!$B$86)</f>
        <v>15135.75</v>
      </c>
      <c r="C138" s="94" t="n">
        <f aca="false">MAX(0,A138-B138-'Plan-Annahmen'!$B$89)</f>
        <v>87828.25</v>
      </c>
      <c r="D138" s="76" t="n">
        <f aca="false">IF(INT(MAX(0,C138))&lt;=12348,0,IF(INT(MAX(0,C138))&lt;=17799,(914.51*((INT(MAX(0,C138))-12348)/10000)+1400)*((INT(MAX(0,C138))-12348)/10000),IF(INT(MAX(0,C138))&lt;=69878,(173.1*((INT(MAX(0,C138))-17799)/10000)+2397)*((INT(MAX(0,C138))-17799)/10000)+1034.87,IF(INT(MAX(0,C138))&lt;=277825,0.42*INT(MAX(0,C138))-11135.63,0.45*INT(MAX(0,C138))-19470.38))))</f>
        <v>25752.13</v>
      </c>
      <c r="E138" s="76" t="n">
        <f aca="false">A138-B138-D138</f>
        <v>62112.12</v>
      </c>
      <c r="F138" s="94" t="n">
        <f aca="false">MAX(0,A138-B138-'Plan-Annahmen'!$B$75*12-'Plan-Annahmen'!$B$89)</f>
        <v>84228.25</v>
      </c>
      <c r="G138" s="76" t="n">
        <f aca="false">IF(INT(MAX(0,F138))&lt;=12348,0,IF(INT(MAX(0,F138))&lt;=17799,(914.51*((INT(MAX(0,F138))-12348)/10000)+1400)*((INT(MAX(0,F138))-12348)/10000),IF(INT(MAX(0,F138))&lt;=69878,(173.1*((INT(MAX(0,F138))-17799)/10000)+2397)*((INT(MAX(0,F138))-17799)/10000)+1034.87,IF(INT(MAX(0,F138))&lt;=277825,0.42*INT(MAX(0,F138))-11135.63,0.45*INT(MAX(0,F138))-19470.38))))</f>
        <v>24240.13</v>
      </c>
      <c r="H138" s="76" t="n">
        <f aca="false">A138-B138-G138-'Plan-Annahmen'!$B$75*12</f>
        <v>60024.12</v>
      </c>
    </row>
    <row r="139" customFormat="false" ht="15" hidden="false" customHeight="false" outlineLevel="0" collapsed="false">
      <c r="A139" s="96" t="n">
        <v>104000</v>
      </c>
      <c r="B139" s="94" t="n">
        <f aca="false">MIN(MAX(A139/12,'Plan-Annahmen'!$B$87),'Plan-Annahmen'!$B$88)*12*('Plan-Annahmen'!$B$84+'Plan-Annahmen'!$B$85+'Plan-Annahmen'!$B$86)</f>
        <v>15135.75</v>
      </c>
      <c r="C139" s="94" t="n">
        <f aca="false">MAX(0,A139-B139-'Plan-Annahmen'!$B$89)</f>
        <v>88828.25</v>
      </c>
      <c r="D139" s="76" t="n">
        <f aca="false">IF(INT(MAX(0,C139))&lt;=12348,0,IF(INT(MAX(0,C139))&lt;=17799,(914.51*((INT(MAX(0,C139))-12348)/10000)+1400)*((INT(MAX(0,C139))-12348)/10000),IF(INT(MAX(0,C139))&lt;=69878,(173.1*((INT(MAX(0,C139))-17799)/10000)+2397)*((INT(MAX(0,C139))-17799)/10000)+1034.87,IF(INT(MAX(0,C139))&lt;=277825,0.42*INT(MAX(0,C139))-11135.63,0.45*INT(MAX(0,C139))-19470.38))))</f>
        <v>26172.13</v>
      </c>
      <c r="E139" s="76" t="n">
        <f aca="false">A139-B139-D139</f>
        <v>62692.12</v>
      </c>
      <c r="F139" s="94" t="n">
        <f aca="false">MAX(0,A139-B139-'Plan-Annahmen'!$B$75*12-'Plan-Annahmen'!$B$89)</f>
        <v>85228.25</v>
      </c>
      <c r="G139" s="76" t="n">
        <f aca="false">IF(INT(MAX(0,F139))&lt;=12348,0,IF(INT(MAX(0,F139))&lt;=17799,(914.51*((INT(MAX(0,F139))-12348)/10000)+1400)*((INT(MAX(0,F139))-12348)/10000),IF(INT(MAX(0,F139))&lt;=69878,(173.1*((INT(MAX(0,F139))-17799)/10000)+2397)*((INT(MAX(0,F139))-17799)/10000)+1034.87,IF(INT(MAX(0,F139))&lt;=277825,0.42*INT(MAX(0,F139))-11135.63,0.45*INT(MAX(0,F139))-19470.38))))</f>
        <v>24660.13</v>
      </c>
      <c r="H139" s="76" t="n">
        <f aca="false">A139-B139-G139-'Plan-Annahmen'!$B$75*12</f>
        <v>60604.12</v>
      </c>
    </row>
    <row r="140" customFormat="false" ht="15" hidden="false" customHeight="false" outlineLevel="0" collapsed="false">
      <c r="A140" s="96" t="n">
        <v>105000</v>
      </c>
      <c r="B140" s="94" t="n">
        <f aca="false">MIN(MAX(A140/12,'Plan-Annahmen'!$B$87),'Plan-Annahmen'!$B$88)*12*('Plan-Annahmen'!$B$84+'Plan-Annahmen'!$B$85+'Plan-Annahmen'!$B$86)</f>
        <v>15135.75</v>
      </c>
      <c r="C140" s="94" t="n">
        <f aca="false">MAX(0,A140-B140-'Plan-Annahmen'!$B$89)</f>
        <v>89828.25</v>
      </c>
      <c r="D140" s="76" t="n">
        <f aca="false">IF(INT(MAX(0,C140))&lt;=12348,0,IF(INT(MAX(0,C140))&lt;=17799,(914.51*((INT(MAX(0,C140))-12348)/10000)+1400)*((INT(MAX(0,C140))-12348)/10000),IF(INT(MAX(0,C140))&lt;=69878,(173.1*((INT(MAX(0,C140))-17799)/10000)+2397)*((INT(MAX(0,C140))-17799)/10000)+1034.87,IF(INT(MAX(0,C140))&lt;=277825,0.42*INT(MAX(0,C140))-11135.63,0.45*INT(MAX(0,C140))-19470.38))))</f>
        <v>26592.13</v>
      </c>
      <c r="E140" s="76" t="n">
        <f aca="false">A140-B140-D140</f>
        <v>63272.12</v>
      </c>
      <c r="F140" s="94" t="n">
        <f aca="false">MAX(0,A140-B140-'Plan-Annahmen'!$B$75*12-'Plan-Annahmen'!$B$89)</f>
        <v>86228.25</v>
      </c>
      <c r="G140" s="76" t="n">
        <f aca="false">IF(INT(MAX(0,F140))&lt;=12348,0,IF(INT(MAX(0,F140))&lt;=17799,(914.51*((INT(MAX(0,F140))-12348)/10000)+1400)*((INT(MAX(0,F140))-12348)/10000),IF(INT(MAX(0,F140))&lt;=69878,(173.1*((INT(MAX(0,F140))-17799)/10000)+2397)*((INT(MAX(0,F140))-17799)/10000)+1034.87,IF(INT(MAX(0,F140))&lt;=277825,0.42*INT(MAX(0,F140))-11135.63,0.45*INT(MAX(0,F140))-19470.38))))</f>
        <v>25080.13</v>
      </c>
      <c r="H140" s="76" t="n">
        <f aca="false">A140-B140-G140-'Plan-Annahmen'!$B$75*12</f>
        <v>61184.12</v>
      </c>
    </row>
    <row r="141" customFormat="false" ht="15" hidden="false" customHeight="false" outlineLevel="0" collapsed="false">
      <c r="A141" s="96" t="n">
        <v>106000</v>
      </c>
      <c r="B141" s="94" t="n">
        <f aca="false">MIN(MAX(A141/12,'Plan-Annahmen'!$B$87),'Plan-Annahmen'!$B$88)*12*('Plan-Annahmen'!$B$84+'Plan-Annahmen'!$B$85+'Plan-Annahmen'!$B$86)</f>
        <v>15135.75</v>
      </c>
      <c r="C141" s="94" t="n">
        <f aca="false">MAX(0,A141-B141-'Plan-Annahmen'!$B$89)</f>
        <v>90828.25</v>
      </c>
      <c r="D141" s="76" t="n">
        <f aca="false">IF(INT(MAX(0,C141))&lt;=12348,0,IF(INT(MAX(0,C141))&lt;=17799,(914.51*((INT(MAX(0,C141))-12348)/10000)+1400)*((INT(MAX(0,C141))-12348)/10000),IF(INT(MAX(0,C141))&lt;=69878,(173.1*((INT(MAX(0,C141))-17799)/10000)+2397)*((INT(MAX(0,C141))-17799)/10000)+1034.87,IF(INT(MAX(0,C141))&lt;=277825,0.42*INT(MAX(0,C141))-11135.63,0.45*INT(MAX(0,C141))-19470.38))))</f>
        <v>27012.13</v>
      </c>
      <c r="E141" s="76" t="n">
        <f aca="false">A141-B141-D141</f>
        <v>63852.12</v>
      </c>
      <c r="F141" s="94" t="n">
        <f aca="false">MAX(0,A141-B141-'Plan-Annahmen'!$B$75*12-'Plan-Annahmen'!$B$89)</f>
        <v>87228.25</v>
      </c>
      <c r="G141" s="76" t="n">
        <f aca="false">IF(INT(MAX(0,F141))&lt;=12348,0,IF(INT(MAX(0,F141))&lt;=17799,(914.51*((INT(MAX(0,F141))-12348)/10000)+1400)*((INT(MAX(0,F141))-12348)/10000),IF(INT(MAX(0,F141))&lt;=69878,(173.1*((INT(MAX(0,F141))-17799)/10000)+2397)*((INT(MAX(0,F141))-17799)/10000)+1034.87,IF(INT(MAX(0,F141))&lt;=277825,0.42*INT(MAX(0,F141))-11135.63,0.45*INT(MAX(0,F141))-19470.38))))</f>
        <v>25500.13</v>
      </c>
      <c r="H141" s="76" t="n">
        <f aca="false">A141-B141-G141-'Plan-Annahmen'!$B$75*12</f>
        <v>61764.12</v>
      </c>
    </row>
    <row r="142" customFormat="false" ht="15" hidden="false" customHeight="false" outlineLevel="0" collapsed="false">
      <c r="A142" s="96" t="n">
        <v>107000</v>
      </c>
      <c r="B142" s="94" t="n">
        <f aca="false">MIN(MAX(A142/12,'Plan-Annahmen'!$B$87),'Plan-Annahmen'!$B$88)*12*('Plan-Annahmen'!$B$84+'Plan-Annahmen'!$B$85+'Plan-Annahmen'!$B$86)</f>
        <v>15135.75</v>
      </c>
      <c r="C142" s="94" t="n">
        <f aca="false">MAX(0,A142-B142-'Plan-Annahmen'!$B$89)</f>
        <v>91828.25</v>
      </c>
      <c r="D142" s="76" t="n">
        <f aca="false">IF(INT(MAX(0,C142))&lt;=12348,0,IF(INT(MAX(0,C142))&lt;=17799,(914.51*((INT(MAX(0,C142))-12348)/10000)+1400)*((INT(MAX(0,C142))-12348)/10000),IF(INT(MAX(0,C142))&lt;=69878,(173.1*((INT(MAX(0,C142))-17799)/10000)+2397)*((INT(MAX(0,C142))-17799)/10000)+1034.87,IF(INT(MAX(0,C142))&lt;=277825,0.42*INT(MAX(0,C142))-11135.63,0.45*INT(MAX(0,C142))-19470.38))))</f>
        <v>27432.13</v>
      </c>
      <c r="E142" s="76" t="n">
        <f aca="false">A142-B142-D142</f>
        <v>64432.12</v>
      </c>
      <c r="F142" s="94" t="n">
        <f aca="false">MAX(0,A142-B142-'Plan-Annahmen'!$B$75*12-'Plan-Annahmen'!$B$89)</f>
        <v>88228.25</v>
      </c>
      <c r="G142" s="76" t="n">
        <f aca="false">IF(INT(MAX(0,F142))&lt;=12348,0,IF(INT(MAX(0,F142))&lt;=17799,(914.51*((INT(MAX(0,F142))-12348)/10000)+1400)*((INT(MAX(0,F142))-12348)/10000),IF(INT(MAX(0,F142))&lt;=69878,(173.1*((INT(MAX(0,F142))-17799)/10000)+2397)*((INT(MAX(0,F142))-17799)/10000)+1034.87,IF(INT(MAX(0,F142))&lt;=277825,0.42*INT(MAX(0,F142))-11135.63,0.45*INT(MAX(0,F142))-19470.38))))</f>
        <v>25920.13</v>
      </c>
      <c r="H142" s="76" t="n">
        <f aca="false">A142-B142-G142-'Plan-Annahmen'!$B$75*12</f>
        <v>62344.12</v>
      </c>
    </row>
    <row r="143" customFormat="false" ht="15" hidden="false" customHeight="false" outlineLevel="0" collapsed="false">
      <c r="A143" s="96" t="n">
        <v>108000</v>
      </c>
      <c r="B143" s="94" t="n">
        <f aca="false">MIN(MAX(A143/12,'Plan-Annahmen'!$B$87),'Plan-Annahmen'!$B$88)*12*('Plan-Annahmen'!$B$84+'Plan-Annahmen'!$B$85+'Plan-Annahmen'!$B$86)</f>
        <v>15135.75</v>
      </c>
      <c r="C143" s="94" t="n">
        <f aca="false">MAX(0,A143-B143-'Plan-Annahmen'!$B$89)</f>
        <v>92828.25</v>
      </c>
      <c r="D143" s="76" t="n">
        <f aca="false">IF(INT(MAX(0,C143))&lt;=12348,0,IF(INT(MAX(0,C143))&lt;=17799,(914.51*((INT(MAX(0,C143))-12348)/10000)+1400)*((INT(MAX(0,C143))-12348)/10000),IF(INT(MAX(0,C143))&lt;=69878,(173.1*((INT(MAX(0,C143))-17799)/10000)+2397)*((INT(MAX(0,C143))-17799)/10000)+1034.87,IF(INT(MAX(0,C143))&lt;=277825,0.42*INT(MAX(0,C143))-11135.63,0.45*INT(MAX(0,C143))-19470.38))))</f>
        <v>27852.13</v>
      </c>
      <c r="E143" s="76" t="n">
        <f aca="false">A143-B143-D143</f>
        <v>65012.12</v>
      </c>
      <c r="F143" s="94" t="n">
        <f aca="false">MAX(0,A143-B143-'Plan-Annahmen'!$B$75*12-'Plan-Annahmen'!$B$89)</f>
        <v>89228.25</v>
      </c>
      <c r="G143" s="76" t="n">
        <f aca="false">IF(INT(MAX(0,F143))&lt;=12348,0,IF(INT(MAX(0,F143))&lt;=17799,(914.51*((INT(MAX(0,F143))-12348)/10000)+1400)*((INT(MAX(0,F143))-12348)/10000),IF(INT(MAX(0,F143))&lt;=69878,(173.1*((INT(MAX(0,F143))-17799)/10000)+2397)*((INT(MAX(0,F143))-17799)/10000)+1034.87,IF(INT(MAX(0,F143))&lt;=277825,0.42*INT(MAX(0,F143))-11135.63,0.45*INT(MAX(0,F143))-19470.38))))</f>
        <v>26340.13</v>
      </c>
      <c r="H143" s="76" t="n">
        <f aca="false">A143-B143-G143-'Plan-Annahmen'!$B$75*12</f>
        <v>62924.12</v>
      </c>
    </row>
    <row r="144" customFormat="false" ht="15" hidden="false" customHeight="false" outlineLevel="0" collapsed="false">
      <c r="A144" s="96" t="n">
        <v>109000</v>
      </c>
      <c r="B144" s="94" t="n">
        <f aca="false">MIN(MAX(A144/12,'Plan-Annahmen'!$B$87),'Plan-Annahmen'!$B$88)*12*('Plan-Annahmen'!$B$84+'Plan-Annahmen'!$B$85+'Plan-Annahmen'!$B$86)</f>
        <v>15135.75</v>
      </c>
      <c r="C144" s="94" t="n">
        <f aca="false">MAX(0,A144-B144-'Plan-Annahmen'!$B$89)</f>
        <v>93828.25</v>
      </c>
      <c r="D144" s="76" t="n">
        <f aca="false">IF(INT(MAX(0,C144))&lt;=12348,0,IF(INT(MAX(0,C144))&lt;=17799,(914.51*((INT(MAX(0,C144))-12348)/10000)+1400)*((INT(MAX(0,C144))-12348)/10000),IF(INT(MAX(0,C144))&lt;=69878,(173.1*((INT(MAX(0,C144))-17799)/10000)+2397)*((INT(MAX(0,C144))-17799)/10000)+1034.87,IF(INT(MAX(0,C144))&lt;=277825,0.42*INT(MAX(0,C144))-11135.63,0.45*INT(MAX(0,C144))-19470.38))))</f>
        <v>28272.13</v>
      </c>
      <c r="E144" s="76" t="n">
        <f aca="false">A144-B144-D144</f>
        <v>65592.12</v>
      </c>
      <c r="F144" s="94" t="n">
        <f aca="false">MAX(0,A144-B144-'Plan-Annahmen'!$B$75*12-'Plan-Annahmen'!$B$89)</f>
        <v>90228.25</v>
      </c>
      <c r="G144" s="76" t="n">
        <f aca="false">IF(INT(MAX(0,F144))&lt;=12348,0,IF(INT(MAX(0,F144))&lt;=17799,(914.51*((INT(MAX(0,F144))-12348)/10000)+1400)*((INT(MAX(0,F144))-12348)/10000),IF(INT(MAX(0,F144))&lt;=69878,(173.1*((INT(MAX(0,F144))-17799)/10000)+2397)*((INT(MAX(0,F144))-17799)/10000)+1034.87,IF(INT(MAX(0,F144))&lt;=277825,0.42*INT(MAX(0,F144))-11135.63,0.45*INT(MAX(0,F144))-19470.38))))</f>
        <v>26760.13</v>
      </c>
      <c r="H144" s="76" t="n">
        <f aca="false">A144-B144-G144-'Plan-Annahmen'!$B$75*12</f>
        <v>63504.12</v>
      </c>
    </row>
    <row r="145" customFormat="false" ht="15" hidden="false" customHeight="false" outlineLevel="0" collapsed="false">
      <c r="A145" s="96" t="n">
        <v>110000</v>
      </c>
      <c r="B145" s="94" t="n">
        <f aca="false">MIN(MAX(A145/12,'Plan-Annahmen'!$B$87),'Plan-Annahmen'!$B$88)*12*('Plan-Annahmen'!$B$84+'Plan-Annahmen'!$B$85+'Plan-Annahmen'!$B$86)</f>
        <v>15135.75</v>
      </c>
      <c r="C145" s="94" t="n">
        <f aca="false">MAX(0,A145-B145-'Plan-Annahmen'!$B$89)</f>
        <v>94828.25</v>
      </c>
      <c r="D145" s="76" t="n">
        <f aca="false">IF(INT(MAX(0,C145))&lt;=12348,0,IF(INT(MAX(0,C145))&lt;=17799,(914.51*((INT(MAX(0,C145))-12348)/10000)+1400)*((INT(MAX(0,C145))-12348)/10000),IF(INT(MAX(0,C145))&lt;=69878,(173.1*((INT(MAX(0,C145))-17799)/10000)+2397)*((INT(MAX(0,C145))-17799)/10000)+1034.87,IF(INT(MAX(0,C145))&lt;=277825,0.42*INT(MAX(0,C145))-11135.63,0.45*INT(MAX(0,C145))-19470.38))))</f>
        <v>28692.13</v>
      </c>
      <c r="E145" s="76" t="n">
        <f aca="false">A145-B145-D145</f>
        <v>66172.12</v>
      </c>
      <c r="F145" s="94" t="n">
        <f aca="false">MAX(0,A145-B145-'Plan-Annahmen'!$B$75*12-'Plan-Annahmen'!$B$89)</f>
        <v>91228.25</v>
      </c>
      <c r="G145" s="76" t="n">
        <f aca="false">IF(INT(MAX(0,F145))&lt;=12348,0,IF(INT(MAX(0,F145))&lt;=17799,(914.51*((INT(MAX(0,F145))-12348)/10000)+1400)*((INT(MAX(0,F145))-12348)/10000),IF(INT(MAX(0,F145))&lt;=69878,(173.1*((INT(MAX(0,F145))-17799)/10000)+2397)*((INT(MAX(0,F145))-17799)/10000)+1034.87,IF(INT(MAX(0,F145))&lt;=277825,0.42*INT(MAX(0,F145))-11135.63,0.45*INT(MAX(0,F145))-19470.38))))</f>
        <v>27180.13</v>
      </c>
      <c r="H145" s="76" t="n">
        <f aca="false">A145-B145-G145-'Plan-Annahmen'!$B$75*12</f>
        <v>64084.12</v>
      </c>
    </row>
    <row r="146" customFormat="false" ht="15" hidden="false" customHeight="false" outlineLevel="0" collapsed="false">
      <c r="A146" s="96" t="n">
        <v>111000</v>
      </c>
      <c r="B146" s="94" t="n">
        <f aca="false">MIN(MAX(A146/12,'Plan-Annahmen'!$B$87),'Plan-Annahmen'!$B$88)*12*('Plan-Annahmen'!$B$84+'Plan-Annahmen'!$B$85+'Plan-Annahmen'!$B$86)</f>
        <v>15135.75</v>
      </c>
      <c r="C146" s="94" t="n">
        <f aca="false">MAX(0,A146-B146-'Plan-Annahmen'!$B$89)</f>
        <v>95828.25</v>
      </c>
      <c r="D146" s="76" t="n">
        <f aca="false">IF(INT(MAX(0,C146))&lt;=12348,0,IF(INT(MAX(0,C146))&lt;=17799,(914.51*((INT(MAX(0,C146))-12348)/10000)+1400)*((INT(MAX(0,C146))-12348)/10000),IF(INT(MAX(0,C146))&lt;=69878,(173.1*((INT(MAX(0,C146))-17799)/10000)+2397)*((INT(MAX(0,C146))-17799)/10000)+1034.87,IF(INT(MAX(0,C146))&lt;=277825,0.42*INT(MAX(0,C146))-11135.63,0.45*INT(MAX(0,C146))-19470.38))))</f>
        <v>29112.13</v>
      </c>
      <c r="E146" s="76" t="n">
        <f aca="false">A146-B146-D146</f>
        <v>66752.12</v>
      </c>
      <c r="F146" s="94" t="n">
        <f aca="false">MAX(0,A146-B146-'Plan-Annahmen'!$B$75*12-'Plan-Annahmen'!$B$89)</f>
        <v>92228.25</v>
      </c>
      <c r="G146" s="76" t="n">
        <f aca="false">IF(INT(MAX(0,F146))&lt;=12348,0,IF(INT(MAX(0,F146))&lt;=17799,(914.51*((INT(MAX(0,F146))-12348)/10000)+1400)*((INT(MAX(0,F146))-12348)/10000),IF(INT(MAX(0,F146))&lt;=69878,(173.1*((INT(MAX(0,F146))-17799)/10000)+2397)*((INT(MAX(0,F146))-17799)/10000)+1034.87,IF(INT(MAX(0,F146))&lt;=277825,0.42*INT(MAX(0,F146))-11135.63,0.45*INT(MAX(0,F146))-19470.38))))</f>
        <v>27600.13</v>
      </c>
      <c r="H146" s="76" t="n">
        <f aca="false">A146-B146-G146-'Plan-Annahmen'!$B$75*12</f>
        <v>64664.12</v>
      </c>
    </row>
    <row r="147" customFormat="false" ht="15" hidden="false" customHeight="false" outlineLevel="0" collapsed="false">
      <c r="A147" s="96" t="n">
        <v>112000</v>
      </c>
      <c r="B147" s="94" t="n">
        <f aca="false">MIN(MAX(A147/12,'Plan-Annahmen'!$B$87),'Plan-Annahmen'!$B$88)*12*('Plan-Annahmen'!$B$84+'Plan-Annahmen'!$B$85+'Plan-Annahmen'!$B$86)</f>
        <v>15135.75</v>
      </c>
      <c r="C147" s="94" t="n">
        <f aca="false">MAX(0,A147-B147-'Plan-Annahmen'!$B$89)</f>
        <v>96828.25</v>
      </c>
      <c r="D147" s="76" t="n">
        <f aca="false">IF(INT(MAX(0,C147))&lt;=12348,0,IF(INT(MAX(0,C147))&lt;=17799,(914.51*((INT(MAX(0,C147))-12348)/10000)+1400)*((INT(MAX(0,C147))-12348)/10000),IF(INT(MAX(0,C147))&lt;=69878,(173.1*((INT(MAX(0,C147))-17799)/10000)+2397)*((INT(MAX(0,C147))-17799)/10000)+1034.87,IF(INT(MAX(0,C147))&lt;=277825,0.42*INT(MAX(0,C147))-11135.63,0.45*INT(MAX(0,C147))-19470.38))))</f>
        <v>29532.13</v>
      </c>
      <c r="E147" s="76" t="n">
        <f aca="false">A147-B147-D147</f>
        <v>67332.12</v>
      </c>
      <c r="F147" s="94" t="n">
        <f aca="false">MAX(0,A147-B147-'Plan-Annahmen'!$B$75*12-'Plan-Annahmen'!$B$89)</f>
        <v>93228.25</v>
      </c>
      <c r="G147" s="76" t="n">
        <f aca="false">IF(INT(MAX(0,F147))&lt;=12348,0,IF(INT(MAX(0,F147))&lt;=17799,(914.51*((INT(MAX(0,F147))-12348)/10000)+1400)*((INT(MAX(0,F147))-12348)/10000),IF(INT(MAX(0,F147))&lt;=69878,(173.1*((INT(MAX(0,F147))-17799)/10000)+2397)*((INT(MAX(0,F147))-17799)/10000)+1034.87,IF(INT(MAX(0,F147))&lt;=277825,0.42*INT(MAX(0,F147))-11135.63,0.45*INT(MAX(0,F147))-19470.38))))</f>
        <v>28020.13</v>
      </c>
      <c r="H147" s="76" t="n">
        <f aca="false">A147-B147-G147-'Plan-Annahmen'!$B$75*12</f>
        <v>65244.12</v>
      </c>
    </row>
    <row r="148" customFormat="false" ht="15" hidden="false" customHeight="false" outlineLevel="0" collapsed="false">
      <c r="A148" s="96" t="n">
        <v>113000</v>
      </c>
      <c r="B148" s="94" t="n">
        <f aca="false">MIN(MAX(A148/12,'Plan-Annahmen'!$B$87),'Plan-Annahmen'!$B$88)*12*('Plan-Annahmen'!$B$84+'Plan-Annahmen'!$B$85+'Plan-Annahmen'!$B$86)</f>
        <v>15135.75</v>
      </c>
      <c r="C148" s="94" t="n">
        <f aca="false">MAX(0,A148-B148-'Plan-Annahmen'!$B$89)</f>
        <v>97828.25</v>
      </c>
      <c r="D148" s="76" t="n">
        <f aca="false">IF(INT(MAX(0,C148))&lt;=12348,0,IF(INT(MAX(0,C148))&lt;=17799,(914.51*((INT(MAX(0,C148))-12348)/10000)+1400)*((INT(MAX(0,C148))-12348)/10000),IF(INT(MAX(0,C148))&lt;=69878,(173.1*((INT(MAX(0,C148))-17799)/10000)+2397)*((INT(MAX(0,C148))-17799)/10000)+1034.87,IF(INT(MAX(0,C148))&lt;=277825,0.42*INT(MAX(0,C148))-11135.63,0.45*INT(MAX(0,C148))-19470.38))))</f>
        <v>29952.13</v>
      </c>
      <c r="E148" s="76" t="n">
        <f aca="false">A148-B148-D148</f>
        <v>67912.12</v>
      </c>
      <c r="F148" s="94" t="n">
        <f aca="false">MAX(0,A148-B148-'Plan-Annahmen'!$B$75*12-'Plan-Annahmen'!$B$89)</f>
        <v>94228.25</v>
      </c>
      <c r="G148" s="76" t="n">
        <f aca="false">IF(INT(MAX(0,F148))&lt;=12348,0,IF(INT(MAX(0,F148))&lt;=17799,(914.51*((INT(MAX(0,F148))-12348)/10000)+1400)*((INT(MAX(0,F148))-12348)/10000),IF(INT(MAX(0,F148))&lt;=69878,(173.1*((INT(MAX(0,F148))-17799)/10000)+2397)*((INT(MAX(0,F148))-17799)/10000)+1034.87,IF(INT(MAX(0,F148))&lt;=277825,0.42*INT(MAX(0,F148))-11135.63,0.45*INT(MAX(0,F148))-19470.38))))</f>
        <v>28440.13</v>
      </c>
      <c r="H148" s="76" t="n">
        <f aca="false">A148-B148-G148-'Plan-Annahmen'!$B$75*12</f>
        <v>65824.12</v>
      </c>
    </row>
    <row r="149" customFormat="false" ht="15" hidden="false" customHeight="false" outlineLevel="0" collapsed="false">
      <c r="A149" s="96" t="n">
        <v>114000</v>
      </c>
      <c r="B149" s="94" t="n">
        <f aca="false">MIN(MAX(A149/12,'Plan-Annahmen'!$B$87),'Plan-Annahmen'!$B$88)*12*('Plan-Annahmen'!$B$84+'Plan-Annahmen'!$B$85+'Plan-Annahmen'!$B$86)</f>
        <v>15135.75</v>
      </c>
      <c r="C149" s="94" t="n">
        <f aca="false">MAX(0,A149-B149-'Plan-Annahmen'!$B$89)</f>
        <v>98828.25</v>
      </c>
      <c r="D149" s="76" t="n">
        <f aca="false">IF(INT(MAX(0,C149))&lt;=12348,0,IF(INT(MAX(0,C149))&lt;=17799,(914.51*((INT(MAX(0,C149))-12348)/10000)+1400)*((INT(MAX(0,C149))-12348)/10000),IF(INT(MAX(0,C149))&lt;=69878,(173.1*((INT(MAX(0,C149))-17799)/10000)+2397)*((INT(MAX(0,C149))-17799)/10000)+1034.87,IF(INT(MAX(0,C149))&lt;=277825,0.42*INT(MAX(0,C149))-11135.63,0.45*INT(MAX(0,C149))-19470.38))))</f>
        <v>30372.13</v>
      </c>
      <c r="E149" s="76" t="n">
        <f aca="false">A149-B149-D149</f>
        <v>68492.12</v>
      </c>
      <c r="F149" s="94" t="n">
        <f aca="false">MAX(0,A149-B149-'Plan-Annahmen'!$B$75*12-'Plan-Annahmen'!$B$89)</f>
        <v>95228.25</v>
      </c>
      <c r="G149" s="76" t="n">
        <f aca="false">IF(INT(MAX(0,F149))&lt;=12348,0,IF(INT(MAX(0,F149))&lt;=17799,(914.51*((INT(MAX(0,F149))-12348)/10000)+1400)*((INT(MAX(0,F149))-12348)/10000),IF(INT(MAX(0,F149))&lt;=69878,(173.1*((INT(MAX(0,F149))-17799)/10000)+2397)*((INT(MAX(0,F149))-17799)/10000)+1034.87,IF(INT(MAX(0,F149))&lt;=277825,0.42*INT(MAX(0,F149))-11135.63,0.45*INT(MAX(0,F149))-19470.38))))</f>
        <v>28860.13</v>
      </c>
      <c r="H149" s="76" t="n">
        <f aca="false">A149-B149-G149-'Plan-Annahmen'!$B$75*12</f>
        <v>66404.12</v>
      </c>
    </row>
    <row r="150" customFormat="false" ht="15" hidden="false" customHeight="false" outlineLevel="0" collapsed="false">
      <c r="A150" s="96" t="n">
        <v>115000</v>
      </c>
      <c r="B150" s="94" t="n">
        <f aca="false">MIN(MAX(A150/12,'Plan-Annahmen'!$B$87),'Plan-Annahmen'!$B$88)*12*('Plan-Annahmen'!$B$84+'Plan-Annahmen'!$B$85+'Plan-Annahmen'!$B$86)</f>
        <v>15135.75</v>
      </c>
      <c r="C150" s="94" t="n">
        <f aca="false">MAX(0,A150-B150-'Plan-Annahmen'!$B$89)</f>
        <v>99828.25</v>
      </c>
      <c r="D150" s="76" t="n">
        <f aca="false">IF(INT(MAX(0,C150))&lt;=12348,0,IF(INT(MAX(0,C150))&lt;=17799,(914.51*((INT(MAX(0,C150))-12348)/10000)+1400)*((INT(MAX(0,C150))-12348)/10000),IF(INT(MAX(0,C150))&lt;=69878,(173.1*((INT(MAX(0,C150))-17799)/10000)+2397)*((INT(MAX(0,C150))-17799)/10000)+1034.87,IF(INT(MAX(0,C150))&lt;=277825,0.42*INT(MAX(0,C150))-11135.63,0.45*INT(MAX(0,C150))-19470.38))))</f>
        <v>30792.13</v>
      </c>
      <c r="E150" s="76" t="n">
        <f aca="false">A150-B150-D150</f>
        <v>69072.12</v>
      </c>
      <c r="F150" s="94" t="n">
        <f aca="false">MAX(0,A150-B150-'Plan-Annahmen'!$B$75*12-'Plan-Annahmen'!$B$89)</f>
        <v>96228.25</v>
      </c>
      <c r="G150" s="76" t="n">
        <f aca="false">IF(INT(MAX(0,F150))&lt;=12348,0,IF(INT(MAX(0,F150))&lt;=17799,(914.51*((INT(MAX(0,F150))-12348)/10000)+1400)*((INT(MAX(0,F150))-12348)/10000),IF(INT(MAX(0,F150))&lt;=69878,(173.1*((INT(MAX(0,F150))-17799)/10000)+2397)*((INT(MAX(0,F150))-17799)/10000)+1034.87,IF(INT(MAX(0,F150))&lt;=277825,0.42*INT(MAX(0,F150))-11135.63,0.45*INT(MAX(0,F150))-19470.38))))</f>
        <v>29280.13</v>
      </c>
      <c r="H150" s="76" t="n">
        <f aca="false">A150-B150-G150-'Plan-Annahmen'!$B$75*12</f>
        <v>66984.12</v>
      </c>
    </row>
    <row r="151" customFormat="false" ht="15" hidden="false" customHeight="false" outlineLevel="0" collapsed="false">
      <c r="A151" s="96" t="n">
        <v>116000</v>
      </c>
      <c r="B151" s="94" t="n">
        <f aca="false">MIN(MAX(A151/12,'Plan-Annahmen'!$B$87),'Plan-Annahmen'!$B$88)*12*('Plan-Annahmen'!$B$84+'Plan-Annahmen'!$B$85+'Plan-Annahmen'!$B$86)</f>
        <v>15135.75</v>
      </c>
      <c r="C151" s="94" t="n">
        <f aca="false">MAX(0,A151-B151-'Plan-Annahmen'!$B$89)</f>
        <v>100828.25</v>
      </c>
      <c r="D151" s="76" t="n">
        <f aca="false">IF(INT(MAX(0,C151))&lt;=12348,0,IF(INT(MAX(0,C151))&lt;=17799,(914.51*((INT(MAX(0,C151))-12348)/10000)+1400)*((INT(MAX(0,C151))-12348)/10000),IF(INT(MAX(0,C151))&lt;=69878,(173.1*((INT(MAX(0,C151))-17799)/10000)+2397)*((INT(MAX(0,C151))-17799)/10000)+1034.87,IF(INT(MAX(0,C151))&lt;=277825,0.42*INT(MAX(0,C151))-11135.63,0.45*INT(MAX(0,C151))-19470.38))))</f>
        <v>31212.13</v>
      </c>
      <c r="E151" s="76" t="n">
        <f aca="false">A151-B151-D151</f>
        <v>69652.12</v>
      </c>
      <c r="F151" s="94" t="n">
        <f aca="false">MAX(0,A151-B151-'Plan-Annahmen'!$B$75*12-'Plan-Annahmen'!$B$89)</f>
        <v>97228.25</v>
      </c>
      <c r="G151" s="76" t="n">
        <f aca="false">IF(INT(MAX(0,F151))&lt;=12348,0,IF(INT(MAX(0,F151))&lt;=17799,(914.51*((INT(MAX(0,F151))-12348)/10000)+1400)*((INT(MAX(0,F151))-12348)/10000),IF(INT(MAX(0,F151))&lt;=69878,(173.1*((INT(MAX(0,F151))-17799)/10000)+2397)*((INT(MAX(0,F151))-17799)/10000)+1034.87,IF(INT(MAX(0,F151))&lt;=277825,0.42*INT(MAX(0,F151))-11135.63,0.45*INT(MAX(0,F151))-19470.38))))</f>
        <v>29700.13</v>
      </c>
      <c r="H151" s="76" t="n">
        <f aca="false">A151-B151-G151-'Plan-Annahmen'!$B$75*12</f>
        <v>67564.12</v>
      </c>
    </row>
    <row r="152" customFormat="false" ht="15" hidden="false" customHeight="false" outlineLevel="0" collapsed="false">
      <c r="A152" s="96" t="n">
        <v>117000</v>
      </c>
      <c r="B152" s="94" t="n">
        <f aca="false">MIN(MAX(A152/12,'Plan-Annahmen'!$B$87),'Plan-Annahmen'!$B$88)*12*('Plan-Annahmen'!$B$84+'Plan-Annahmen'!$B$85+'Plan-Annahmen'!$B$86)</f>
        <v>15135.75</v>
      </c>
      <c r="C152" s="94" t="n">
        <f aca="false">MAX(0,A152-B152-'Plan-Annahmen'!$B$89)</f>
        <v>101828.25</v>
      </c>
      <c r="D152" s="76" t="n">
        <f aca="false">IF(INT(MAX(0,C152))&lt;=12348,0,IF(INT(MAX(0,C152))&lt;=17799,(914.51*((INT(MAX(0,C152))-12348)/10000)+1400)*((INT(MAX(0,C152))-12348)/10000),IF(INT(MAX(0,C152))&lt;=69878,(173.1*((INT(MAX(0,C152))-17799)/10000)+2397)*((INT(MAX(0,C152))-17799)/10000)+1034.87,IF(INT(MAX(0,C152))&lt;=277825,0.42*INT(MAX(0,C152))-11135.63,0.45*INT(MAX(0,C152))-19470.38))))</f>
        <v>31632.13</v>
      </c>
      <c r="E152" s="76" t="n">
        <f aca="false">A152-B152-D152</f>
        <v>70232.12</v>
      </c>
      <c r="F152" s="94" t="n">
        <f aca="false">MAX(0,A152-B152-'Plan-Annahmen'!$B$75*12-'Plan-Annahmen'!$B$89)</f>
        <v>98228.25</v>
      </c>
      <c r="G152" s="76" t="n">
        <f aca="false">IF(INT(MAX(0,F152))&lt;=12348,0,IF(INT(MAX(0,F152))&lt;=17799,(914.51*((INT(MAX(0,F152))-12348)/10000)+1400)*((INT(MAX(0,F152))-12348)/10000),IF(INT(MAX(0,F152))&lt;=69878,(173.1*((INT(MAX(0,F152))-17799)/10000)+2397)*((INT(MAX(0,F152))-17799)/10000)+1034.87,IF(INT(MAX(0,F152))&lt;=277825,0.42*INT(MAX(0,F152))-11135.63,0.45*INT(MAX(0,F152))-19470.38))))</f>
        <v>30120.13</v>
      </c>
      <c r="H152" s="76" t="n">
        <f aca="false">A152-B152-G152-'Plan-Annahmen'!$B$75*12</f>
        <v>68144.12</v>
      </c>
    </row>
    <row r="153" customFormat="false" ht="15" hidden="false" customHeight="false" outlineLevel="0" collapsed="false">
      <c r="A153" s="96" t="n">
        <v>118000</v>
      </c>
      <c r="B153" s="94" t="n">
        <f aca="false">MIN(MAX(A153/12,'Plan-Annahmen'!$B$87),'Plan-Annahmen'!$B$88)*12*('Plan-Annahmen'!$B$84+'Plan-Annahmen'!$B$85+'Plan-Annahmen'!$B$86)</f>
        <v>15135.75</v>
      </c>
      <c r="C153" s="94" t="n">
        <f aca="false">MAX(0,A153-B153-'Plan-Annahmen'!$B$89)</f>
        <v>102828.25</v>
      </c>
      <c r="D153" s="76" t="n">
        <f aca="false">IF(INT(MAX(0,C153))&lt;=12348,0,IF(INT(MAX(0,C153))&lt;=17799,(914.51*((INT(MAX(0,C153))-12348)/10000)+1400)*((INT(MAX(0,C153))-12348)/10000),IF(INT(MAX(0,C153))&lt;=69878,(173.1*((INT(MAX(0,C153))-17799)/10000)+2397)*((INT(MAX(0,C153))-17799)/10000)+1034.87,IF(INT(MAX(0,C153))&lt;=277825,0.42*INT(MAX(0,C153))-11135.63,0.45*INT(MAX(0,C153))-19470.38))))</f>
        <v>32052.13</v>
      </c>
      <c r="E153" s="76" t="n">
        <f aca="false">A153-B153-D153</f>
        <v>70812.12</v>
      </c>
      <c r="F153" s="94" t="n">
        <f aca="false">MAX(0,A153-B153-'Plan-Annahmen'!$B$75*12-'Plan-Annahmen'!$B$89)</f>
        <v>99228.25</v>
      </c>
      <c r="G153" s="76" t="n">
        <f aca="false">IF(INT(MAX(0,F153))&lt;=12348,0,IF(INT(MAX(0,F153))&lt;=17799,(914.51*((INT(MAX(0,F153))-12348)/10000)+1400)*((INT(MAX(0,F153))-12348)/10000),IF(INT(MAX(0,F153))&lt;=69878,(173.1*((INT(MAX(0,F153))-17799)/10000)+2397)*((INT(MAX(0,F153))-17799)/10000)+1034.87,IF(INT(MAX(0,F153))&lt;=277825,0.42*INT(MAX(0,F153))-11135.63,0.45*INT(MAX(0,F153))-19470.38))))</f>
        <v>30540.13</v>
      </c>
      <c r="H153" s="76" t="n">
        <f aca="false">A153-B153-G153-'Plan-Annahmen'!$B$75*12</f>
        <v>68724.12</v>
      </c>
    </row>
    <row r="154" customFormat="false" ht="15" hidden="false" customHeight="false" outlineLevel="0" collapsed="false">
      <c r="A154" s="96" t="n">
        <v>119000</v>
      </c>
      <c r="B154" s="94" t="n">
        <f aca="false">MIN(MAX(A154/12,'Plan-Annahmen'!$B$87),'Plan-Annahmen'!$B$88)*12*('Plan-Annahmen'!$B$84+'Plan-Annahmen'!$B$85+'Plan-Annahmen'!$B$86)</f>
        <v>15135.75</v>
      </c>
      <c r="C154" s="94" t="n">
        <f aca="false">MAX(0,A154-B154-'Plan-Annahmen'!$B$89)</f>
        <v>103828.25</v>
      </c>
      <c r="D154" s="76" t="n">
        <f aca="false">IF(INT(MAX(0,C154))&lt;=12348,0,IF(INT(MAX(0,C154))&lt;=17799,(914.51*((INT(MAX(0,C154))-12348)/10000)+1400)*((INT(MAX(0,C154))-12348)/10000),IF(INT(MAX(0,C154))&lt;=69878,(173.1*((INT(MAX(0,C154))-17799)/10000)+2397)*((INT(MAX(0,C154))-17799)/10000)+1034.87,IF(INT(MAX(0,C154))&lt;=277825,0.42*INT(MAX(0,C154))-11135.63,0.45*INT(MAX(0,C154))-19470.38))))</f>
        <v>32472.13</v>
      </c>
      <c r="E154" s="76" t="n">
        <f aca="false">A154-B154-D154</f>
        <v>71392.12</v>
      </c>
      <c r="F154" s="94" t="n">
        <f aca="false">MAX(0,A154-B154-'Plan-Annahmen'!$B$75*12-'Plan-Annahmen'!$B$89)</f>
        <v>100228.25</v>
      </c>
      <c r="G154" s="76" t="n">
        <f aca="false">IF(INT(MAX(0,F154))&lt;=12348,0,IF(INT(MAX(0,F154))&lt;=17799,(914.51*((INT(MAX(0,F154))-12348)/10000)+1400)*((INT(MAX(0,F154))-12348)/10000),IF(INT(MAX(0,F154))&lt;=69878,(173.1*((INT(MAX(0,F154))-17799)/10000)+2397)*((INT(MAX(0,F154))-17799)/10000)+1034.87,IF(INT(MAX(0,F154))&lt;=277825,0.42*INT(MAX(0,F154))-11135.63,0.45*INT(MAX(0,F154))-19470.38))))</f>
        <v>30960.13</v>
      </c>
      <c r="H154" s="76" t="n">
        <f aca="false">A154-B154-G154-'Plan-Annahmen'!$B$75*12</f>
        <v>69304.12</v>
      </c>
    </row>
    <row r="155" customFormat="false" ht="15" hidden="false" customHeight="false" outlineLevel="0" collapsed="false">
      <c r="A155" s="96" t="n">
        <v>120000</v>
      </c>
      <c r="B155" s="94" t="n">
        <f aca="false">MIN(MAX(A155/12,'Plan-Annahmen'!$B$87),'Plan-Annahmen'!$B$88)*12*('Plan-Annahmen'!$B$84+'Plan-Annahmen'!$B$85+'Plan-Annahmen'!$B$86)</f>
        <v>15135.75</v>
      </c>
      <c r="C155" s="94" t="n">
        <f aca="false">MAX(0,A155-B155-'Plan-Annahmen'!$B$89)</f>
        <v>104828.25</v>
      </c>
      <c r="D155" s="76" t="n">
        <f aca="false">IF(INT(MAX(0,C155))&lt;=12348,0,IF(INT(MAX(0,C155))&lt;=17799,(914.51*((INT(MAX(0,C155))-12348)/10000)+1400)*((INT(MAX(0,C155))-12348)/10000),IF(INT(MAX(0,C155))&lt;=69878,(173.1*((INT(MAX(0,C155))-17799)/10000)+2397)*((INT(MAX(0,C155))-17799)/10000)+1034.87,IF(INT(MAX(0,C155))&lt;=277825,0.42*INT(MAX(0,C155))-11135.63,0.45*INT(MAX(0,C155))-19470.38))))</f>
        <v>32892.13</v>
      </c>
      <c r="E155" s="76" t="n">
        <f aca="false">A155-B155-D155</f>
        <v>71972.12</v>
      </c>
      <c r="F155" s="94" t="n">
        <f aca="false">MAX(0,A155-B155-'Plan-Annahmen'!$B$75*12-'Plan-Annahmen'!$B$89)</f>
        <v>101228.25</v>
      </c>
      <c r="G155" s="76" t="n">
        <f aca="false">IF(INT(MAX(0,F155))&lt;=12348,0,IF(INT(MAX(0,F155))&lt;=17799,(914.51*((INT(MAX(0,F155))-12348)/10000)+1400)*((INT(MAX(0,F155))-12348)/10000),IF(INT(MAX(0,F155))&lt;=69878,(173.1*((INT(MAX(0,F155))-17799)/10000)+2397)*((INT(MAX(0,F155))-17799)/10000)+1034.87,IF(INT(MAX(0,F155))&lt;=277825,0.42*INT(MAX(0,F155))-11135.63,0.45*INT(MAX(0,F155))-19470.38))))</f>
        <v>31380.13</v>
      </c>
      <c r="H155" s="76" t="n">
        <f aca="false">A155-B155-G155-'Plan-Annahmen'!$B$75*12</f>
        <v>69884.12</v>
      </c>
    </row>
    <row r="156" customFormat="false" ht="15" hidden="false" customHeight="false" outlineLevel="0" collapsed="false">
      <c r="A156" s="96" t="n">
        <v>121000</v>
      </c>
      <c r="B156" s="94" t="n">
        <f aca="false">MIN(MAX(A156/12,'Plan-Annahmen'!$B$87),'Plan-Annahmen'!$B$88)*12*('Plan-Annahmen'!$B$84+'Plan-Annahmen'!$B$85+'Plan-Annahmen'!$B$86)</f>
        <v>15135.75</v>
      </c>
      <c r="C156" s="94" t="n">
        <f aca="false">MAX(0,A156-B156-'Plan-Annahmen'!$B$89)</f>
        <v>105828.25</v>
      </c>
      <c r="D156" s="76" t="n">
        <f aca="false">IF(INT(MAX(0,C156))&lt;=12348,0,IF(INT(MAX(0,C156))&lt;=17799,(914.51*((INT(MAX(0,C156))-12348)/10000)+1400)*((INT(MAX(0,C156))-12348)/10000),IF(INT(MAX(0,C156))&lt;=69878,(173.1*((INT(MAX(0,C156))-17799)/10000)+2397)*((INT(MAX(0,C156))-17799)/10000)+1034.87,IF(INT(MAX(0,C156))&lt;=277825,0.42*INT(MAX(0,C156))-11135.63,0.45*INT(MAX(0,C156))-19470.38))))</f>
        <v>33312.13</v>
      </c>
      <c r="E156" s="76" t="n">
        <f aca="false">A156-B156-D156</f>
        <v>72552.12</v>
      </c>
      <c r="F156" s="94" t="n">
        <f aca="false">MAX(0,A156-B156-'Plan-Annahmen'!$B$75*12-'Plan-Annahmen'!$B$89)</f>
        <v>102228.25</v>
      </c>
      <c r="G156" s="76" t="n">
        <f aca="false">IF(INT(MAX(0,F156))&lt;=12348,0,IF(INT(MAX(0,F156))&lt;=17799,(914.51*((INT(MAX(0,F156))-12348)/10000)+1400)*((INT(MAX(0,F156))-12348)/10000),IF(INT(MAX(0,F156))&lt;=69878,(173.1*((INT(MAX(0,F156))-17799)/10000)+2397)*((INT(MAX(0,F156))-17799)/10000)+1034.87,IF(INT(MAX(0,F156))&lt;=277825,0.42*INT(MAX(0,F156))-11135.63,0.45*INT(MAX(0,F156))-19470.38))))</f>
        <v>31800.13</v>
      </c>
      <c r="H156" s="76" t="n">
        <f aca="false">A156-B156-G156-'Plan-Annahmen'!$B$75*12</f>
        <v>70464.12</v>
      </c>
    </row>
    <row r="157" customFormat="false" ht="15" hidden="false" customHeight="false" outlineLevel="0" collapsed="false">
      <c r="A157" s="96" t="n">
        <v>122000</v>
      </c>
      <c r="B157" s="94" t="n">
        <f aca="false">MIN(MAX(A157/12,'Plan-Annahmen'!$B$87),'Plan-Annahmen'!$B$88)*12*('Plan-Annahmen'!$B$84+'Plan-Annahmen'!$B$85+'Plan-Annahmen'!$B$86)</f>
        <v>15135.75</v>
      </c>
      <c r="C157" s="94" t="n">
        <f aca="false">MAX(0,A157-B157-'Plan-Annahmen'!$B$89)</f>
        <v>106828.25</v>
      </c>
      <c r="D157" s="76" t="n">
        <f aca="false">IF(INT(MAX(0,C157))&lt;=12348,0,IF(INT(MAX(0,C157))&lt;=17799,(914.51*((INT(MAX(0,C157))-12348)/10000)+1400)*((INT(MAX(0,C157))-12348)/10000),IF(INT(MAX(0,C157))&lt;=69878,(173.1*((INT(MAX(0,C157))-17799)/10000)+2397)*((INT(MAX(0,C157))-17799)/10000)+1034.87,IF(INT(MAX(0,C157))&lt;=277825,0.42*INT(MAX(0,C157))-11135.63,0.45*INT(MAX(0,C157))-19470.38))))</f>
        <v>33732.13</v>
      </c>
      <c r="E157" s="76" t="n">
        <f aca="false">A157-B157-D157</f>
        <v>73132.12</v>
      </c>
      <c r="F157" s="94" t="n">
        <f aca="false">MAX(0,A157-B157-'Plan-Annahmen'!$B$75*12-'Plan-Annahmen'!$B$89)</f>
        <v>103228.25</v>
      </c>
      <c r="G157" s="76" t="n">
        <f aca="false">IF(INT(MAX(0,F157))&lt;=12348,0,IF(INT(MAX(0,F157))&lt;=17799,(914.51*((INT(MAX(0,F157))-12348)/10000)+1400)*((INT(MAX(0,F157))-12348)/10000),IF(INT(MAX(0,F157))&lt;=69878,(173.1*((INT(MAX(0,F157))-17799)/10000)+2397)*((INT(MAX(0,F157))-17799)/10000)+1034.87,IF(INT(MAX(0,F157))&lt;=277825,0.42*INT(MAX(0,F157))-11135.63,0.45*INT(MAX(0,F157))-19470.38))))</f>
        <v>32220.13</v>
      </c>
      <c r="H157" s="76" t="n">
        <f aca="false">A157-B157-G157-'Plan-Annahmen'!$B$75*12</f>
        <v>71044.12</v>
      </c>
    </row>
    <row r="158" customFormat="false" ht="15" hidden="false" customHeight="false" outlineLevel="0" collapsed="false">
      <c r="A158" s="96" t="n">
        <v>123000</v>
      </c>
      <c r="B158" s="94" t="n">
        <f aca="false">MIN(MAX(A158/12,'Plan-Annahmen'!$B$87),'Plan-Annahmen'!$B$88)*12*('Plan-Annahmen'!$B$84+'Plan-Annahmen'!$B$85+'Plan-Annahmen'!$B$86)</f>
        <v>15135.75</v>
      </c>
      <c r="C158" s="94" t="n">
        <f aca="false">MAX(0,A158-B158-'Plan-Annahmen'!$B$89)</f>
        <v>107828.25</v>
      </c>
      <c r="D158" s="76" t="n">
        <f aca="false">IF(INT(MAX(0,C158))&lt;=12348,0,IF(INT(MAX(0,C158))&lt;=17799,(914.51*((INT(MAX(0,C158))-12348)/10000)+1400)*((INT(MAX(0,C158))-12348)/10000),IF(INT(MAX(0,C158))&lt;=69878,(173.1*((INT(MAX(0,C158))-17799)/10000)+2397)*((INT(MAX(0,C158))-17799)/10000)+1034.87,IF(INT(MAX(0,C158))&lt;=277825,0.42*INT(MAX(0,C158))-11135.63,0.45*INT(MAX(0,C158))-19470.38))))</f>
        <v>34152.13</v>
      </c>
      <c r="E158" s="76" t="n">
        <f aca="false">A158-B158-D158</f>
        <v>73712.12</v>
      </c>
      <c r="F158" s="94" t="n">
        <f aca="false">MAX(0,A158-B158-'Plan-Annahmen'!$B$75*12-'Plan-Annahmen'!$B$89)</f>
        <v>104228.25</v>
      </c>
      <c r="G158" s="76" t="n">
        <f aca="false">IF(INT(MAX(0,F158))&lt;=12348,0,IF(INT(MAX(0,F158))&lt;=17799,(914.51*((INT(MAX(0,F158))-12348)/10000)+1400)*((INT(MAX(0,F158))-12348)/10000),IF(INT(MAX(0,F158))&lt;=69878,(173.1*((INT(MAX(0,F158))-17799)/10000)+2397)*((INT(MAX(0,F158))-17799)/10000)+1034.87,IF(INT(MAX(0,F158))&lt;=277825,0.42*INT(MAX(0,F158))-11135.63,0.45*INT(MAX(0,F158))-19470.38))))</f>
        <v>32640.13</v>
      </c>
      <c r="H158" s="76" t="n">
        <f aca="false">A158-B158-G158-'Plan-Annahmen'!$B$75*12</f>
        <v>71624.12</v>
      </c>
    </row>
    <row r="159" customFormat="false" ht="15" hidden="false" customHeight="false" outlineLevel="0" collapsed="false">
      <c r="A159" s="96" t="n">
        <v>124000</v>
      </c>
      <c r="B159" s="94" t="n">
        <f aca="false">MIN(MAX(A159/12,'Plan-Annahmen'!$B$87),'Plan-Annahmen'!$B$88)*12*('Plan-Annahmen'!$B$84+'Plan-Annahmen'!$B$85+'Plan-Annahmen'!$B$86)</f>
        <v>15135.75</v>
      </c>
      <c r="C159" s="94" t="n">
        <f aca="false">MAX(0,A159-B159-'Plan-Annahmen'!$B$89)</f>
        <v>108828.25</v>
      </c>
      <c r="D159" s="76" t="n">
        <f aca="false">IF(INT(MAX(0,C159))&lt;=12348,0,IF(INT(MAX(0,C159))&lt;=17799,(914.51*((INT(MAX(0,C159))-12348)/10000)+1400)*((INT(MAX(0,C159))-12348)/10000),IF(INT(MAX(0,C159))&lt;=69878,(173.1*((INT(MAX(0,C159))-17799)/10000)+2397)*((INT(MAX(0,C159))-17799)/10000)+1034.87,IF(INT(MAX(0,C159))&lt;=277825,0.42*INT(MAX(0,C159))-11135.63,0.45*INT(MAX(0,C159))-19470.38))))</f>
        <v>34572.13</v>
      </c>
      <c r="E159" s="76" t="n">
        <f aca="false">A159-B159-D159</f>
        <v>74292.12</v>
      </c>
      <c r="F159" s="94" t="n">
        <f aca="false">MAX(0,A159-B159-'Plan-Annahmen'!$B$75*12-'Plan-Annahmen'!$B$89)</f>
        <v>105228.25</v>
      </c>
      <c r="G159" s="76" t="n">
        <f aca="false">IF(INT(MAX(0,F159))&lt;=12348,0,IF(INT(MAX(0,F159))&lt;=17799,(914.51*((INT(MAX(0,F159))-12348)/10000)+1400)*((INT(MAX(0,F159))-12348)/10000),IF(INT(MAX(0,F159))&lt;=69878,(173.1*((INT(MAX(0,F159))-17799)/10000)+2397)*((INT(MAX(0,F159))-17799)/10000)+1034.87,IF(INT(MAX(0,F159))&lt;=277825,0.42*INT(MAX(0,F159))-11135.63,0.45*INT(MAX(0,F159))-19470.38))))</f>
        <v>33060.13</v>
      </c>
      <c r="H159" s="76" t="n">
        <f aca="false">A159-B159-G159-'Plan-Annahmen'!$B$75*12</f>
        <v>72204.12</v>
      </c>
    </row>
    <row r="160" customFormat="false" ht="15" hidden="false" customHeight="false" outlineLevel="0" collapsed="false">
      <c r="A160" s="96" t="n">
        <v>125000</v>
      </c>
      <c r="B160" s="94" t="n">
        <f aca="false">MIN(MAX(A160/12,'Plan-Annahmen'!$B$87),'Plan-Annahmen'!$B$88)*12*('Plan-Annahmen'!$B$84+'Plan-Annahmen'!$B$85+'Plan-Annahmen'!$B$86)</f>
        <v>15135.75</v>
      </c>
      <c r="C160" s="94" t="n">
        <f aca="false">MAX(0,A160-B160-'Plan-Annahmen'!$B$89)</f>
        <v>109828.25</v>
      </c>
      <c r="D160" s="76" t="n">
        <f aca="false">IF(INT(MAX(0,C160))&lt;=12348,0,IF(INT(MAX(0,C160))&lt;=17799,(914.51*((INT(MAX(0,C160))-12348)/10000)+1400)*((INT(MAX(0,C160))-12348)/10000),IF(INT(MAX(0,C160))&lt;=69878,(173.1*((INT(MAX(0,C160))-17799)/10000)+2397)*((INT(MAX(0,C160))-17799)/10000)+1034.87,IF(INT(MAX(0,C160))&lt;=277825,0.42*INT(MAX(0,C160))-11135.63,0.45*INT(MAX(0,C160))-19470.38))))</f>
        <v>34992.13</v>
      </c>
      <c r="E160" s="76" t="n">
        <f aca="false">A160-B160-D160</f>
        <v>74872.12</v>
      </c>
      <c r="F160" s="94" t="n">
        <f aca="false">MAX(0,A160-B160-'Plan-Annahmen'!$B$75*12-'Plan-Annahmen'!$B$89)</f>
        <v>106228.25</v>
      </c>
      <c r="G160" s="76" t="n">
        <f aca="false">IF(INT(MAX(0,F160))&lt;=12348,0,IF(INT(MAX(0,F160))&lt;=17799,(914.51*((INT(MAX(0,F160))-12348)/10000)+1400)*((INT(MAX(0,F160))-12348)/10000),IF(INT(MAX(0,F160))&lt;=69878,(173.1*((INT(MAX(0,F160))-17799)/10000)+2397)*((INT(MAX(0,F160))-17799)/10000)+1034.87,IF(INT(MAX(0,F160))&lt;=277825,0.42*INT(MAX(0,F160))-11135.63,0.45*INT(MAX(0,F160))-19470.38))))</f>
        <v>33480.13</v>
      </c>
      <c r="H160" s="76" t="n">
        <f aca="false">A160-B160-G160-'Plan-Annahmen'!$B$75*12</f>
        <v>72784.12</v>
      </c>
    </row>
    <row r="161" customFormat="false" ht="15" hidden="false" customHeight="false" outlineLevel="0" collapsed="false">
      <c r="A161" s="96" t="n">
        <v>126000</v>
      </c>
      <c r="B161" s="94" t="n">
        <f aca="false">MIN(MAX(A161/12,'Plan-Annahmen'!$B$87),'Plan-Annahmen'!$B$88)*12*('Plan-Annahmen'!$B$84+'Plan-Annahmen'!$B$85+'Plan-Annahmen'!$B$86)</f>
        <v>15135.75</v>
      </c>
      <c r="C161" s="94" t="n">
        <f aca="false">MAX(0,A161-B161-'Plan-Annahmen'!$B$89)</f>
        <v>110828.25</v>
      </c>
      <c r="D161" s="76" t="n">
        <f aca="false">IF(INT(MAX(0,C161))&lt;=12348,0,IF(INT(MAX(0,C161))&lt;=17799,(914.51*((INT(MAX(0,C161))-12348)/10000)+1400)*((INT(MAX(0,C161))-12348)/10000),IF(INT(MAX(0,C161))&lt;=69878,(173.1*((INT(MAX(0,C161))-17799)/10000)+2397)*((INT(MAX(0,C161))-17799)/10000)+1034.87,IF(INT(MAX(0,C161))&lt;=277825,0.42*INT(MAX(0,C161))-11135.63,0.45*INT(MAX(0,C161))-19470.38))))</f>
        <v>35412.13</v>
      </c>
      <c r="E161" s="76" t="n">
        <f aca="false">A161-B161-D161</f>
        <v>75452.12</v>
      </c>
      <c r="F161" s="94" t="n">
        <f aca="false">MAX(0,A161-B161-'Plan-Annahmen'!$B$75*12-'Plan-Annahmen'!$B$89)</f>
        <v>107228.25</v>
      </c>
      <c r="G161" s="76" t="n">
        <f aca="false">IF(INT(MAX(0,F161))&lt;=12348,0,IF(INT(MAX(0,F161))&lt;=17799,(914.51*((INT(MAX(0,F161))-12348)/10000)+1400)*((INT(MAX(0,F161))-12348)/10000),IF(INT(MAX(0,F161))&lt;=69878,(173.1*((INT(MAX(0,F161))-17799)/10000)+2397)*((INT(MAX(0,F161))-17799)/10000)+1034.87,IF(INT(MAX(0,F161))&lt;=277825,0.42*INT(MAX(0,F161))-11135.63,0.45*INT(MAX(0,F161))-19470.38))))</f>
        <v>33900.13</v>
      </c>
      <c r="H161" s="76" t="n">
        <f aca="false">A161-B161-G161-'Plan-Annahmen'!$B$75*12</f>
        <v>73364.12</v>
      </c>
    </row>
    <row r="162" customFormat="false" ht="15" hidden="false" customHeight="false" outlineLevel="0" collapsed="false">
      <c r="A162" s="96" t="n">
        <v>127000</v>
      </c>
      <c r="B162" s="94" t="n">
        <f aca="false">MIN(MAX(A162/12,'Plan-Annahmen'!$B$87),'Plan-Annahmen'!$B$88)*12*('Plan-Annahmen'!$B$84+'Plan-Annahmen'!$B$85+'Plan-Annahmen'!$B$86)</f>
        <v>15135.75</v>
      </c>
      <c r="C162" s="94" t="n">
        <f aca="false">MAX(0,A162-B162-'Plan-Annahmen'!$B$89)</f>
        <v>111828.25</v>
      </c>
      <c r="D162" s="76" t="n">
        <f aca="false">IF(INT(MAX(0,C162))&lt;=12348,0,IF(INT(MAX(0,C162))&lt;=17799,(914.51*((INT(MAX(0,C162))-12348)/10000)+1400)*((INT(MAX(0,C162))-12348)/10000),IF(INT(MAX(0,C162))&lt;=69878,(173.1*((INT(MAX(0,C162))-17799)/10000)+2397)*((INT(MAX(0,C162))-17799)/10000)+1034.87,IF(INT(MAX(0,C162))&lt;=277825,0.42*INT(MAX(0,C162))-11135.63,0.45*INT(MAX(0,C162))-19470.38))))</f>
        <v>35832.13</v>
      </c>
      <c r="E162" s="76" t="n">
        <f aca="false">A162-B162-D162</f>
        <v>76032.12</v>
      </c>
      <c r="F162" s="94" t="n">
        <f aca="false">MAX(0,A162-B162-'Plan-Annahmen'!$B$75*12-'Plan-Annahmen'!$B$89)</f>
        <v>108228.25</v>
      </c>
      <c r="G162" s="76" t="n">
        <f aca="false">IF(INT(MAX(0,F162))&lt;=12348,0,IF(INT(MAX(0,F162))&lt;=17799,(914.51*((INT(MAX(0,F162))-12348)/10000)+1400)*((INT(MAX(0,F162))-12348)/10000),IF(INT(MAX(0,F162))&lt;=69878,(173.1*((INT(MAX(0,F162))-17799)/10000)+2397)*((INT(MAX(0,F162))-17799)/10000)+1034.87,IF(INT(MAX(0,F162))&lt;=277825,0.42*INT(MAX(0,F162))-11135.63,0.45*INT(MAX(0,F162))-19470.38))))</f>
        <v>34320.13</v>
      </c>
      <c r="H162" s="76" t="n">
        <f aca="false">A162-B162-G162-'Plan-Annahmen'!$B$75*12</f>
        <v>73944.12</v>
      </c>
    </row>
    <row r="163" customFormat="false" ht="15" hidden="false" customHeight="false" outlineLevel="0" collapsed="false">
      <c r="A163" s="96" t="n">
        <v>128000</v>
      </c>
      <c r="B163" s="94" t="n">
        <f aca="false">MIN(MAX(A163/12,'Plan-Annahmen'!$B$87),'Plan-Annahmen'!$B$88)*12*('Plan-Annahmen'!$B$84+'Plan-Annahmen'!$B$85+'Plan-Annahmen'!$B$86)</f>
        <v>15135.75</v>
      </c>
      <c r="C163" s="94" t="n">
        <f aca="false">MAX(0,A163-B163-'Plan-Annahmen'!$B$89)</f>
        <v>112828.25</v>
      </c>
      <c r="D163" s="76" t="n">
        <f aca="false">IF(INT(MAX(0,C163))&lt;=12348,0,IF(INT(MAX(0,C163))&lt;=17799,(914.51*((INT(MAX(0,C163))-12348)/10000)+1400)*((INT(MAX(0,C163))-12348)/10000),IF(INT(MAX(0,C163))&lt;=69878,(173.1*((INT(MAX(0,C163))-17799)/10000)+2397)*((INT(MAX(0,C163))-17799)/10000)+1034.87,IF(INT(MAX(0,C163))&lt;=277825,0.42*INT(MAX(0,C163))-11135.63,0.45*INT(MAX(0,C163))-19470.38))))</f>
        <v>36252.13</v>
      </c>
      <c r="E163" s="76" t="n">
        <f aca="false">A163-B163-D163</f>
        <v>76612.12</v>
      </c>
      <c r="F163" s="94" t="n">
        <f aca="false">MAX(0,A163-B163-'Plan-Annahmen'!$B$75*12-'Plan-Annahmen'!$B$89)</f>
        <v>109228.25</v>
      </c>
      <c r="G163" s="76" t="n">
        <f aca="false">IF(INT(MAX(0,F163))&lt;=12348,0,IF(INT(MAX(0,F163))&lt;=17799,(914.51*((INT(MAX(0,F163))-12348)/10000)+1400)*((INT(MAX(0,F163))-12348)/10000),IF(INT(MAX(0,F163))&lt;=69878,(173.1*((INT(MAX(0,F163))-17799)/10000)+2397)*((INT(MAX(0,F163))-17799)/10000)+1034.87,IF(INT(MAX(0,F163))&lt;=277825,0.42*INT(MAX(0,F163))-11135.63,0.45*INT(MAX(0,F163))-19470.38))))</f>
        <v>34740.13</v>
      </c>
      <c r="H163" s="76" t="n">
        <f aca="false">A163-B163-G163-'Plan-Annahmen'!$B$75*12</f>
        <v>74524.12</v>
      </c>
    </row>
    <row r="164" customFormat="false" ht="15" hidden="false" customHeight="false" outlineLevel="0" collapsed="false">
      <c r="A164" s="96" t="n">
        <v>129000</v>
      </c>
      <c r="B164" s="94" t="n">
        <f aca="false">MIN(MAX(A164/12,'Plan-Annahmen'!$B$87),'Plan-Annahmen'!$B$88)*12*('Plan-Annahmen'!$B$84+'Plan-Annahmen'!$B$85+'Plan-Annahmen'!$B$86)</f>
        <v>15135.75</v>
      </c>
      <c r="C164" s="94" t="n">
        <f aca="false">MAX(0,A164-B164-'Plan-Annahmen'!$B$89)</f>
        <v>113828.25</v>
      </c>
      <c r="D164" s="76" t="n">
        <f aca="false">IF(INT(MAX(0,C164))&lt;=12348,0,IF(INT(MAX(0,C164))&lt;=17799,(914.51*((INT(MAX(0,C164))-12348)/10000)+1400)*((INT(MAX(0,C164))-12348)/10000),IF(INT(MAX(0,C164))&lt;=69878,(173.1*((INT(MAX(0,C164))-17799)/10000)+2397)*((INT(MAX(0,C164))-17799)/10000)+1034.87,IF(INT(MAX(0,C164))&lt;=277825,0.42*INT(MAX(0,C164))-11135.63,0.45*INT(MAX(0,C164))-19470.38))))</f>
        <v>36672.13</v>
      </c>
      <c r="E164" s="76" t="n">
        <f aca="false">A164-B164-D164</f>
        <v>77192.12</v>
      </c>
      <c r="F164" s="94" t="n">
        <f aca="false">MAX(0,A164-B164-'Plan-Annahmen'!$B$75*12-'Plan-Annahmen'!$B$89)</f>
        <v>110228.25</v>
      </c>
      <c r="G164" s="76" t="n">
        <f aca="false">IF(INT(MAX(0,F164))&lt;=12348,0,IF(INT(MAX(0,F164))&lt;=17799,(914.51*((INT(MAX(0,F164))-12348)/10000)+1400)*((INT(MAX(0,F164))-12348)/10000),IF(INT(MAX(0,F164))&lt;=69878,(173.1*((INT(MAX(0,F164))-17799)/10000)+2397)*((INT(MAX(0,F164))-17799)/10000)+1034.87,IF(INT(MAX(0,F164))&lt;=277825,0.42*INT(MAX(0,F164))-11135.63,0.45*INT(MAX(0,F164))-19470.38))))</f>
        <v>35160.13</v>
      </c>
      <c r="H164" s="76" t="n">
        <f aca="false">A164-B164-G164-'Plan-Annahmen'!$B$75*12</f>
        <v>75104.12</v>
      </c>
    </row>
    <row r="165" customFormat="false" ht="15" hidden="false" customHeight="false" outlineLevel="0" collapsed="false">
      <c r="A165" s="96" t="n">
        <v>130000</v>
      </c>
      <c r="B165" s="94" t="n">
        <f aca="false">MIN(MAX(A165/12,'Plan-Annahmen'!$B$87),'Plan-Annahmen'!$B$88)*12*('Plan-Annahmen'!$B$84+'Plan-Annahmen'!$B$85+'Plan-Annahmen'!$B$86)</f>
        <v>15135.75</v>
      </c>
      <c r="C165" s="94" t="n">
        <f aca="false">MAX(0,A165-B165-'Plan-Annahmen'!$B$89)</f>
        <v>114828.25</v>
      </c>
      <c r="D165" s="76" t="n">
        <f aca="false">IF(INT(MAX(0,C165))&lt;=12348,0,IF(INT(MAX(0,C165))&lt;=17799,(914.51*((INT(MAX(0,C165))-12348)/10000)+1400)*((INT(MAX(0,C165))-12348)/10000),IF(INT(MAX(0,C165))&lt;=69878,(173.1*((INT(MAX(0,C165))-17799)/10000)+2397)*((INT(MAX(0,C165))-17799)/10000)+1034.87,IF(INT(MAX(0,C165))&lt;=277825,0.42*INT(MAX(0,C165))-11135.63,0.45*INT(MAX(0,C165))-19470.38))))</f>
        <v>37092.13</v>
      </c>
      <c r="E165" s="76" t="n">
        <f aca="false">A165-B165-D165</f>
        <v>77772.12</v>
      </c>
      <c r="F165" s="94" t="n">
        <f aca="false">MAX(0,A165-B165-'Plan-Annahmen'!$B$75*12-'Plan-Annahmen'!$B$89)</f>
        <v>111228.25</v>
      </c>
      <c r="G165" s="76" t="n">
        <f aca="false">IF(INT(MAX(0,F165))&lt;=12348,0,IF(INT(MAX(0,F165))&lt;=17799,(914.51*((INT(MAX(0,F165))-12348)/10000)+1400)*((INT(MAX(0,F165))-12348)/10000),IF(INT(MAX(0,F165))&lt;=69878,(173.1*((INT(MAX(0,F165))-17799)/10000)+2397)*((INT(MAX(0,F165))-17799)/10000)+1034.87,IF(INT(MAX(0,F165))&lt;=277825,0.42*INT(MAX(0,F165))-11135.63,0.45*INT(MAX(0,F165))-19470.38))))</f>
        <v>35580.13</v>
      </c>
      <c r="H165" s="76" t="n">
        <f aca="false">A165-B165-G165-'Plan-Annahmen'!$B$75*12</f>
        <v>75684.12</v>
      </c>
    </row>
    <row r="166" customFormat="false" ht="15" hidden="false" customHeight="false" outlineLevel="0" collapsed="false">
      <c r="A166" s="96" t="n">
        <v>131000</v>
      </c>
      <c r="B166" s="94" t="n">
        <f aca="false">MIN(MAX(A166/12,'Plan-Annahmen'!$B$87),'Plan-Annahmen'!$B$88)*12*('Plan-Annahmen'!$B$84+'Plan-Annahmen'!$B$85+'Plan-Annahmen'!$B$86)</f>
        <v>15135.75</v>
      </c>
      <c r="C166" s="94" t="n">
        <f aca="false">MAX(0,A166-B166-'Plan-Annahmen'!$B$89)</f>
        <v>115828.25</v>
      </c>
      <c r="D166" s="76" t="n">
        <f aca="false">IF(INT(MAX(0,C166))&lt;=12348,0,IF(INT(MAX(0,C166))&lt;=17799,(914.51*((INT(MAX(0,C166))-12348)/10000)+1400)*((INT(MAX(0,C166))-12348)/10000),IF(INT(MAX(0,C166))&lt;=69878,(173.1*((INT(MAX(0,C166))-17799)/10000)+2397)*((INT(MAX(0,C166))-17799)/10000)+1034.87,IF(INT(MAX(0,C166))&lt;=277825,0.42*INT(MAX(0,C166))-11135.63,0.45*INT(MAX(0,C166))-19470.38))))</f>
        <v>37512.13</v>
      </c>
      <c r="E166" s="76" t="n">
        <f aca="false">A166-B166-D166</f>
        <v>78352.12</v>
      </c>
      <c r="F166" s="94" t="n">
        <f aca="false">MAX(0,A166-B166-'Plan-Annahmen'!$B$75*12-'Plan-Annahmen'!$B$89)</f>
        <v>112228.25</v>
      </c>
      <c r="G166" s="76" t="n">
        <f aca="false">IF(INT(MAX(0,F166))&lt;=12348,0,IF(INT(MAX(0,F166))&lt;=17799,(914.51*((INT(MAX(0,F166))-12348)/10000)+1400)*((INT(MAX(0,F166))-12348)/10000),IF(INT(MAX(0,F166))&lt;=69878,(173.1*((INT(MAX(0,F166))-17799)/10000)+2397)*((INT(MAX(0,F166))-17799)/10000)+1034.87,IF(INT(MAX(0,F166))&lt;=277825,0.42*INT(MAX(0,F166))-11135.63,0.45*INT(MAX(0,F166))-19470.38))))</f>
        <v>36000.13</v>
      </c>
      <c r="H166" s="76" t="n">
        <f aca="false">A166-B166-G166-'Plan-Annahmen'!$B$75*12</f>
        <v>76264.12</v>
      </c>
    </row>
    <row r="167" customFormat="false" ht="15" hidden="false" customHeight="false" outlineLevel="0" collapsed="false">
      <c r="A167" s="96" t="n">
        <v>132000</v>
      </c>
      <c r="B167" s="94" t="n">
        <f aca="false">MIN(MAX(A167/12,'Plan-Annahmen'!$B$87),'Plan-Annahmen'!$B$88)*12*('Plan-Annahmen'!$B$84+'Plan-Annahmen'!$B$85+'Plan-Annahmen'!$B$86)</f>
        <v>15135.75</v>
      </c>
      <c r="C167" s="94" t="n">
        <f aca="false">MAX(0,A167-B167-'Plan-Annahmen'!$B$89)</f>
        <v>116828.25</v>
      </c>
      <c r="D167" s="76" t="n">
        <f aca="false">IF(INT(MAX(0,C167))&lt;=12348,0,IF(INT(MAX(0,C167))&lt;=17799,(914.51*((INT(MAX(0,C167))-12348)/10000)+1400)*((INT(MAX(0,C167))-12348)/10000),IF(INT(MAX(0,C167))&lt;=69878,(173.1*((INT(MAX(0,C167))-17799)/10000)+2397)*((INT(MAX(0,C167))-17799)/10000)+1034.87,IF(INT(MAX(0,C167))&lt;=277825,0.42*INT(MAX(0,C167))-11135.63,0.45*INT(MAX(0,C167))-19470.38))))</f>
        <v>37932.13</v>
      </c>
      <c r="E167" s="76" t="n">
        <f aca="false">A167-B167-D167</f>
        <v>78932.12</v>
      </c>
      <c r="F167" s="94" t="n">
        <f aca="false">MAX(0,A167-B167-'Plan-Annahmen'!$B$75*12-'Plan-Annahmen'!$B$89)</f>
        <v>113228.25</v>
      </c>
      <c r="G167" s="76" t="n">
        <f aca="false">IF(INT(MAX(0,F167))&lt;=12348,0,IF(INT(MAX(0,F167))&lt;=17799,(914.51*((INT(MAX(0,F167))-12348)/10000)+1400)*((INT(MAX(0,F167))-12348)/10000),IF(INT(MAX(0,F167))&lt;=69878,(173.1*((INT(MAX(0,F167))-17799)/10000)+2397)*((INT(MAX(0,F167))-17799)/10000)+1034.87,IF(INT(MAX(0,F167))&lt;=277825,0.42*INT(MAX(0,F167))-11135.63,0.45*INT(MAX(0,F167))-19470.38))))</f>
        <v>36420.13</v>
      </c>
      <c r="H167" s="76" t="n">
        <f aca="false">A167-B167-G167-'Plan-Annahmen'!$B$75*12</f>
        <v>76844.12</v>
      </c>
    </row>
    <row r="168" customFormat="false" ht="15" hidden="false" customHeight="false" outlineLevel="0" collapsed="false">
      <c r="A168" s="96" t="n">
        <v>133000</v>
      </c>
      <c r="B168" s="94" t="n">
        <f aca="false">MIN(MAX(A168/12,'Plan-Annahmen'!$B$87),'Plan-Annahmen'!$B$88)*12*('Plan-Annahmen'!$B$84+'Plan-Annahmen'!$B$85+'Plan-Annahmen'!$B$86)</f>
        <v>15135.75</v>
      </c>
      <c r="C168" s="94" t="n">
        <f aca="false">MAX(0,A168-B168-'Plan-Annahmen'!$B$89)</f>
        <v>117828.25</v>
      </c>
      <c r="D168" s="76" t="n">
        <f aca="false">IF(INT(MAX(0,C168))&lt;=12348,0,IF(INT(MAX(0,C168))&lt;=17799,(914.51*((INT(MAX(0,C168))-12348)/10000)+1400)*((INT(MAX(0,C168))-12348)/10000),IF(INT(MAX(0,C168))&lt;=69878,(173.1*((INT(MAX(0,C168))-17799)/10000)+2397)*((INT(MAX(0,C168))-17799)/10000)+1034.87,IF(INT(MAX(0,C168))&lt;=277825,0.42*INT(MAX(0,C168))-11135.63,0.45*INT(MAX(0,C168))-19470.38))))</f>
        <v>38352.13</v>
      </c>
      <c r="E168" s="76" t="n">
        <f aca="false">A168-B168-D168</f>
        <v>79512.12</v>
      </c>
      <c r="F168" s="94" t="n">
        <f aca="false">MAX(0,A168-B168-'Plan-Annahmen'!$B$75*12-'Plan-Annahmen'!$B$89)</f>
        <v>114228.25</v>
      </c>
      <c r="G168" s="76" t="n">
        <f aca="false">IF(INT(MAX(0,F168))&lt;=12348,0,IF(INT(MAX(0,F168))&lt;=17799,(914.51*((INT(MAX(0,F168))-12348)/10000)+1400)*((INT(MAX(0,F168))-12348)/10000),IF(INT(MAX(0,F168))&lt;=69878,(173.1*((INT(MAX(0,F168))-17799)/10000)+2397)*((INT(MAX(0,F168))-17799)/10000)+1034.87,IF(INT(MAX(0,F168))&lt;=277825,0.42*INT(MAX(0,F168))-11135.63,0.45*INT(MAX(0,F168))-19470.38))))</f>
        <v>36840.13</v>
      </c>
      <c r="H168" s="76" t="n">
        <f aca="false">A168-B168-G168-'Plan-Annahmen'!$B$75*12</f>
        <v>77424.12</v>
      </c>
    </row>
    <row r="169" customFormat="false" ht="15" hidden="false" customHeight="false" outlineLevel="0" collapsed="false">
      <c r="A169" s="96" t="n">
        <v>134000</v>
      </c>
      <c r="B169" s="94" t="n">
        <f aca="false">MIN(MAX(A169/12,'Plan-Annahmen'!$B$87),'Plan-Annahmen'!$B$88)*12*('Plan-Annahmen'!$B$84+'Plan-Annahmen'!$B$85+'Plan-Annahmen'!$B$86)</f>
        <v>15135.75</v>
      </c>
      <c r="C169" s="94" t="n">
        <f aca="false">MAX(0,A169-B169-'Plan-Annahmen'!$B$89)</f>
        <v>118828.25</v>
      </c>
      <c r="D169" s="76" t="n">
        <f aca="false">IF(INT(MAX(0,C169))&lt;=12348,0,IF(INT(MAX(0,C169))&lt;=17799,(914.51*((INT(MAX(0,C169))-12348)/10000)+1400)*((INT(MAX(0,C169))-12348)/10000),IF(INT(MAX(0,C169))&lt;=69878,(173.1*((INT(MAX(0,C169))-17799)/10000)+2397)*((INT(MAX(0,C169))-17799)/10000)+1034.87,IF(INT(MAX(0,C169))&lt;=277825,0.42*INT(MAX(0,C169))-11135.63,0.45*INT(MAX(0,C169))-19470.38))))</f>
        <v>38772.13</v>
      </c>
      <c r="E169" s="76" t="n">
        <f aca="false">A169-B169-D169</f>
        <v>80092.12</v>
      </c>
      <c r="F169" s="94" t="n">
        <f aca="false">MAX(0,A169-B169-'Plan-Annahmen'!$B$75*12-'Plan-Annahmen'!$B$89)</f>
        <v>115228.25</v>
      </c>
      <c r="G169" s="76" t="n">
        <f aca="false">IF(INT(MAX(0,F169))&lt;=12348,0,IF(INT(MAX(0,F169))&lt;=17799,(914.51*((INT(MAX(0,F169))-12348)/10000)+1400)*((INT(MAX(0,F169))-12348)/10000),IF(INT(MAX(0,F169))&lt;=69878,(173.1*((INT(MAX(0,F169))-17799)/10000)+2397)*((INT(MAX(0,F169))-17799)/10000)+1034.87,IF(INT(MAX(0,F169))&lt;=277825,0.42*INT(MAX(0,F169))-11135.63,0.45*INT(MAX(0,F169))-19470.38))))</f>
        <v>37260.13</v>
      </c>
      <c r="H169" s="76" t="n">
        <f aca="false">A169-B169-G169-'Plan-Annahmen'!$B$75*12</f>
        <v>78004.12</v>
      </c>
    </row>
    <row r="170" customFormat="false" ht="15" hidden="false" customHeight="false" outlineLevel="0" collapsed="false">
      <c r="A170" s="96" t="n">
        <v>135000</v>
      </c>
      <c r="B170" s="94" t="n">
        <f aca="false">MIN(MAX(A170/12,'Plan-Annahmen'!$B$87),'Plan-Annahmen'!$B$88)*12*('Plan-Annahmen'!$B$84+'Plan-Annahmen'!$B$85+'Plan-Annahmen'!$B$86)</f>
        <v>15135.75</v>
      </c>
      <c r="C170" s="94" t="n">
        <f aca="false">MAX(0,A170-B170-'Plan-Annahmen'!$B$89)</f>
        <v>119828.25</v>
      </c>
      <c r="D170" s="76" t="n">
        <f aca="false">IF(INT(MAX(0,C170))&lt;=12348,0,IF(INT(MAX(0,C170))&lt;=17799,(914.51*((INT(MAX(0,C170))-12348)/10000)+1400)*((INT(MAX(0,C170))-12348)/10000),IF(INT(MAX(0,C170))&lt;=69878,(173.1*((INT(MAX(0,C170))-17799)/10000)+2397)*((INT(MAX(0,C170))-17799)/10000)+1034.87,IF(INT(MAX(0,C170))&lt;=277825,0.42*INT(MAX(0,C170))-11135.63,0.45*INT(MAX(0,C170))-19470.38))))</f>
        <v>39192.13</v>
      </c>
      <c r="E170" s="76" t="n">
        <f aca="false">A170-B170-D170</f>
        <v>80672.12</v>
      </c>
      <c r="F170" s="94" t="n">
        <f aca="false">MAX(0,A170-B170-'Plan-Annahmen'!$B$75*12-'Plan-Annahmen'!$B$89)</f>
        <v>116228.25</v>
      </c>
      <c r="G170" s="76" t="n">
        <f aca="false">IF(INT(MAX(0,F170))&lt;=12348,0,IF(INT(MAX(0,F170))&lt;=17799,(914.51*((INT(MAX(0,F170))-12348)/10000)+1400)*((INT(MAX(0,F170))-12348)/10000),IF(INT(MAX(0,F170))&lt;=69878,(173.1*((INT(MAX(0,F170))-17799)/10000)+2397)*((INT(MAX(0,F170))-17799)/10000)+1034.87,IF(INT(MAX(0,F170))&lt;=277825,0.42*INT(MAX(0,F170))-11135.63,0.45*INT(MAX(0,F170))-19470.38))))</f>
        <v>37680.13</v>
      </c>
      <c r="H170" s="76" t="n">
        <f aca="false">A170-B170-G170-'Plan-Annahmen'!$B$75*12</f>
        <v>78584.12</v>
      </c>
    </row>
    <row r="171" customFormat="false" ht="15" hidden="false" customHeight="false" outlineLevel="0" collapsed="false">
      <c r="A171" s="96" t="n">
        <v>136000</v>
      </c>
      <c r="B171" s="94" t="n">
        <f aca="false">MIN(MAX(A171/12,'Plan-Annahmen'!$B$87),'Plan-Annahmen'!$B$88)*12*('Plan-Annahmen'!$B$84+'Plan-Annahmen'!$B$85+'Plan-Annahmen'!$B$86)</f>
        <v>15135.75</v>
      </c>
      <c r="C171" s="94" t="n">
        <f aca="false">MAX(0,A171-B171-'Plan-Annahmen'!$B$89)</f>
        <v>120828.25</v>
      </c>
      <c r="D171" s="76" t="n">
        <f aca="false">IF(INT(MAX(0,C171))&lt;=12348,0,IF(INT(MAX(0,C171))&lt;=17799,(914.51*((INT(MAX(0,C171))-12348)/10000)+1400)*((INT(MAX(0,C171))-12348)/10000),IF(INT(MAX(0,C171))&lt;=69878,(173.1*((INT(MAX(0,C171))-17799)/10000)+2397)*((INT(MAX(0,C171))-17799)/10000)+1034.87,IF(INT(MAX(0,C171))&lt;=277825,0.42*INT(MAX(0,C171))-11135.63,0.45*INT(MAX(0,C171))-19470.38))))</f>
        <v>39612.13</v>
      </c>
      <c r="E171" s="76" t="n">
        <f aca="false">A171-B171-D171</f>
        <v>81252.12</v>
      </c>
      <c r="F171" s="94" t="n">
        <f aca="false">MAX(0,A171-B171-'Plan-Annahmen'!$B$75*12-'Plan-Annahmen'!$B$89)</f>
        <v>117228.25</v>
      </c>
      <c r="G171" s="76" t="n">
        <f aca="false">IF(INT(MAX(0,F171))&lt;=12348,0,IF(INT(MAX(0,F171))&lt;=17799,(914.51*((INT(MAX(0,F171))-12348)/10000)+1400)*((INT(MAX(0,F171))-12348)/10000),IF(INT(MAX(0,F171))&lt;=69878,(173.1*((INT(MAX(0,F171))-17799)/10000)+2397)*((INT(MAX(0,F171))-17799)/10000)+1034.87,IF(INT(MAX(0,F171))&lt;=277825,0.42*INT(MAX(0,F171))-11135.63,0.45*INT(MAX(0,F171))-19470.38))))</f>
        <v>38100.13</v>
      </c>
      <c r="H171" s="76" t="n">
        <f aca="false">A171-B171-G171-'Plan-Annahmen'!$B$75*12</f>
        <v>79164.12</v>
      </c>
    </row>
    <row r="172" customFormat="false" ht="15" hidden="false" customHeight="false" outlineLevel="0" collapsed="false">
      <c r="A172" s="96" t="n">
        <v>137000</v>
      </c>
      <c r="B172" s="94" t="n">
        <f aca="false">MIN(MAX(A172/12,'Plan-Annahmen'!$B$87),'Plan-Annahmen'!$B$88)*12*('Plan-Annahmen'!$B$84+'Plan-Annahmen'!$B$85+'Plan-Annahmen'!$B$86)</f>
        <v>15135.75</v>
      </c>
      <c r="C172" s="94" t="n">
        <f aca="false">MAX(0,A172-B172-'Plan-Annahmen'!$B$89)</f>
        <v>121828.25</v>
      </c>
      <c r="D172" s="76" t="n">
        <f aca="false">IF(INT(MAX(0,C172))&lt;=12348,0,IF(INT(MAX(0,C172))&lt;=17799,(914.51*((INT(MAX(0,C172))-12348)/10000)+1400)*((INT(MAX(0,C172))-12348)/10000),IF(INT(MAX(0,C172))&lt;=69878,(173.1*((INT(MAX(0,C172))-17799)/10000)+2397)*((INT(MAX(0,C172))-17799)/10000)+1034.87,IF(INT(MAX(0,C172))&lt;=277825,0.42*INT(MAX(0,C172))-11135.63,0.45*INT(MAX(0,C172))-19470.38))))</f>
        <v>40032.13</v>
      </c>
      <c r="E172" s="76" t="n">
        <f aca="false">A172-B172-D172</f>
        <v>81832.12</v>
      </c>
      <c r="F172" s="94" t="n">
        <f aca="false">MAX(0,A172-B172-'Plan-Annahmen'!$B$75*12-'Plan-Annahmen'!$B$89)</f>
        <v>118228.25</v>
      </c>
      <c r="G172" s="76" t="n">
        <f aca="false">IF(INT(MAX(0,F172))&lt;=12348,0,IF(INT(MAX(0,F172))&lt;=17799,(914.51*((INT(MAX(0,F172))-12348)/10000)+1400)*((INT(MAX(0,F172))-12348)/10000),IF(INT(MAX(0,F172))&lt;=69878,(173.1*((INT(MAX(0,F172))-17799)/10000)+2397)*((INT(MAX(0,F172))-17799)/10000)+1034.87,IF(INT(MAX(0,F172))&lt;=277825,0.42*INT(MAX(0,F172))-11135.63,0.45*INT(MAX(0,F172))-19470.38))))</f>
        <v>38520.13</v>
      </c>
      <c r="H172" s="76" t="n">
        <f aca="false">A172-B172-G172-'Plan-Annahmen'!$B$75*12</f>
        <v>79744.12</v>
      </c>
    </row>
    <row r="173" customFormat="false" ht="15" hidden="false" customHeight="false" outlineLevel="0" collapsed="false">
      <c r="A173" s="96" t="n">
        <v>138000</v>
      </c>
      <c r="B173" s="94" t="n">
        <f aca="false">MIN(MAX(A173/12,'Plan-Annahmen'!$B$87),'Plan-Annahmen'!$B$88)*12*('Plan-Annahmen'!$B$84+'Plan-Annahmen'!$B$85+'Plan-Annahmen'!$B$86)</f>
        <v>15135.75</v>
      </c>
      <c r="C173" s="94" t="n">
        <f aca="false">MAX(0,A173-B173-'Plan-Annahmen'!$B$89)</f>
        <v>122828.25</v>
      </c>
      <c r="D173" s="76" t="n">
        <f aca="false">IF(INT(MAX(0,C173))&lt;=12348,0,IF(INT(MAX(0,C173))&lt;=17799,(914.51*((INT(MAX(0,C173))-12348)/10000)+1400)*((INT(MAX(0,C173))-12348)/10000),IF(INT(MAX(0,C173))&lt;=69878,(173.1*((INT(MAX(0,C173))-17799)/10000)+2397)*((INT(MAX(0,C173))-17799)/10000)+1034.87,IF(INT(MAX(0,C173))&lt;=277825,0.42*INT(MAX(0,C173))-11135.63,0.45*INT(MAX(0,C173))-19470.38))))</f>
        <v>40452.13</v>
      </c>
      <c r="E173" s="76" t="n">
        <f aca="false">A173-B173-D173</f>
        <v>82412.12</v>
      </c>
      <c r="F173" s="94" t="n">
        <f aca="false">MAX(0,A173-B173-'Plan-Annahmen'!$B$75*12-'Plan-Annahmen'!$B$89)</f>
        <v>119228.25</v>
      </c>
      <c r="G173" s="76" t="n">
        <f aca="false">IF(INT(MAX(0,F173))&lt;=12348,0,IF(INT(MAX(0,F173))&lt;=17799,(914.51*((INT(MAX(0,F173))-12348)/10000)+1400)*((INT(MAX(0,F173))-12348)/10000),IF(INT(MAX(0,F173))&lt;=69878,(173.1*((INT(MAX(0,F173))-17799)/10000)+2397)*((INT(MAX(0,F173))-17799)/10000)+1034.87,IF(INT(MAX(0,F173))&lt;=277825,0.42*INT(MAX(0,F173))-11135.63,0.45*INT(MAX(0,F173))-19470.38))))</f>
        <v>38940.13</v>
      </c>
      <c r="H173" s="76" t="n">
        <f aca="false">A173-B173-G173-'Plan-Annahmen'!$B$75*12</f>
        <v>80324.12</v>
      </c>
    </row>
    <row r="174" customFormat="false" ht="15" hidden="false" customHeight="false" outlineLevel="0" collapsed="false">
      <c r="A174" s="96" t="n">
        <v>139000</v>
      </c>
      <c r="B174" s="94" t="n">
        <f aca="false">MIN(MAX(A174/12,'Plan-Annahmen'!$B$87),'Plan-Annahmen'!$B$88)*12*('Plan-Annahmen'!$B$84+'Plan-Annahmen'!$B$85+'Plan-Annahmen'!$B$86)</f>
        <v>15135.75</v>
      </c>
      <c r="C174" s="94" t="n">
        <f aca="false">MAX(0,A174-B174-'Plan-Annahmen'!$B$89)</f>
        <v>123828.25</v>
      </c>
      <c r="D174" s="76" t="n">
        <f aca="false">IF(INT(MAX(0,C174))&lt;=12348,0,IF(INT(MAX(0,C174))&lt;=17799,(914.51*((INT(MAX(0,C174))-12348)/10000)+1400)*((INT(MAX(0,C174))-12348)/10000),IF(INT(MAX(0,C174))&lt;=69878,(173.1*((INT(MAX(0,C174))-17799)/10000)+2397)*((INT(MAX(0,C174))-17799)/10000)+1034.87,IF(INT(MAX(0,C174))&lt;=277825,0.42*INT(MAX(0,C174))-11135.63,0.45*INT(MAX(0,C174))-19470.38))))</f>
        <v>40872.13</v>
      </c>
      <c r="E174" s="76" t="n">
        <f aca="false">A174-B174-D174</f>
        <v>82992.12</v>
      </c>
      <c r="F174" s="94" t="n">
        <f aca="false">MAX(0,A174-B174-'Plan-Annahmen'!$B$75*12-'Plan-Annahmen'!$B$89)</f>
        <v>120228.25</v>
      </c>
      <c r="G174" s="76" t="n">
        <f aca="false">IF(INT(MAX(0,F174))&lt;=12348,0,IF(INT(MAX(0,F174))&lt;=17799,(914.51*((INT(MAX(0,F174))-12348)/10000)+1400)*((INT(MAX(0,F174))-12348)/10000),IF(INT(MAX(0,F174))&lt;=69878,(173.1*((INT(MAX(0,F174))-17799)/10000)+2397)*((INT(MAX(0,F174))-17799)/10000)+1034.87,IF(INT(MAX(0,F174))&lt;=277825,0.42*INT(MAX(0,F174))-11135.63,0.45*INT(MAX(0,F174))-19470.38))))</f>
        <v>39360.13</v>
      </c>
      <c r="H174" s="76" t="n">
        <f aca="false">A174-B174-G174-'Plan-Annahmen'!$B$75*12</f>
        <v>80904.12</v>
      </c>
    </row>
    <row r="175" customFormat="false" ht="15" hidden="false" customHeight="false" outlineLevel="0" collapsed="false">
      <c r="A175" s="96" t="n">
        <v>140000</v>
      </c>
      <c r="B175" s="94" t="n">
        <f aca="false">MIN(MAX(A175/12,'Plan-Annahmen'!$B$87),'Plan-Annahmen'!$B$88)*12*('Plan-Annahmen'!$B$84+'Plan-Annahmen'!$B$85+'Plan-Annahmen'!$B$86)</f>
        <v>15135.75</v>
      </c>
      <c r="C175" s="94" t="n">
        <f aca="false">MAX(0,A175-B175-'Plan-Annahmen'!$B$89)</f>
        <v>124828.25</v>
      </c>
      <c r="D175" s="76" t="n">
        <f aca="false">IF(INT(MAX(0,C175))&lt;=12348,0,IF(INT(MAX(0,C175))&lt;=17799,(914.51*((INT(MAX(0,C175))-12348)/10000)+1400)*((INT(MAX(0,C175))-12348)/10000),IF(INT(MAX(0,C175))&lt;=69878,(173.1*((INT(MAX(0,C175))-17799)/10000)+2397)*((INT(MAX(0,C175))-17799)/10000)+1034.87,IF(INT(MAX(0,C175))&lt;=277825,0.42*INT(MAX(0,C175))-11135.63,0.45*INT(MAX(0,C175))-19470.38))))</f>
        <v>41292.13</v>
      </c>
      <c r="E175" s="76" t="n">
        <f aca="false">A175-B175-D175</f>
        <v>83572.12</v>
      </c>
      <c r="F175" s="94" t="n">
        <f aca="false">MAX(0,A175-B175-'Plan-Annahmen'!$B$75*12-'Plan-Annahmen'!$B$89)</f>
        <v>121228.25</v>
      </c>
      <c r="G175" s="76" t="n">
        <f aca="false">IF(INT(MAX(0,F175))&lt;=12348,0,IF(INT(MAX(0,F175))&lt;=17799,(914.51*((INT(MAX(0,F175))-12348)/10000)+1400)*((INT(MAX(0,F175))-12348)/10000),IF(INT(MAX(0,F175))&lt;=69878,(173.1*((INT(MAX(0,F175))-17799)/10000)+2397)*((INT(MAX(0,F175))-17799)/10000)+1034.87,IF(INT(MAX(0,F175))&lt;=277825,0.42*INT(MAX(0,F175))-11135.63,0.45*INT(MAX(0,F175))-19470.38))))</f>
        <v>39780.13</v>
      </c>
      <c r="H175" s="76" t="n">
        <f aca="false">A175-B175-G175-'Plan-Annahmen'!$B$75*12</f>
        <v>81484.12</v>
      </c>
    </row>
    <row r="176" customFormat="false" ht="15" hidden="false" customHeight="false" outlineLevel="0" collapsed="false">
      <c r="A176" s="96" t="n">
        <v>141000</v>
      </c>
      <c r="B176" s="94" t="n">
        <f aca="false">MIN(MAX(A176/12,'Plan-Annahmen'!$B$87),'Plan-Annahmen'!$B$88)*12*('Plan-Annahmen'!$B$84+'Plan-Annahmen'!$B$85+'Plan-Annahmen'!$B$86)</f>
        <v>15135.75</v>
      </c>
      <c r="C176" s="94" t="n">
        <f aca="false">MAX(0,A176-B176-'Plan-Annahmen'!$B$89)</f>
        <v>125828.25</v>
      </c>
      <c r="D176" s="76" t="n">
        <f aca="false">IF(INT(MAX(0,C176))&lt;=12348,0,IF(INT(MAX(0,C176))&lt;=17799,(914.51*((INT(MAX(0,C176))-12348)/10000)+1400)*((INT(MAX(0,C176))-12348)/10000),IF(INT(MAX(0,C176))&lt;=69878,(173.1*((INT(MAX(0,C176))-17799)/10000)+2397)*((INT(MAX(0,C176))-17799)/10000)+1034.87,IF(INT(MAX(0,C176))&lt;=277825,0.42*INT(MAX(0,C176))-11135.63,0.45*INT(MAX(0,C176))-19470.38))))</f>
        <v>41712.13</v>
      </c>
      <c r="E176" s="76" t="n">
        <f aca="false">A176-B176-D176</f>
        <v>84152.12</v>
      </c>
      <c r="F176" s="94" t="n">
        <f aca="false">MAX(0,A176-B176-'Plan-Annahmen'!$B$75*12-'Plan-Annahmen'!$B$89)</f>
        <v>122228.25</v>
      </c>
      <c r="G176" s="76" t="n">
        <f aca="false">IF(INT(MAX(0,F176))&lt;=12348,0,IF(INT(MAX(0,F176))&lt;=17799,(914.51*((INT(MAX(0,F176))-12348)/10000)+1400)*((INT(MAX(0,F176))-12348)/10000),IF(INT(MAX(0,F176))&lt;=69878,(173.1*((INT(MAX(0,F176))-17799)/10000)+2397)*((INT(MAX(0,F176))-17799)/10000)+1034.87,IF(INT(MAX(0,F176))&lt;=277825,0.42*INT(MAX(0,F176))-11135.63,0.45*INT(MAX(0,F176))-19470.38))))</f>
        <v>40200.13</v>
      </c>
      <c r="H176" s="76" t="n">
        <f aca="false">A176-B176-G176-'Plan-Annahmen'!$B$75*12</f>
        <v>82064.12</v>
      </c>
    </row>
    <row r="177" customFormat="false" ht="15" hidden="false" customHeight="false" outlineLevel="0" collapsed="false">
      <c r="A177" s="96" t="n">
        <v>142000</v>
      </c>
      <c r="B177" s="94" t="n">
        <f aca="false">MIN(MAX(A177/12,'Plan-Annahmen'!$B$87),'Plan-Annahmen'!$B$88)*12*('Plan-Annahmen'!$B$84+'Plan-Annahmen'!$B$85+'Plan-Annahmen'!$B$86)</f>
        <v>15135.75</v>
      </c>
      <c r="C177" s="94" t="n">
        <f aca="false">MAX(0,A177-B177-'Plan-Annahmen'!$B$89)</f>
        <v>126828.25</v>
      </c>
      <c r="D177" s="76" t="n">
        <f aca="false">IF(INT(MAX(0,C177))&lt;=12348,0,IF(INT(MAX(0,C177))&lt;=17799,(914.51*((INT(MAX(0,C177))-12348)/10000)+1400)*((INT(MAX(0,C177))-12348)/10000),IF(INT(MAX(0,C177))&lt;=69878,(173.1*((INT(MAX(0,C177))-17799)/10000)+2397)*((INT(MAX(0,C177))-17799)/10000)+1034.87,IF(INT(MAX(0,C177))&lt;=277825,0.42*INT(MAX(0,C177))-11135.63,0.45*INT(MAX(0,C177))-19470.38))))</f>
        <v>42132.13</v>
      </c>
      <c r="E177" s="76" t="n">
        <f aca="false">A177-B177-D177</f>
        <v>84732.12</v>
      </c>
      <c r="F177" s="94" t="n">
        <f aca="false">MAX(0,A177-B177-'Plan-Annahmen'!$B$75*12-'Plan-Annahmen'!$B$89)</f>
        <v>123228.25</v>
      </c>
      <c r="G177" s="76" t="n">
        <f aca="false">IF(INT(MAX(0,F177))&lt;=12348,0,IF(INT(MAX(0,F177))&lt;=17799,(914.51*((INT(MAX(0,F177))-12348)/10000)+1400)*((INT(MAX(0,F177))-12348)/10000),IF(INT(MAX(0,F177))&lt;=69878,(173.1*((INT(MAX(0,F177))-17799)/10000)+2397)*((INT(MAX(0,F177))-17799)/10000)+1034.87,IF(INT(MAX(0,F177))&lt;=277825,0.42*INT(MAX(0,F177))-11135.63,0.45*INT(MAX(0,F177))-19470.38))))</f>
        <v>40620.13</v>
      </c>
      <c r="H177" s="76" t="n">
        <f aca="false">A177-B177-G177-'Plan-Annahmen'!$B$75*12</f>
        <v>82644.12</v>
      </c>
    </row>
    <row r="178" customFormat="false" ht="15" hidden="false" customHeight="false" outlineLevel="0" collapsed="false">
      <c r="A178" s="96" t="n">
        <v>143000</v>
      </c>
      <c r="B178" s="94" t="n">
        <f aca="false">MIN(MAX(A178/12,'Plan-Annahmen'!$B$87),'Plan-Annahmen'!$B$88)*12*('Plan-Annahmen'!$B$84+'Plan-Annahmen'!$B$85+'Plan-Annahmen'!$B$86)</f>
        <v>15135.75</v>
      </c>
      <c r="C178" s="94" t="n">
        <f aca="false">MAX(0,A178-B178-'Plan-Annahmen'!$B$89)</f>
        <v>127828.25</v>
      </c>
      <c r="D178" s="76" t="n">
        <f aca="false">IF(INT(MAX(0,C178))&lt;=12348,0,IF(INT(MAX(0,C178))&lt;=17799,(914.51*((INT(MAX(0,C178))-12348)/10000)+1400)*((INT(MAX(0,C178))-12348)/10000),IF(INT(MAX(0,C178))&lt;=69878,(173.1*((INT(MAX(0,C178))-17799)/10000)+2397)*((INT(MAX(0,C178))-17799)/10000)+1034.87,IF(INT(MAX(0,C178))&lt;=277825,0.42*INT(MAX(0,C178))-11135.63,0.45*INT(MAX(0,C178))-19470.38))))</f>
        <v>42552.13</v>
      </c>
      <c r="E178" s="76" t="n">
        <f aca="false">A178-B178-D178</f>
        <v>85312.12</v>
      </c>
      <c r="F178" s="94" t="n">
        <f aca="false">MAX(0,A178-B178-'Plan-Annahmen'!$B$75*12-'Plan-Annahmen'!$B$89)</f>
        <v>124228.25</v>
      </c>
      <c r="G178" s="76" t="n">
        <f aca="false">IF(INT(MAX(0,F178))&lt;=12348,0,IF(INT(MAX(0,F178))&lt;=17799,(914.51*((INT(MAX(0,F178))-12348)/10000)+1400)*((INT(MAX(0,F178))-12348)/10000),IF(INT(MAX(0,F178))&lt;=69878,(173.1*((INT(MAX(0,F178))-17799)/10000)+2397)*((INT(MAX(0,F178))-17799)/10000)+1034.87,IF(INT(MAX(0,F178))&lt;=277825,0.42*INT(MAX(0,F178))-11135.63,0.45*INT(MAX(0,F178))-19470.38))))</f>
        <v>41040.13</v>
      </c>
      <c r="H178" s="76" t="n">
        <f aca="false">A178-B178-G178-'Plan-Annahmen'!$B$75*12</f>
        <v>83224.12</v>
      </c>
    </row>
    <row r="179" customFormat="false" ht="15" hidden="false" customHeight="false" outlineLevel="0" collapsed="false">
      <c r="A179" s="96" t="n">
        <v>144000</v>
      </c>
      <c r="B179" s="94" t="n">
        <f aca="false">MIN(MAX(A179/12,'Plan-Annahmen'!$B$87),'Plan-Annahmen'!$B$88)*12*('Plan-Annahmen'!$B$84+'Plan-Annahmen'!$B$85+'Plan-Annahmen'!$B$86)</f>
        <v>15135.75</v>
      </c>
      <c r="C179" s="94" t="n">
        <f aca="false">MAX(0,A179-B179-'Plan-Annahmen'!$B$89)</f>
        <v>128828.25</v>
      </c>
      <c r="D179" s="76" t="n">
        <f aca="false">IF(INT(MAX(0,C179))&lt;=12348,0,IF(INT(MAX(0,C179))&lt;=17799,(914.51*((INT(MAX(0,C179))-12348)/10000)+1400)*((INT(MAX(0,C179))-12348)/10000),IF(INT(MAX(0,C179))&lt;=69878,(173.1*((INT(MAX(0,C179))-17799)/10000)+2397)*((INT(MAX(0,C179))-17799)/10000)+1034.87,IF(INT(MAX(0,C179))&lt;=277825,0.42*INT(MAX(0,C179))-11135.63,0.45*INT(MAX(0,C179))-19470.38))))</f>
        <v>42972.13</v>
      </c>
      <c r="E179" s="76" t="n">
        <f aca="false">A179-B179-D179</f>
        <v>85892.12</v>
      </c>
      <c r="F179" s="94" t="n">
        <f aca="false">MAX(0,A179-B179-'Plan-Annahmen'!$B$75*12-'Plan-Annahmen'!$B$89)</f>
        <v>125228.25</v>
      </c>
      <c r="G179" s="76" t="n">
        <f aca="false">IF(INT(MAX(0,F179))&lt;=12348,0,IF(INT(MAX(0,F179))&lt;=17799,(914.51*((INT(MAX(0,F179))-12348)/10000)+1400)*((INT(MAX(0,F179))-12348)/10000),IF(INT(MAX(0,F179))&lt;=69878,(173.1*((INT(MAX(0,F179))-17799)/10000)+2397)*((INT(MAX(0,F179))-17799)/10000)+1034.87,IF(INT(MAX(0,F179))&lt;=277825,0.42*INT(MAX(0,F179))-11135.63,0.45*INT(MAX(0,F179))-19470.38))))</f>
        <v>41460.13</v>
      </c>
      <c r="H179" s="76" t="n">
        <f aca="false">A179-B179-G179-'Plan-Annahmen'!$B$75*12</f>
        <v>83804.12</v>
      </c>
    </row>
    <row r="180" customFormat="false" ht="15" hidden="false" customHeight="false" outlineLevel="0" collapsed="false">
      <c r="A180" s="96" t="n">
        <v>145000</v>
      </c>
      <c r="B180" s="94" t="n">
        <f aca="false">MIN(MAX(A180/12,'Plan-Annahmen'!$B$87),'Plan-Annahmen'!$B$88)*12*('Plan-Annahmen'!$B$84+'Plan-Annahmen'!$B$85+'Plan-Annahmen'!$B$86)</f>
        <v>15135.75</v>
      </c>
      <c r="C180" s="94" t="n">
        <f aca="false">MAX(0,A180-B180-'Plan-Annahmen'!$B$89)</f>
        <v>129828.25</v>
      </c>
      <c r="D180" s="76" t="n">
        <f aca="false">IF(INT(MAX(0,C180))&lt;=12348,0,IF(INT(MAX(0,C180))&lt;=17799,(914.51*((INT(MAX(0,C180))-12348)/10000)+1400)*((INT(MAX(0,C180))-12348)/10000),IF(INT(MAX(0,C180))&lt;=69878,(173.1*((INT(MAX(0,C180))-17799)/10000)+2397)*((INT(MAX(0,C180))-17799)/10000)+1034.87,IF(INT(MAX(0,C180))&lt;=277825,0.42*INT(MAX(0,C180))-11135.63,0.45*INT(MAX(0,C180))-19470.38))))</f>
        <v>43392.13</v>
      </c>
      <c r="E180" s="76" t="n">
        <f aca="false">A180-B180-D180</f>
        <v>86472.12</v>
      </c>
      <c r="F180" s="94" t="n">
        <f aca="false">MAX(0,A180-B180-'Plan-Annahmen'!$B$75*12-'Plan-Annahmen'!$B$89)</f>
        <v>126228.25</v>
      </c>
      <c r="G180" s="76" t="n">
        <f aca="false">IF(INT(MAX(0,F180))&lt;=12348,0,IF(INT(MAX(0,F180))&lt;=17799,(914.51*((INT(MAX(0,F180))-12348)/10000)+1400)*((INT(MAX(0,F180))-12348)/10000),IF(INT(MAX(0,F180))&lt;=69878,(173.1*((INT(MAX(0,F180))-17799)/10000)+2397)*((INT(MAX(0,F180))-17799)/10000)+1034.87,IF(INT(MAX(0,F180))&lt;=277825,0.42*INT(MAX(0,F180))-11135.63,0.45*INT(MAX(0,F180))-19470.38))))</f>
        <v>41880.13</v>
      </c>
      <c r="H180" s="76" t="n">
        <f aca="false">A180-B180-G180-'Plan-Annahmen'!$B$75*12</f>
        <v>84384.12</v>
      </c>
    </row>
    <row r="181" customFormat="false" ht="15" hidden="false" customHeight="false" outlineLevel="0" collapsed="false">
      <c r="A181" s="96" t="n">
        <v>146000</v>
      </c>
      <c r="B181" s="94" t="n">
        <f aca="false">MIN(MAX(A181/12,'Plan-Annahmen'!$B$87),'Plan-Annahmen'!$B$88)*12*('Plan-Annahmen'!$B$84+'Plan-Annahmen'!$B$85+'Plan-Annahmen'!$B$86)</f>
        <v>15135.75</v>
      </c>
      <c r="C181" s="94" t="n">
        <f aca="false">MAX(0,A181-B181-'Plan-Annahmen'!$B$89)</f>
        <v>130828.25</v>
      </c>
      <c r="D181" s="76" t="n">
        <f aca="false">IF(INT(MAX(0,C181))&lt;=12348,0,IF(INT(MAX(0,C181))&lt;=17799,(914.51*((INT(MAX(0,C181))-12348)/10000)+1400)*((INT(MAX(0,C181))-12348)/10000),IF(INT(MAX(0,C181))&lt;=69878,(173.1*((INT(MAX(0,C181))-17799)/10000)+2397)*((INT(MAX(0,C181))-17799)/10000)+1034.87,IF(INT(MAX(0,C181))&lt;=277825,0.42*INT(MAX(0,C181))-11135.63,0.45*INT(MAX(0,C181))-19470.38))))</f>
        <v>43812.13</v>
      </c>
      <c r="E181" s="76" t="n">
        <f aca="false">A181-B181-D181</f>
        <v>87052.12</v>
      </c>
      <c r="F181" s="94" t="n">
        <f aca="false">MAX(0,A181-B181-'Plan-Annahmen'!$B$75*12-'Plan-Annahmen'!$B$89)</f>
        <v>127228.25</v>
      </c>
      <c r="G181" s="76" t="n">
        <f aca="false">IF(INT(MAX(0,F181))&lt;=12348,0,IF(INT(MAX(0,F181))&lt;=17799,(914.51*((INT(MAX(0,F181))-12348)/10000)+1400)*((INT(MAX(0,F181))-12348)/10000),IF(INT(MAX(0,F181))&lt;=69878,(173.1*((INT(MAX(0,F181))-17799)/10000)+2397)*((INT(MAX(0,F181))-17799)/10000)+1034.87,IF(INT(MAX(0,F181))&lt;=277825,0.42*INT(MAX(0,F181))-11135.63,0.45*INT(MAX(0,F181))-19470.38))))</f>
        <v>42300.13</v>
      </c>
      <c r="H181" s="76" t="n">
        <f aca="false">A181-B181-G181-'Plan-Annahmen'!$B$75*12</f>
        <v>84964.12</v>
      </c>
    </row>
    <row r="182" customFormat="false" ht="15" hidden="false" customHeight="false" outlineLevel="0" collapsed="false">
      <c r="A182" s="96" t="n">
        <v>147000</v>
      </c>
      <c r="B182" s="94" t="n">
        <f aca="false">MIN(MAX(A182/12,'Plan-Annahmen'!$B$87),'Plan-Annahmen'!$B$88)*12*('Plan-Annahmen'!$B$84+'Plan-Annahmen'!$B$85+'Plan-Annahmen'!$B$86)</f>
        <v>15135.75</v>
      </c>
      <c r="C182" s="94" t="n">
        <f aca="false">MAX(0,A182-B182-'Plan-Annahmen'!$B$89)</f>
        <v>131828.25</v>
      </c>
      <c r="D182" s="76" t="n">
        <f aca="false">IF(INT(MAX(0,C182))&lt;=12348,0,IF(INT(MAX(0,C182))&lt;=17799,(914.51*((INT(MAX(0,C182))-12348)/10000)+1400)*((INT(MAX(0,C182))-12348)/10000),IF(INT(MAX(0,C182))&lt;=69878,(173.1*((INT(MAX(0,C182))-17799)/10000)+2397)*((INT(MAX(0,C182))-17799)/10000)+1034.87,IF(INT(MAX(0,C182))&lt;=277825,0.42*INT(MAX(0,C182))-11135.63,0.45*INT(MAX(0,C182))-19470.38))))</f>
        <v>44232.13</v>
      </c>
      <c r="E182" s="76" t="n">
        <f aca="false">A182-B182-D182</f>
        <v>87632.12</v>
      </c>
      <c r="F182" s="94" t="n">
        <f aca="false">MAX(0,A182-B182-'Plan-Annahmen'!$B$75*12-'Plan-Annahmen'!$B$89)</f>
        <v>128228.25</v>
      </c>
      <c r="G182" s="76" t="n">
        <f aca="false">IF(INT(MAX(0,F182))&lt;=12348,0,IF(INT(MAX(0,F182))&lt;=17799,(914.51*((INT(MAX(0,F182))-12348)/10000)+1400)*((INT(MAX(0,F182))-12348)/10000),IF(INT(MAX(0,F182))&lt;=69878,(173.1*((INT(MAX(0,F182))-17799)/10000)+2397)*((INT(MAX(0,F182))-17799)/10000)+1034.87,IF(INT(MAX(0,F182))&lt;=277825,0.42*INT(MAX(0,F182))-11135.63,0.45*INT(MAX(0,F182))-19470.38))))</f>
        <v>42720.13</v>
      </c>
      <c r="H182" s="76" t="n">
        <f aca="false">A182-B182-G182-'Plan-Annahmen'!$B$75*12</f>
        <v>85544.12</v>
      </c>
    </row>
    <row r="183" customFormat="false" ht="15" hidden="false" customHeight="false" outlineLevel="0" collapsed="false">
      <c r="A183" s="96" t="n">
        <v>148000</v>
      </c>
      <c r="B183" s="94" t="n">
        <f aca="false">MIN(MAX(A183/12,'Plan-Annahmen'!$B$87),'Plan-Annahmen'!$B$88)*12*('Plan-Annahmen'!$B$84+'Plan-Annahmen'!$B$85+'Plan-Annahmen'!$B$86)</f>
        <v>15135.75</v>
      </c>
      <c r="C183" s="94" t="n">
        <f aca="false">MAX(0,A183-B183-'Plan-Annahmen'!$B$89)</f>
        <v>132828.25</v>
      </c>
      <c r="D183" s="76" t="n">
        <f aca="false">IF(INT(MAX(0,C183))&lt;=12348,0,IF(INT(MAX(0,C183))&lt;=17799,(914.51*((INT(MAX(0,C183))-12348)/10000)+1400)*((INT(MAX(0,C183))-12348)/10000),IF(INT(MAX(0,C183))&lt;=69878,(173.1*((INT(MAX(0,C183))-17799)/10000)+2397)*((INT(MAX(0,C183))-17799)/10000)+1034.87,IF(INT(MAX(0,C183))&lt;=277825,0.42*INT(MAX(0,C183))-11135.63,0.45*INT(MAX(0,C183))-19470.38))))</f>
        <v>44652.13</v>
      </c>
      <c r="E183" s="76" t="n">
        <f aca="false">A183-B183-D183</f>
        <v>88212.12</v>
      </c>
      <c r="F183" s="94" t="n">
        <f aca="false">MAX(0,A183-B183-'Plan-Annahmen'!$B$75*12-'Plan-Annahmen'!$B$89)</f>
        <v>129228.25</v>
      </c>
      <c r="G183" s="76" t="n">
        <f aca="false">IF(INT(MAX(0,F183))&lt;=12348,0,IF(INT(MAX(0,F183))&lt;=17799,(914.51*((INT(MAX(0,F183))-12348)/10000)+1400)*((INT(MAX(0,F183))-12348)/10000),IF(INT(MAX(0,F183))&lt;=69878,(173.1*((INT(MAX(0,F183))-17799)/10000)+2397)*((INT(MAX(0,F183))-17799)/10000)+1034.87,IF(INT(MAX(0,F183))&lt;=277825,0.42*INT(MAX(0,F183))-11135.63,0.45*INT(MAX(0,F183))-19470.38))))</f>
        <v>43140.13</v>
      </c>
      <c r="H183" s="76" t="n">
        <f aca="false">A183-B183-G183-'Plan-Annahmen'!$B$75*12</f>
        <v>86124.12</v>
      </c>
    </row>
    <row r="184" customFormat="false" ht="15" hidden="false" customHeight="false" outlineLevel="0" collapsed="false">
      <c r="A184" s="96" t="n">
        <v>149000</v>
      </c>
      <c r="B184" s="94" t="n">
        <f aca="false">MIN(MAX(A184/12,'Plan-Annahmen'!$B$87),'Plan-Annahmen'!$B$88)*12*('Plan-Annahmen'!$B$84+'Plan-Annahmen'!$B$85+'Plan-Annahmen'!$B$86)</f>
        <v>15135.75</v>
      </c>
      <c r="C184" s="94" t="n">
        <f aca="false">MAX(0,A184-B184-'Plan-Annahmen'!$B$89)</f>
        <v>133828.25</v>
      </c>
      <c r="D184" s="76" t="n">
        <f aca="false">IF(INT(MAX(0,C184))&lt;=12348,0,IF(INT(MAX(0,C184))&lt;=17799,(914.51*((INT(MAX(0,C184))-12348)/10000)+1400)*((INT(MAX(0,C184))-12348)/10000),IF(INT(MAX(0,C184))&lt;=69878,(173.1*((INT(MAX(0,C184))-17799)/10000)+2397)*((INT(MAX(0,C184))-17799)/10000)+1034.87,IF(INT(MAX(0,C184))&lt;=277825,0.42*INT(MAX(0,C184))-11135.63,0.45*INT(MAX(0,C184))-19470.38))))</f>
        <v>45072.13</v>
      </c>
      <c r="E184" s="76" t="n">
        <f aca="false">A184-B184-D184</f>
        <v>88792.12</v>
      </c>
      <c r="F184" s="94" t="n">
        <f aca="false">MAX(0,A184-B184-'Plan-Annahmen'!$B$75*12-'Plan-Annahmen'!$B$89)</f>
        <v>130228.25</v>
      </c>
      <c r="G184" s="76" t="n">
        <f aca="false">IF(INT(MAX(0,F184))&lt;=12348,0,IF(INT(MAX(0,F184))&lt;=17799,(914.51*((INT(MAX(0,F184))-12348)/10000)+1400)*((INT(MAX(0,F184))-12348)/10000),IF(INT(MAX(0,F184))&lt;=69878,(173.1*((INT(MAX(0,F184))-17799)/10000)+2397)*((INT(MAX(0,F184))-17799)/10000)+1034.87,IF(INT(MAX(0,F184))&lt;=277825,0.42*INT(MAX(0,F184))-11135.63,0.45*INT(MAX(0,F184))-19470.38))))</f>
        <v>43560.13</v>
      </c>
      <c r="H184" s="76" t="n">
        <f aca="false">A184-B184-G184-'Plan-Annahmen'!$B$75*12</f>
        <v>86704.12</v>
      </c>
    </row>
    <row r="185" customFormat="false" ht="15" hidden="false" customHeight="false" outlineLevel="0" collapsed="false">
      <c r="A185" s="96" t="n">
        <v>150000</v>
      </c>
      <c r="B185" s="94" t="n">
        <f aca="false">MIN(MAX(A185/12,'Plan-Annahmen'!$B$87),'Plan-Annahmen'!$B$88)*12*('Plan-Annahmen'!$B$84+'Plan-Annahmen'!$B$85+'Plan-Annahmen'!$B$86)</f>
        <v>15135.75</v>
      </c>
      <c r="C185" s="94" t="n">
        <f aca="false">MAX(0,A185-B185-'Plan-Annahmen'!$B$89)</f>
        <v>134828.25</v>
      </c>
      <c r="D185" s="76" t="n">
        <f aca="false">IF(INT(MAX(0,C185))&lt;=12348,0,IF(INT(MAX(0,C185))&lt;=17799,(914.51*((INT(MAX(0,C185))-12348)/10000)+1400)*((INT(MAX(0,C185))-12348)/10000),IF(INT(MAX(0,C185))&lt;=69878,(173.1*((INT(MAX(0,C185))-17799)/10000)+2397)*((INT(MAX(0,C185))-17799)/10000)+1034.87,IF(INT(MAX(0,C185))&lt;=277825,0.42*INT(MAX(0,C185))-11135.63,0.45*INT(MAX(0,C185))-19470.38))))</f>
        <v>45492.13</v>
      </c>
      <c r="E185" s="76" t="n">
        <f aca="false">A185-B185-D185</f>
        <v>89372.12</v>
      </c>
      <c r="F185" s="94" t="n">
        <f aca="false">MAX(0,A185-B185-'Plan-Annahmen'!$B$75*12-'Plan-Annahmen'!$B$89)</f>
        <v>131228.25</v>
      </c>
      <c r="G185" s="76" t="n">
        <f aca="false">IF(INT(MAX(0,F185))&lt;=12348,0,IF(INT(MAX(0,F185))&lt;=17799,(914.51*((INT(MAX(0,F185))-12348)/10000)+1400)*((INT(MAX(0,F185))-12348)/10000),IF(INT(MAX(0,F185))&lt;=69878,(173.1*((INT(MAX(0,F185))-17799)/10000)+2397)*((INT(MAX(0,F185))-17799)/10000)+1034.87,IF(INT(MAX(0,F185))&lt;=277825,0.42*INT(MAX(0,F185))-11135.63,0.45*INT(MAX(0,F185))-19470.38))))</f>
        <v>43980.13</v>
      </c>
      <c r="H185" s="76" t="n">
        <f aca="false">A185-B185-G185-'Plan-Annahmen'!$B$75*12</f>
        <v>87284.12</v>
      </c>
    </row>
    <row r="187" customFormat="false" ht="39.55" hidden="false" customHeight="true" outlineLevel="0" collapsed="false">
      <c r="A187" s="35" t="s">
        <v>726</v>
      </c>
      <c r="B187" s="35"/>
      <c r="C187" s="35"/>
      <c r="D187" s="35"/>
      <c r="E187" s="35"/>
      <c r="F187" s="35"/>
      <c r="G187" s="35"/>
      <c r="H187" s="35"/>
      <c r="I187" s="35"/>
    </row>
  </sheetData>
  <mergeCells count="5">
    <mergeCell ref="A2:I4"/>
    <mergeCell ref="A26:I26"/>
    <mergeCell ref="A28:I28"/>
    <mergeCell ref="A30:I30"/>
    <mergeCell ref="A187:I18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0"/>
  </cols>
  <sheetData>
    <row r="1" customFormat="false" ht="17.35" hidden="false" customHeight="false" outlineLevel="0" collapsed="false">
      <c r="A1" s="97" t="s">
        <v>727</v>
      </c>
    </row>
    <row r="3" customFormat="false" ht="15" hidden="false" customHeight="false" outlineLevel="0" collapsed="false">
      <c r="A3" s="98" t="s">
        <v>728</v>
      </c>
    </row>
    <row r="4" customFormat="false" ht="77.6" hidden="false" customHeight="false" outlineLevel="0" collapsed="false">
      <c r="A4" s="99" t="s">
        <v>729</v>
      </c>
    </row>
    <row r="6" customFormat="false" ht="15" hidden="false" customHeight="false" outlineLevel="0" collapsed="false">
      <c r="A6" s="98" t="s">
        <v>730</v>
      </c>
    </row>
    <row r="7" customFormat="false" ht="15" hidden="false" customHeight="false" outlineLevel="0" collapsed="false">
      <c r="A7" s="100" t="s">
        <v>731</v>
      </c>
    </row>
    <row r="8" customFormat="false" ht="15" hidden="false" customHeight="false" outlineLevel="0" collapsed="false">
      <c r="A8" s="101" t="s">
        <v>732</v>
      </c>
    </row>
    <row r="9" customFormat="false" ht="15" hidden="false" customHeight="false" outlineLevel="0" collapsed="false">
      <c r="A9" s="102" t="s">
        <v>733</v>
      </c>
    </row>
    <row r="10" customFormat="false" ht="15" hidden="false" customHeight="false" outlineLevel="0" collapsed="false">
      <c r="A10" s="103" t="s">
        <v>734</v>
      </c>
    </row>
    <row r="11" customFormat="false" ht="15" hidden="false" customHeight="false" outlineLevel="0" collapsed="false">
      <c r="A11" s="104" t="s">
        <v>735</v>
      </c>
    </row>
    <row r="13" customFormat="false" ht="15" hidden="false" customHeight="false" outlineLevel="0" collapsed="false">
      <c r="A13" s="98" t="s">
        <v>736</v>
      </c>
    </row>
    <row r="14" customFormat="false" ht="15" hidden="false" customHeight="false" outlineLevel="0" collapsed="false">
      <c r="A14" s="99" t="s">
        <v>737</v>
      </c>
    </row>
    <row r="15" customFormat="false" ht="102.95" hidden="false" customHeight="false" outlineLevel="0" collapsed="false">
      <c r="A15" s="99" t="s">
        <v>738</v>
      </c>
    </row>
    <row r="16" customFormat="false" ht="26.85" hidden="false" customHeight="false" outlineLevel="0" collapsed="false">
      <c r="A16" s="99" t="s">
        <v>739</v>
      </c>
    </row>
    <row r="17" customFormat="false" ht="26.85" hidden="false" customHeight="false" outlineLevel="0" collapsed="false">
      <c r="A17" s="99" t="s">
        <v>740</v>
      </c>
    </row>
    <row r="18" customFormat="false" ht="39.55" hidden="false" customHeight="false" outlineLevel="0" collapsed="false">
      <c r="A18" s="99" t="s">
        <v>741</v>
      </c>
    </row>
    <row r="19" customFormat="false" ht="39.55" hidden="false" customHeight="false" outlineLevel="0" collapsed="false">
      <c r="A19" s="99" t="s">
        <v>742</v>
      </c>
    </row>
    <row r="20" customFormat="false" ht="52.2" hidden="false" customHeight="false" outlineLevel="0" collapsed="false">
      <c r="A20" s="99" t="s">
        <v>743</v>
      </c>
    </row>
    <row r="21" customFormat="false" ht="52.2" hidden="false" customHeight="false" outlineLevel="0" collapsed="false">
      <c r="A21" s="99" t="s">
        <v>744</v>
      </c>
    </row>
    <row r="22" customFormat="false" ht="52.2" hidden="false" customHeight="false" outlineLevel="0" collapsed="false">
      <c r="A22" s="99" t="s">
        <v>745</v>
      </c>
    </row>
    <row r="23" customFormat="false" ht="26.85" hidden="false" customHeight="false" outlineLevel="0" collapsed="false">
      <c r="A23" s="99" t="s">
        <v>746</v>
      </c>
    </row>
    <row r="24" customFormat="false" ht="39.55" hidden="false" customHeight="false" outlineLevel="0" collapsed="false">
      <c r="A24" s="99" t="s">
        <v>747</v>
      </c>
    </row>
    <row r="25" customFormat="false" ht="15" hidden="false" customHeight="false" outlineLevel="0" collapsed="false">
      <c r="A25" s="99" t="s">
        <v>748</v>
      </c>
    </row>
    <row r="27" customFormat="false" ht="15" hidden="false" customHeight="false" outlineLevel="0" collapsed="false">
      <c r="A27" s="98" t="s">
        <v>749</v>
      </c>
    </row>
    <row r="28" customFormat="false" ht="191.75" hidden="false" customHeight="false" outlineLevel="0" collapsed="false">
      <c r="A28" s="99" t="s">
        <v>750</v>
      </c>
    </row>
    <row r="30" customFormat="false" ht="15" hidden="false" customHeight="false" outlineLevel="0" collapsed="false">
      <c r="A30" s="98" t="s">
        <v>751</v>
      </c>
    </row>
    <row r="31" customFormat="false" ht="153.7" hidden="false" customHeight="false" outlineLevel="0" collapsed="false">
      <c r="A31" s="99" t="s">
        <v>752</v>
      </c>
    </row>
    <row r="33" customFormat="false" ht="15" hidden="false" customHeight="false" outlineLevel="0" collapsed="false">
      <c r="A33" s="98" t="s">
        <v>753</v>
      </c>
    </row>
    <row r="34" customFormat="false" ht="141" hidden="false" customHeight="false" outlineLevel="0" collapsed="false">
      <c r="A34" s="99" t="s">
        <v>754</v>
      </c>
    </row>
    <row r="36" customFormat="false" ht="15" hidden="false" customHeight="false" outlineLevel="0" collapsed="false">
      <c r="A36" s="98" t="s">
        <v>755</v>
      </c>
    </row>
    <row r="37" customFormat="false" ht="52.2" hidden="false" customHeight="false" outlineLevel="0" collapsed="false">
      <c r="A37" s="99" t="s">
        <v>756</v>
      </c>
    </row>
    <row r="38" customFormat="false" ht="26.85" hidden="false" customHeight="false" outlineLevel="0" collapsed="false">
      <c r="A38" s="99" t="s">
        <v>757</v>
      </c>
    </row>
    <row r="39" customFormat="false" ht="26.85" hidden="false" customHeight="false" outlineLevel="0" collapsed="false">
      <c r="A39" s="99" t="s">
        <v>758</v>
      </c>
    </row>
    <row r="40" customFormat="false" ht="26.85" hidden="false" customHeight="false" outlineLevel="0" collapsed="false">
      <c r="A40" s="99" t="s">
        <v>759</v>
      </c>
    </row>
    <row r="41" customFormat="false" ht="52.2" hidden="false" customHeight="false" outlineLevel="0" collapsed="false">
      <c r="A41" s="99" t="s">
        <v>760</v>
      </c>
    </row>
    <row r="42" customFormat="false" ht="26.85" hidden="false" customHeight="false" outlineLevel="0" collapsed="false">
      <c r="A42" s="99" t="s">
        <v>761</v>
      </c>
    </row>
    <row r="43" customFormat="false" ht="77.6" hidden="false" customHeight="false" outlineLevel="0" collapsed="false">
      <c r="A43" s="99" t="s">
        <v>762</v>
      </c>
    </row>
    <row r="44" customFormat="false" ht="15" hidden="false" customHeight="false" outlineLevel="0" collapsed="false">
      <c r="A44" s="99" t="s">
        <v>763</v>
      </c>
    </row>
    <row r="45" customFormat="false" ht="15" hidden="false" customHeight="false" outlineLevel="0" collapsed="false">
      <c r="A45" s="99" t="s">
        <v>764</v>
      </c>
    </row>
    <row r="46" customFormat="false" ht="26.85" hidden="false" customHeight="false" outlineLevel="0" collapsed="false">
      <c r="A46" s="99" t="s">
        <v>765</v>
      </c>
    </row>
    <row r="48" customFormat="false" ht="39.55" hidden="false" customHeight="false" outlineLevel="0" collapsed="false">
      <c r="A48" s="105" t="s">
        <v>766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2026-09-03T16:57:25Z</dcterms:created>
  <dc:creator>openpyxl</dc:creator>
  <dc:description/>
  <dc:language>en-US</dc:language>
  <cp:lastModifiedBy/>
  <dcterms:modified xsi:type="dcterms:W3CDTF">2026-09-03T16:57:26Z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