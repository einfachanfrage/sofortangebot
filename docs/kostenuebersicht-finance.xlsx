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ostenübersicht" sheetId="1" state="visible" r:id="rId3"/>
    <sheet name="Rechnungsjournal" sheetId="2" state="visible" r:id="rId4"/>
    <sheet name="Monatsverlauf" sheetId="3" state="visible" r:id="rId5"/>
    <sheet name="Legende &amp; offene Punkte" sheetId="4" state="visible" r:id="rId6"/>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5" authorId="0">
      <text>
        <r>
          <rPr>
            <sz val="10"/>
            <rFont val="Arial"/>
            <family val="2"/>
          </rPr>
          <t xml:space="preserve">Freie Zeile für weitere Tools, die Sandy noch ergänzt.</t>
        </r>
      </text>
    </comment>
    <comment ref="A16" authorId="0">
      <text>
        <r>
          <rPr>
            <sz val="10"/>
            <rFont val="Arial"/>
            <family val="2"/>
          </rPr>
          <t xml:space="preserve">Freie Zeile für weitere Tools, die Sandy noch ergänzt.</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15" authorId="0">
      <text>
        <r>
          <rPr>
            <sz val="10"/>
            <rFont val="Arial"/>
            <family val="2"/>
          </rPr>
          <t xml:space="preserve">Ab hier: freie Zeilen für neue Belege. Bitte fortlaufende Beleg-Nr. vergeben (z. B. 2026-011) und nie bestehende Zeilen überschreiben/löschen.</t>
        </r>
      </text>
    </comment>
    <comment ref="O6"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O7"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O8"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O9"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O10"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O11"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O12"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O14"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List>
</comments>
</file>

<file path=xl/sharedStrings.xml><?xml version="1.0" encoding="utf-8"?>
<sst xmlns="http://schemas.openxmlformats.org/spreadsheetml/2006/main" count="287" uniqueCount="200">
  <si>
    <t xml:space="preserve">Sofortangebot — Laufende Geschäftskosten</t>
  </si>
  <si>
    <t xml:space="preserve">Stand: 2026-08-19 · Head of Finance · Bestandsaufnahme CoS-F-001 · Beleg-Details je Rechnung stehen im Blatt 'Rechnungsjournal' · orange = auffällig, bitte klären · grau = noch kein Beleg</t>
  </si>
  <si>
    <t xml:space="preserve">Dienst</t>
  </si>
  <si>
    <t xml:space="preserve">Kategorie</t>
  </si>
  <si>
    <t xml:space="preserve">Währung</t>
  </si>
  <si>
    <t xml:space="preserve">Monatsbetrag (aktuellster Beleg, brutto)</t>
  </si>
  <si>
    <t xml:space="preserve">Abrechnungsrhythmus</t>
  </si>
  <si>
    <t xml:space="preserve">Vertragsstand / Kündigungsfrist</t>
  </si>
  <si>
    <t xml:space="preserve">USt-Behandlung</t>
  </si>
  <si>
    <t xml:space="preserve">Status</t>
  </si>
  <si>
    <t xml:space="preserve">Quelle / Notiz</t>
  </si>
  <si>
    <t xml:space="preserve">Supabase</t>
  </si>
  <si>
    <t xml:space="preserve">Hosting / Datenbank</t>
  </si>
  <si>
    <t xml:space="preserve">USD</t>
  </si>
  <si>
    <t xml:space="preserve">monatlich: Pro Plan $25 Grundgebühr + nutzungsbasierte Zusatzkosten (Compute, Realtime, Egress, Functions, …)</t>
  </si>
  <si>
    <t xml:space="preserve">2 Projekte laut Doku vorgesehen (Staging + Produktion 'yqlledouhfovytifeekd')</t>
  </si>
  <si>
    <t xml:space="preserve">Reverse Charge (§13b UStG, Singapur-Anbieter) — Sandy startet als Kleinunternehmerin (§19 UStG, Gewerbe noch nicht angemeldet), finale Behandlung mit Steuerberater klären</t>
  </si>
  <si>
    <t xml:space="preserve">auffällig — Betrag bestätigt, Trend + Projektanzahl bitte klären</t>
  </si>
  <si>
    <t xml:space="preserve">3 Belege (Journal 2026-003/006/008): 23.05. $25,00 / 23.06. $49,97 / 23.07. $54,30 — steigender Trend. Rechnungen listen 5 Projekt-Referenzen, dokumentiert sind nur 2. Bitte klären, ob alle nötig sind.</t>
  </si>
  <si>
    <t xml:space="preserve">Vercel</t>
  </si>
  <si>
    <t xml:space="preserve">Hosting / Deployment</t>
  </si>
  <si>
    <t xml:space="preserve">monatlich: Pro Plan $20 + 19% USt, seit Juni zusätzlich 'Observability Plus' Position mit $0,00</t>
  </si>
  <si>
    <t xml:space="preserve">Kündigungsfrist unbekannt</t>
  </si>
  <si>
    <t xml:space="preserve">USt. direkt ausgewiesen (EU VAT EU056329113), kein Reverse Charge</t>
  </si>
  <si>
    <t xml:space="preserve">bestätigt</t>
  </si>
  <si>
    <t xml:space="preserve">3 Belege (Journal 2026-002/005/007): 22.05., 22.06., 22.07. — durchgängig $23,80, stabil.</t>
  </si>
  <si>
    <t xml:space="preserve">Anthropic — direkt</t>
  </si>
  <si>
    <t xml:space="preserve">KI / API</t>
  </si>
  <si>
    <t xml:space="preserve">unklar — Beleg trägt 'Prepaid extra usage, Individual plan', evtl. einmaliger Nachkauf statt Fixbetrag</t>
  </si>
  <si>
    <t xml:space="preserve">unbekannt</t>
  </si>
  <si>
    <t xml:space="preserve">USt. direkt ausgewiesen (EU VAT IE4276970QH), kein Reverse Charge</t>
  </si>
  <si>
    <t xml:space="preserve">auffällig — bitte klären ob wiederkehrend</t>
  </si>
  <si>
    <t xml:space="preserve">1 Beleg (Journal 2026-010) vom 17.08.2026 über $45,00 + USt = $53,55, Geschäftsadresse Wielandstraße 11, mit hinterlegter deutscher Steuernummer.</t>
  </si>
  <si>
    <t xml:space="preserve">Claude Pro (Apple/iTunes)</t>
  </si>
  <si>
    <t xml:space="preserve">KI / Software</t>
  </si>
  <si>
    <t xml:space="preserve">EUR</t>
  </si>
  <si>
    <t xml:space="preserve">monatlich, automatische Verlängerung, Zahlung per PayPal</t>
  </si>
  <si>
    <t xml:space="preserve">monatlich kündbar (Apple-Abo)</t>
  </si>
  <si>
    <t xml:space="preserve">USt. direkt von Apple ausgewiesen, kein Reverse Charge</t>
  </si>
  <si>
    <t xml:space="preserve">auffällig — geschäftlich/privat + fehlende Monate klären</t>
  </si>
  <si>
    <t xml:space="preserve">2 Belege (Journal 2026-001/009): 04.05. und 03.08., je 22,00 € — Juni/Juli-Belege fehlen noch. Separates Abo zur direkten Anthropic-Rechnung, andere Rechnungsadresse (Krampasplatz 4b). Bitte klären: zweite geschäftliche Claude-Lizenz oder privates Abo?</t>
  </si>
  <si>
    <t xml:space="preserve">OpenAI</t>
  </si>
  <si>
    <t xml:space="preserve">nutzungsbasiert, Beleg zeigt eine Guthaben-Aufladung ('usage credit'), kein fester Monatsbetrag erkennbar</t>
  </si>
  <si>
    <t xml:space="preserve">USt. direkt ausgewiesen (EU OSS VAT EU372041333), kein Reverse Charge</t>
  </si>
  <si>
    <t xml:space="preserve">auffällig — falscher Account?</t>
  </si>
  <si>
    <t xml:space="preserve">1 Beleg (Journal 2026-004) vom 14.06.2026 über $15,00 + USt = $17,85. Rechnungsempfänger 'Hugo' / runningwithhugo@outlook.de — andere Identität als bei den übrigen Diensten.</t>
  </si>
  <si>
    <t xml:space="preserve">Resend</t>
  </si>
  <si>
    <t xml:space="preserve">E-Mail</t>
  </si>
  <si>
    <t xml:space="preserve">?</t>
  </si>
  <si>
    <t xml:space="preserve">kein Beleg gefunden</t>
  </si>
  <si>
    <t xml:space="preserve">Im Code bestätigt (Paket 'resend', RESEND_API_KEY), aber noch keine Rechnung im Belege-Ordner.</t>
  </si>
  <si>
    <t xml:space="preserve">Domain sofortangebot.app</t>
  </si>
  <si>
    <t xml:space="preserve">Domain</t>
  </si>
  <si>
    <t xml:space="preserve">vermutlich jährlich</t>
  </si>
  <si>
    <t xml:space="preserve">Registrar/Ablaufdatum unbekannt</t>
  </si>
  <si>
    <t xml:space="preserve">Von Sandy als laufende Kostenposition genannt, noch keine Rechnung im Belege-Ordner.</t>
  </si>
  <si>
    <t xml:space="preserve">Sentry</t>
  </si>
  <si>
    <t xml:space="preserve">Monitoring / Error-Tracking</t>
  </si>
  <si>
    <t xml:space="preserve">Im Code gefunden ('@sentry/nextjs'), nicht in Sandys Ausgangsliste, noch keine Rechnung im Ordner.</t>
  </si>
  <si>
    <t xml:space="preserve">Stripe</t>
  </si>
  <si>
    <t xml:space="preserve">Zahlungsabwicklung</t>
  </si>
  <si>
    <t xml:space="preserve">transaktionsbasiert (keine feste Monatsgebühr erwartet)</t>
  </si>
  <si>
    <t xml:space="preserve">kein Beleg erwartet</t>
  </si>
  <si>
    <t xml:space="preserve">Im Code bestätigt ('stripe' Paket). Gebühren pro Transaktion statt Fixkosten — relevant erst mit Umsatz-Tracking in Phase 2.</t>
  </si>
  <si>
    <t xml:space="preserve">GitHub Actions (Backup-Artefakte)</t>
  </si>
  <si>
    <t xml:space="preserve">CI / Infra</t>
  </si>
  <si>
    <t xml:space="preserve">nutzungsbasiert (Speicher/Minuten)</t>
  </si>
  <si>
    <t xml:space="preserve">abhängig vom GitHub-Plan</t>
  </si>
  <si>
    <t xml:space="preserve">zu prüfen</t>
  </si>
  <si>
    <t xml:space="preserve">Tägliches DB-Backup speichert Artefakte 30/90/365 Tage. Kann bei privatem Repo über das Freikontingent hinaus Kosten verursachen — noch kein Beleg.</t>
  </si>
  <si>
    <t xml:space="preserve">Summe USD-Positionen (siehe Status-Spalte für Vorbehalte)</t>
  </si>
  <si>
    <t xml:space="preserve">Summe EUR-Positionen (siehe Status-Spalte für Vorbehalte)</t>
  </si>
  <si>
    <t xml:space="preserve">Hinweis: USD- und EUR-Positionen werden bewusst getrennt summiert, um keinen falschen Umrechnungskurs vorzutäuschen. Beleg-Details je Rechnung (Rechnungsnummer, Netto/USt/Brutto, Beleg-Datei) stehen im Blatt 'Rechnungsjournal'.</t>
  </si>
  <si>
    <t xml:space="preserve">Rechnungsjournal — Belege im Detail (für Buchhaltung / Steuerberater)</t>
  </si>
  <si>
    <t xml:space="preserve">Ein Beleg = eine Zeile, chronologisch. Enthält alles, was ein Steuerberater für die Verbuchung braucht: Rechnungsnummer, Leistungszeitraum, Netto/USt/Brutto, steuerliche Einordnung (Reverse Charge ja/nein), Zahlungsart und die Original-Beleg-Datei im Rechnungen-Ordner. Bitte Zeilen hier nie überschreiben, nur neue anhängen (Nachvollziehbarkeit).</t>
  </si>
  <si>
    <t xml:space="preserve">Beleg-Nr.</t>
  </si>
  <si>
    <t xml:space="preserve">Rechnungsdatum</t>
  </si>
  <si>
    <t xml:space="preserve">Rechnungsnr. (Anbieter)</t>
  </si>
  <si>
    <t xml:space="preserve">Leistungszeitraum</t>
  </si>
  <si>
    <t xml:space="preserve">Anbieter</t>
  </si>
  <si>
    <t xml:space="preserve">Anbieter-Land</t>
  </si>
  <si>
    <t xml:space="preserve">Rechnungsempfänger lt. Beleg</t>
  </si>
  <si>
    <t xml:space="preserve">Netto-Betrag</t>
  </si>
  <si>
    <t xml:space="preserve">USt-Satz</t>
  </si>
  <si>
    <t xml:space="preserve">USt-Betrag</t>
  </si>
  <si>
    <t xml:space="preserve">Brutto-Betrag</t>
  </si>
  <si>
    <t xml:space="preserve">Steuerliche Einordnung</t>
  </si>
  <si>
    <t xml:space="preserve">Betrag EUR (Brutto, ca.)</t>
  </si>
  <si>
    <t xml:space="preserve">Zahlungsart</t>
  </si>
  <si>
    <t xml:space="preserve">Beleg-Datei (Ordner 'Rechnungen')</t>
  </si>
  <si>
    <t xml:space="preserve">Auffälligkeit / Notiz</t>
  </si>
  <si>
    <t xml:space="preserve">2026-001</t>
  </si>
  <si>
    <t xml:space="preserve">MVS2VFHBYG / Dok. 846129332588</t>
  </si>
  <si>
    <t xml:space="preserve">04.05.–03.06.2026 (Abo-Monat)</t>
  </si>
  <si>
    <t xml:space="preserve">Apple Distribution International Ltd. (Vertrieb für Claude Pro)</t>
  </si>
  <si>
    <t xml:space="preserve">Irland</t>
  </si>
  <si>
    <t xml:space="preserve">Sandra Holm, Krampasplatz 4b, 14199 Berlin</t>
  </si>
  <si>
    <t xml:space="preserve">USt. (19%) direkt von Apple ausgewiesen, kein Reverse Charge.</t>
  </si>
  <si>
    <t xml:space="preserve">PayPal</t>
  </si>
  <si>
    <t xml:space="preserve">Deine Rechnung von Apple.eml</t>
  </si>
  <si>
    <t xml:space="preserve">Abo verlängert sich automatisch monatlich. Rechnungsadresse weicht von den übrigen Belegen ab (Krampasplatz 4b statt Wielandstraße 11) — bitte klären, welche Adresse aktuell/richtig ist.</t>
  </si>
  <si>
    <t xml:space="preserve">2026-002</t>
  </si>
  <si>
    <t xml:space="preserve">TT0BDQ8S-0001</t>
  </si>
  <si>
    <t xml:space="preserve">22.05.–21.06.2026</t>
  </si>
  <si>
    <t xml:space="preserve">Vercel Inc.</t>
  </si>
  <si>
    <t xml:space="preserve">USA</t>
  </si>
  <si>
    <t xml:space="preserve">einfachanfrage's projects, Wielandstraße 11, 12159 Berlin (einfachanfrage@outlook.com)</t>
  </si>
  <si>
    <t xml:space="preserve">USt. (19%) direkt von Vercel ausgewiesen (EU VAT EU056329113), kein Reverse Charge.</t>
  </si>
  <si>
    <t xml:space="preserve">unbekannt (Online-Zahlung)</t>
  </si>
  <si>
    <t xml:space="preserve">Invoice-TT0BDQ8S-0001.pdf</t>
  </si>
  <si>
    <t xml:space="preserve">2026-003</t>
  </si>
  <si>
    <t xml:space="preserve">MVGOOM-00003</t>
  </si>
  <si>
    <t xml:space="preserve">23.05.–22.06.2026</t>
  </si>
  <si>
    <t xml:space="preserve">Supabase Pte. Ltd.</t>
  </si>
  <si>
    <t xml:space="preserve">Singapur</t>
  </si>
  <si>
    <t xml:space="preserve">Sandra Holm, Wielandstraße 11, Berlin (einfachanfrage@outlook.com)</t>
  </si>
  <si>
    <t xml:space="preserve">Reverse Charge</t>
  </si>
  <si>
    <t xml:space="preserve">Reverse Charge — Supabase weist keine USt aus. Sandy startet als Kleinunternehmerin nach §19 UStG (bestätigt 19.08.2026), Gewerbe aber noch nicht angemeldet. Nach Kleinunternehmerregelung i. d. R. keine Vorsteuer ziehbar, aber die USt-Pflicht auf reverse-charge-Leistungen aus dem Ausland (§13b UStG) kann trotzdem bestehen bleiben — das ist keine verbindliche Auskunft von mir, bitte mit Steuerberater final klären, sobald einer feststeht.</t>
  </si>
  <si>
    <t xml:space="preserve">Invoice-MVGOOM-00003.pdf</t>
  </si>
  <si>
    <t xml:space="preserve">Nur Pro-Plan-Grundgebühr, keine Nutzungsgebühren in diesem Monat.</t>
  </si>
  <si>
    <t xml:space="preserve">2026-004</t>
  </si>
  <si>
    <t xml:space="preserve">YL9K6L19-0001</t>
  </si>
  <si>
    <t xml:space="preserve">—</t>
  </si>
  <si>
    <t xml:space="preserve">OpenAI OpCo, LLC</t>
  </si>
  <si>
    <t xml:space="preserve">Hugo, Wielandstraße 11, 12159 Berlin (runningwithhugo@outlook.de)</t>
  </si>
  <si>
    <t xml:space="preserve">USt. (19%) direkt von OpenAI ausgewiesen (EU OSS VAT EU372041333), kein Reverse Charge.</t>
  </si>
  <si>
    <t xml:space="preserve">Invoice-YL9K6L19-0001.pdf</t>
  </si>
  <si>
    <t xml:space="preserve">Rechnungsempfänger 'Hugo' / andere E-Mail als bei allen übrigen Diensten — bitte prüfen, ob das der richtige Account für Sofortangebot ist.</t>
  </si>
  <si>
    <t xml:space="preserve">2026-005</t>
  </si>
  <si>
    <t xml:space="preserve">TT0BDQ8S-0003</t>
  </si>
  <si>
    <t xml:space="preserve">22.06.–21.07.2026</t>
  </si>
  <si>
    <t xml:space="preserve">Invoice-TT0BDQ8S-0003.pdf</t>
  </si>
  <si>
    <t xml:space="preserve">Zusätzliche Position 'Observability Plus' mit $0,00 seit diesem Monat.</t>
  </si>
  <si>
    <t xml:space="preserve">2026-006</t>
  </si>
  <si>
    <t xml:space="preserve">MVGOOM-00005</t>
  </si>
  <si>
    <t xml:space="preserve">23.05.–22.06.2026 (Nutzung) + 23.06.–22.07.2026 (Pro Plan)</t>
  </si>
  <si>
    <t xml:space="preserve">Invoice-MVGOOM-00005.pdf</t>
  </si>
  <si>
    <t xml:space="preserve">Erstmals nennenswerte Nutzungsgebühren (Compute Hours) zusätzlich zur Pro-Plan-Grundgebühr.</t>
  </si>
  <si>
    <t xml:space="preserve">2026-007</t>
  </si>
  <si>
    <t xml:space="preserve">TT0BDQ8S-0004</t>
  </si>
  <si>
    <t xml:space="preserve">22.07.–21.08.2026</t>
  </si>
  <si>
    <t xml:space="preserve">Invoice-TT0BDQ8S-0004.pdf</t>
  </si>
  <si>
    <t xml:space="preserve">2026-008</t>
  </si>
  <si>
    <t xml:space="preserve">MVGOOM-00006</t>
  </si>
  <si>
    <t xml:space="preserve">23.06.–22.07.2026 (Nutzung) + 23.07.–22.08.2026 (Pro Plan)</t>
  </si>
  <si>
    <t xml:space="preserve">Invoice-MVGOOM-00006.pdf</t>
  </si>
  <si>
    <t xml:space="preserve">Nutzungsgebühren weiter gestiegen, neu: 'Realtime Peak Connections' $10,00. Rechnung listet 5 verschiedene Projekt-Referenzen, dokumentiert sind nur 2 (Staging + Produktion).</t>
  </si>
  <si>
    <t xml:space="preserve">2026-009</t>
  </si>
  <si>
    <t xml:space="preserve">MVS3312KT5 / Dok. 674170779929</t>
  </si>
  <si>
    <t xml:space="preserve">03.08.–02.09.2026 (Abo-Monat)</t>
  </si>
  <si>
    <t xml:space="preserve">Deine Käufe bei Apple.eml</t>
  </si>
  <si>
    <t xml:space="preserve">Belege für die Juni- und Juli-Abbuchung dieses Abos fehlen noch (vermutlich auch je ~22 €) — bitte in Apple-Kaufhistorie/Postfach nachsehen und ergänzen.</t>
  </si>
  <si>
    <t xml:space="preserve">2026-010</t>
  </si>
  <si>
    <t xml:space="preserve">CBBICKXQ-0001</t>
  </si>
  <si>
    <t xml:space="preserve">Anthropic, PBC</t>
  </si>
  <si>
    <t xml:space="preserve">Sandra Holm, Wielandstraße 11, 12159 Berlin, DE STN 89365407818</t>
  </si>
  <si>
    <t xml:space="preserve">USt. (19%) direkt von Anthropic ausgewiesen (EU VAT IE4276970QH), kein Reverse Charge.</t>
  </si>
  <si>
    <t xml:space="preserve">Invoice-CBBICKXQ-0001.pdf</t>
  </si>
  <si>
    <t xml:space="preserve">Rechnung nennt eine deutsche Steuernummer (DE STN 89365407818) — da laut Sandy noch kein Gewerbe angemeldet ist (Stand 19.08.2026), vermutlich Sandys private Steuer-ID, nicht zwingend eine Geschäfts-Steuernummer. Position heißt 'Prepaid extra usage, Individual plan' — bitte klären: wiederkehrender Posten oder einmaliger Nachkauf von Nutzungsvolumen?</t>
  </si>
  <si>
    <t xml:space="preserve">Monatsverlauf laufende Kosten</t>
  </si>
  <si>
    <t xml:space="preserve">Werte werden per Formel aus dem 'Rechnungsjournal' gezogen (nach Rechnungsmonat, Dienst und Währung) — beim Ergänzen neuer Belege im Journal aktualisiert sich diese Ansicht automatisch. Leere Zelle = noch kein Beleg für diesen Monat gefunden.</t>
  </si>
  <si>
    <t xml:space="preserve">Mai 2026</t>
  </si>
  <si>
    <t xml:space="preserve">Jun 2026</t>
  </si>
  <si>
    <t xml:space="preserve">Jul 2026</t>
  </si>
  <si>
    <t xml:space="preserve">Aug 2026</t>
  </si>
  <si>
    <t xml:space="preserve">Sep 2026</t>
  </si>
  <si>
    <t xml:space="preserve">Okt 2026</t>
  </si>
  <si>
    <t xml:space="preserve">Nov 2026</t>
  </si>
  <si>
    <t xml:space="preserve">Dez 2026</t>
  </si>
  <si>
    <t xml:space="preserve">Gesamt (Zeitraum)</t>
  </si>
  <si>
    <t xml:space="preserve">Monatssumme USD</t>
  </si>
  <si>
    <t xml:space="preserve">Monatssumme EUR</t>
  </si>
  <si>
    <t xml:space="preserve">Legende &amp; Anleitung — Kostenübersicht Sofortangebot</t>
  </si>
  <si>
    <t xml:space="preserve">Warum diese Struktur (für Sandy, in einfach)</t>
  </si>
  <si>
    <t xml:space="preserve">Diese Datei ist so aufgebaut, dass sie später direkt an einen Steuerberater übergeben werden kann, ohne dass jemand alles neu zusammensuchen muss: jede Rechnung einzeln mit Rechnungs-nummer, Netto-/USt-/Brutto-Betrag, steuerlicher Einordnung und Verweis auf die Original-Datei im Rechnungen-Ordner. Wichtig: Ich bin kein Steuerberater — ich bereite die Zahlen sauber auf, die steuerliche Bewertung (z. B. Reverse Charge, Kleinunternehmer-Status, Vorsteuerabzug) muss ein echter Steuerberater bestätigen.</t>
  </si>
  <si>
    <t xml:space="preserve">Farben</t>
  </si>
  <si>
    <t xml:space="preserve">Blaue Schrift = Wert direkt aus einem Beleg übernommen.</t>
  </si>
  <si>
    <t xml:space="preserve">Grüne Schrift = Formel/Verweis auf ein anderes Feld oder Blatt.</t>
  </si>
  <si>
    <t xml:space="preserve">Orange Füllung = Betrag/Angabe liegt vor, aber es gibt eine Auffälligkeit, die Sandy klären muss.</t>
  </si>
  <si>
    <t xml:space="preserve">Gelbe Füllung = noch offen / noch kein Wert eingetragen (z. B. EUR-Umrechnung, fehlender Monat).</t>
  </si>
  <si>
    <t xml:space="preserve">Graue Füllung = Dienst bekannt, aber noch gar kein Beleg gefunden.</t>
  </si>
  <si>
    <t xml:space="preserve">Blätter in dieser Datei</t>
  </si>
  <si>
    <t xml:space="preserve">1) Kostenübersicht — ein Dienst pro Zeile: aktuellster Betrag, Rhythmus, USt-Behandlung, Status.</t>
  </si>
  <si>
    <t xml:space="preserve">2) Rechnungsjournal — die eigentliche Beleg-Ebene: eine Zeile pro Rechnung, mit allem, was für die Buchhaltung zählt (Rechnungsnummer, Leistungszeitraum, Netto/USt/Brutto, Reverse-Charge-Kennzeichnung, Zahlungsart, Verweis auf die Beleg-Datei im Ordner). Neue Belege bitte als neue Zeile anhängen, nie bestehende Zeilen überschreiben (Nachvollziehbarkeit/GoBD-Grundsatz).</t>
  </si>
  <si>
    <t xml:space="preserve">3) Monatsverlauf — zieht die Beträge per Formel automatisch aus dem Rechnungsjournal (nach Monat, Dienst, Währung). Aktualisiert sich von selbst, sobald neue Journal-Zeilen dazukommen.</t>
  </si>
  <si>
    <t xml:space="preserve">4) Diese Seite.</t>
  </si>
  <si>
    <t xml:space="preserve">Stand zur Gewerbeanmeldung / USt-Status (von Sandy bestätigt, 2026-08-19)</t>
  </si>
  <si>
    <t xml:space="preserve">Sandy hat noch KEIN Gewerbe angemeldet, startet aber als Kleinunternehmerin nach §19 UStG (bestätigt). Alle bisherigen Belege stammen damit aus der Zeit vor der offiziellen Gründung — das ist normal und die Kosten lassen sich in der Regel nachträglich als 'vorweggenommene Betriebsausgaben' geltend machen, sobald das Gewerbe angemeldet ist. Wichtig dafür ist genau das, was dieses Journal leistet: ein lückenloser, nachvollziehbarer Beleg-Nachweis. Eine Detailfrage bleibt offen, die ich bewusst nicht selbst beantworte: Wie sind die Reverse-Charge-Rechnungen (Supabase) für eine Kleinunternehmerin zu behandeln — meines Wissens kann die USt-Pflicht auf im Ausland eingekaufte Leistungen (§13b UStG) auch für Kleinunternehmer bestehen bleiben, während der Vorsteuerabzug bei den anderen Diensten (Vercel, OpenAI, Anthropic, Apple) i. d. R. entfällt, weil keine Regelbesteuerung vorliegt — das ist aber keine verbindliche Auskunft von mir. Bitte mit dem Steuerberater klären, sobald einer feststeht — bis dahin im Journal bewusst vorläufig dokumentiert.</t>
  </si>
  <si>
    <t xml:space="preserve">Auffälligkeiten aus den bisherigen 10 Belegen (Stand 2026-08-19) — bitte von Sandy klären</t>
  </si>
  <si>
    <t xml:space="preserve">• Supabase: Kosten steigen (Mai $25,00 → Juni $49,97 → Juli $54,30). Belege zeigen 5 verschiedene Projekt-Referenzen, dokumentiert sind nur 2 (Staging + Produktion). Werden alle 5 gebraucht?</t>
  </si>
  <si>
    <t xml:space="preserve">• Zwei offenbar getrennte Claude-Positionen: direkte Anthropic-Rechnung (Geschäftsadresse) UND Claude-Pro-Abo über Apple/iTunes (22 €/Monat, andere Adresse, PayPal). Geschäftlich oder privat?</t>
  </si>
  <si>
    <t xml:space="preserve">• Claude-Pro-Apple-Abo: Belege für Juni und Juli fehlen (nur Mai und August vorhanden) — bitte in der Apple-Kaufhistorie nachsehen und ergänzen, damit der Monatsverlauf vollständig ist.</t>
  </si>
  <si>
    <t xml:space="preserve">• OpenAI-Beleg ist auf 'Hugo' / runningwithhugo@outlook.de ausgestellt, nicht auf Sandra Holm / einfachanfrage@outlook.com wie die anderen Dienste. Richtiger Account?</t>
  </si>
  <si>
    <t xml:space="preserve">• Zwei unterschiedliche Adressen für Sandra Holm (Wielandstraße 11 vs. Krampasplatz 4b) — vermutlich alt/neu, bitte kurz bestätigen.</t>
  </si>
  <si>
    <t xml:space="preserve">• Genaues Datum der geplanten Gewerbeanmeldung? Hilft bei der sauberen Abgrenzung, welche Belege als vorweggenommene Betriebsausgaben zählen.</t>
  </si>
  <si>
    <t xml:space="preserve">• Wie sind die Supabase-Reverse-Charge-Rechnungen für eine Kleinunternehmerin (§19 UStG) zu behandeln (siehe Absatz oben)? — mit Steuerberater klären, sobald einer feststeht.</t>
  </si>
  <si>
    <t xml:space="preserve">• Noch keine Belege gefunden für: Resend, Domain sofortangebot.app, Sentry, GitHub-Plan.</t>
  </si>
  <si>
    <t xml:space="preserve">• Anthropic-Direktrechnung: einmaliger Nachkauf oder wiederkehrender Posten?</t>
  </si>
  <si>
    <t xml:space="preserve">• EUR-Umrechnung der USD-Rechnungen (Spalte 'Betrag EUR' im Journal) ist bewusst noch offen — welchen Umrechnungskurs soll ich verwenden, sobald ein Steuerberater feststeht?</t>
  </si>
  <si>
    <t xml:space="preserve">Hinweis: Diese Datei liegt unter docs/kostenuebersicht-finance.xlsx im Repo und wird von Head of Finance gepflegt. Fortschritt/Rückfragen laufen über docs/chief-of-staff-finance-todos.md (CoS-F-001). Original-Belege liegen unverändert im Ordner 'Rechnungen' auf Sandys Rechner.</t>
  </si>
</sst>
</file>

<file path=xl/styles.xml><?xml version="1.0" encoding="utf-8"?>
<styleSheet xmlns="http://schemas.openxmlformats.org/spreadsheetml/2006/main">
  <numFmts count="7">
    <numFmt numFmtId="164" formatCode="General"/>
    <numFmt numFmtId="165" formatCode="#,##0.00&quot; $&quot;;\(#,##0.00&quot; $)&quot;"/>
    <numFmt numFmtId="166" formatCode="#,##0.00&quot; €&quot;;\(#,##0.00&quot; €)&quot;"/>
    <numFmt numFmtId="167" formatCode="#,##0.00"/>
    <numFmt numFmtId="168" formatCode="dd\.mm\.yyyy"/>
    <numFmt numFmtId="169" formatCode="0%"/>
    <numFmt numFmtId="170" formatCode="General"/>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666666"/>
      <name val="Arial"/>
      <family val="0"/>
      <charset val="1"/>
    </font>
    <font>
      <b val="true"/>
      <sz val="11"/>
      <color rgb="FFFFFFFF"/>
      <name val="Arial"/>
      <family val="0"/>
      <charset val="1"/>
    </font>
    <font>
      <sz val="11"/>
      <color rgb="FF000000"/>
      <name val="Arial"/>
      <family val="0"/>
      <charset val="1"/>
    </font>
    <font>
      <sz val="11"/>
      <color rgb="FF0000FF"/>
      <name val="Arial"/>
      <family val="0"/>
      <charset val="1"/>
    </font>
    <font>
      <b val="true"/>
      <sz val="11"/>
      <color rgb="FFCC0000"/>
      <name val="Arial"/>
      <family val="0"/>
      <charset val="1"/>
    </font>
    <font>
      <b val="true"/>
      <sz val="11"/>
      <name val="Arial"/>
      <family val="0"/>
      <charset val="1"/>
    </font>
    <font>
      <sz val="10"/>
      <name val="Arial"/>
      <family val="2"/>
    </font>
    <font>
      <sz val="11"/>
      <color rgb="FF008000"/>
      <name val="Arial"/>
      <family val="0"/>
      <charset val="1"/>
    </font>
    <font>
      <b val="true"/>
      <sz val="14"/>
      <color rgb="FF000000"/>
      <name val="Arial"/>
      <family val="0"/>
      <charset val="1"/>
    </font>
    <font>
      <b val="true"/>
      <sz val="11"/>
      <color rgb="FF000000"/>
      <name val="Arial"/>
      <family val="0"/>
      <charset val="1"/>
    </font>
    <font>
      <i val="true"/>
      <sz val="11"/>
      <color rgb="FF000000"/>
      <name val="Arial"/>
      <family val="0"/>
      <charset val="1"/>
    </font>
  </fonts>
  <fills count="7">
    <fill>
      <patternFill patternType="none"/>
    </fill>
    <fill>
      <patternFill patternType="gray125"/>
    </fill>
    <fill>
      <patternFill patternType="solid">
        <fgColor rgb="FF1F4E78"/>
        <bgColor rgb="FF003366"/>
      </patternFill>
    </fill>
    <fill>
      <patternFill patternType="solid">
        <fgColor rgb="FFFFD966"/>
        <bgColor rgb="FFFFFF99"/>
      </patternFill>
    </fill>
    <fill>
      <patternFill patternType="solid">
        <fgColor rgb="FFF2F2F2"/>
        <bgColor rgb="FFFFFFFF"/>
      </patternFill>
    </fill>
    <fill>
      <patternFill patternType="solid">
        <fgColor rgb="FFD9E1F2"/>
        <bgColor rgb="FFF2F2F2"/>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8"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8" fillId="3" borderId="1" xfId="0" applyFont="true" applyBorder="true" applyAlignment="true" applyProtection="false">
      <alignment horizontal="general" vertical="top" textRotation="0" wrapText="true" indent="0" shrinkToFit="false"/>
      <protection locked="true" hidden="false"/>
    </xf>
    <xf numFmtId="167" fontId="8" fillId="4"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true" applyProtection="false">
      <alignment horizontal="general" vertical="top" textRotation="0" wrapText="tru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5" fontId="10" fillId="5" borderId="1" xfId="0" applyFont="true" applyBorder="true" applyAlignment="false" applyProtection="false">
      <alignment horizontal="general" vertical="bottom" textRotation="0" wrapText="false" indent="0" shrinkToFit="false"/>
      <protection locked="true" hidden="false"/>
    </xf>
    <xf numFmtId="166" fontId="10" fillId="5"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6" fontId="12"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0" fillId="6" borderId="1" xfId="0" applyFont="false" applyBorder="true" applyAlignment="true" applyProtection="false">
      <alignment horizontal="general" vertical="top"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6"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966"/>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0"/>
    <col collapsed="false" customWidth="true" hidden="false" outlineLevel="0" max="4" min="4" style="0" width="18"/>
    <col collapsed="false" customWidth="true" hidden="false" outlineLevel="0" max="5" min="5" style="0" width="30"/>
    <col collapsed="false" customWidth="true" hidden="false" outlineLevel="0" max="6" min="6" style="0" width="28"/>
    <col collapsed="false" customWidth="true" hidden="false" outlineLevel="0" max="7" min="7" style="0" width="32"/>
    <col collapsed="false" customWidth="true" hidden="false" outlineLevel="0" max="8" min="8" style="0" width="24"/>
    <col collapsed="false" customWidth="true" hidden="false" outlineLevel="0" max="9" min="9" style="0" width="55"/>
  </cols>
  <sheetData>
    <row r="1" customFormat="false" ht="17.35" hidden="false" customHeight="false" outlineLevel="0" collapsed="false">
      <c r="A1" s="1" t="s">
        <v>0</v>
      </c>
      <c r="B1" s="1"/>
      <c r="C1" s="1"/>
      <c r="D1" s="1"/>
      <c r="E1" s="1"/>
      <c r="F1" s="1"/>
      <c r="G1" s="1"/>
      <c r="H1" s="1"/>
      <c r="I1" s="1"/>
    </row>
    <row r="2" customFormat="false" ht="15" hidden="false" customHeight="false" outlineLevel="0" collapsed="false">
      <c r="A2" s="2" t="s">
        <v>1</v>
      </c>
      <c r="B2" s="2"/>
      <c r="C2" s="2"/>
      <c r="D2" s="2"/>
      <c r="E2" s="2"/>
      <c r="F2" s="2"/>
      <c r="G2" s="2"/>
      <c r="H2" s="2"/>
      <c r="I2" s="2"/>
    </row>
    <row r="4" customFormat="false" ht="39.55" hidden="false" customHeight="false" outlineLevel="0" collapsed="false">
      <c r="A4" s="3" t="s">
        <v>2</v>
      </c>
      <c r="B4" s="3" t="s">
        <v>3</v>
      </c>
      <c r="C4" s="3" t="s">
        <v>4</v>
      </c>
      <c r="D4" s="3" t="s">
        <v>5</v>
      </c>
      <c r="E4" s="3" t="s">
        <v>6</v>
      </c>
      <c r="F4" s="3" t="s">
        <v>7</v>
      </c>
      <c r="G4" s="3" t="s">
        <v>8</v>
      </c>
      <c r="H4" s="3" t="s">
        <v>9</v>
      </c>
      <c r="I4" s="3" t="s">
        <v>10</v>
      </c>
    </row>
    <row r="5" customFormat="false" ht="77.6" hidden="false" customHeight="false" outlineLevel="0" collapsed="false">
      <c r="A5" s="4" t="s">
        <v>11</v>
      </c>
      <c r="B5" s="4" t="s">
        <v>12</v>
      </c>
      <c r="C5" s="4" t="s">
        <v>13</v>
      </c>
      <c r="D5" s="5" t="n">
        <v>54.3</v>
      </c>
      <c r="E5" s="4" t="s">
        <v>14</v>
      </c>
      <c r="F5" s="4" t="s">
        <v>15</v>
      </c>
      <c r="G5" s="4" t="s">
        <v>16</v>
      </c>
      <c r="H5" s="6" t="s">
        <v>17</v>
      </c>
      <c r="I5" s="4" t="s">
        <v>18</v>
      </c>
    </row>
    <row r="6" customFormat="false" ht="52.2" hidden="false" customHeight="false" outlineLevel="0" collapsed="false">
      <c r="A6" s="4" t="s">
        <v>19</v>
      </c>
      <c r="B6" s="4" t="s">
        <v>20</v>
      </c>
      <c r="C6" s="4" t="s">
        <v>13</v>
      </c>
      <c r="D6" s="7" t="n">
        <v>23.8</v>
      </c>
      <c r="E6" s="4" t="s">
        <v>21</v>
      </c>
      <c r="F6" s="4" t="s">
        <v>22</v>
      </c>
      <c r="G6" s="4" t="s">
        <v>23</v>
      </c>
      <c r="H6" s="4" t="s">
        <v>24</v>
      </c>
      <c r="I6" s="4" t="s">
        <v>25</v>
      </c>
    </row>
    <row r="7" customFormat="false" ht="52.2" hidden="false" customHeight="false" outlineLevel="0" collapsed="false">
      <c r="A7" s="4" t="s">
        <v>26</v>
      </c>
      <c r="B7" s="4" t="s">
        <v>27</v>
      </c>
      <c r="C7" s="4" t="s">
        <v>13</v>
      </c>
      <c r="D7" s="5" t="n">
        <v>53.55</v>
      </c>
      <c r="E7" s="4" t="s">
        <v>28</v>
      </c>
      <c r="F7" s="4" t="s">
        <v>29</v>
      </c>
      <c r="G7" s="4" t="s">
        <v>30</v>
      </c>
      <c r="H7" s="6" t="s">
        <v>31</v>
      </c>
      <c r="I7" s="4" t="s">
        <v>32</v>
      </c>
    </row>
    <row r="8" customFormat="false" ht="64.9" hidden="false" customHeight="false" outlineLevel="0" collapsed="false">
      <c r="A8" s="4" t="s">
        <v>33</v>
      </c>
      <c r="B8" s="4" t="s">
        <v>34</v>
      </c>
      <c r="C8" s="4" t="s">
        <v>35</v>
      </c>
      <c r="D8" s="8" t="n">
        <v>22</v>
      </c>
      <c r="E8" s="4" t="s">
        <v>36</v>
      </c>
      <c r="F8" s="4" t="s">
        <v>37</v>
      </c>
      <c r="G8" s="4" t="s">
        <v>38</v>
      </c>
      <c r="H8" s="6" t="s">
        <v>39</v>
      </c>
      <c r="I8" s="4" t="s">
        <v>40</v>
      </c>
    </row>
    <row r="9" customFormat="false" ht="52.2" hidden="false" customHeight="false" outlineLevel="0" collapsed="false">
      <c r="A9" s="4" t="s">
        <v>41</v>
      </c>
      <c r="B9" s="4" t="s">
        <v>27</v>
      </c>
      <c r="C9" s="4" t="s">
        <v>13</v>
      </c>
      <c r="D9" s="5" t="n">
        <v>17.85</v>
      </c>
      <c r="E9" s="4" t="s">
        <v>42</v>
      </c>
      <c r="F9" s="4" t="s">
        <v>29</v>
      </c>
      <c r="G9" s="4" t="s">
        <v>43</v>
      </c>
      <c r="H9" s="6" t="s">
        <v>44</v>
      </c>
      <c r="I9" s="4" t="s">
        <v>45</v>
      </c>
    </row>
    <row r="10" customFormat="false" ht="26.85" hidden="false" customHeight="false" outlineLevel="0" collapsed="false">
      <c r="A10" s="4" t="s">
        <v>46</v>
      </c>
      <c r="B10" s="4" t="s">
        <v>47</v>
      </c>
      <c r="C10" s="4" t="s">
        <v>48</v>
      </c>
      <c r="D10" s="9"/>
      <c r="E10" s="4" t="s">
        <v>29</v>
      </c>
      <c r="F10" s="4" t="s">
        <v>29</v>
      </c>
      <c r="G10" s="4" t="s">
        <v>29</v>
      </c>
      <c r="H10" s="10" t="s">
        <v>49</v>
      </c>
      <c r="I10" s="4" t="s">
        <v>50</v>
      </c>
    </row>
    <row r="11" customFormat="false" ht="26.85" hidden="false" customHeight="false" outlineLevel="0" collapsed="false">
      <c r="A11" s="4" t="s">
        <v>51</v>
      </c>
      <c r="B11" s="4" t="s">
        <v>52</v>
      </c>
      <c r="C11" s="4" t="s">
        <v>48</v>
      </c>
      <c r="D11" s="9"/>
      <c r="E11" s="4" t="s">
        <v>53</v>
      </c>
      <c r="F11" s="4" t="s">
        <v>54</v>
      </c>
      <c r="G11" s="4" t="s">
        <v>29</v>
      </c>
      <c r="H11" s="10" t="s">
        <v>49</v>
      </c>
      <c r="I11" s="4" t="s">
        <v>55</v>
      </c>
    </row>
    <row r="12" customFormat="false" ht="26.85" hidden="false" customHeight="false" outlineLevel="0" collapsed="false">
      <c r="A12" s="4" t="s">
        <v>56</v>
      </c>
      <c r="B12" s="4" t="s">
        <v>57</v>
      </c>
      <c r="C12" s="4" t="s">
        <v>48</v>
      </c>
      <c r="D12" s="9"/>
      <c r="E12" s="4" t="s">
        <v>29</v>
      </c>
      <c r="F12" s="4" t="s">
        <v>29</v>
      </c>
      <c r="G12" s="4" t="s">
        <v>29</v>
      </c>
      <c r="H12" s="10" t="s">
        <v>49</v>
      </c>
      <c r="I12" s="4" t="s">
        <v>58</v>
      </c>
    </row>
    <row r="13" customFormat="false" ht="39.55" hidden="false" customHeight="false" outlineLevel="0" collapsed="false">
      <c r="A13" s="4" t="s">
        <v>59</v>
      </c>
      <c r="B13" s="4" t="s">
        <v>60</v>
      </c>
      <c r="C13" s="4" t="s">
        <v>48</v>
      </c>
      <c r="D13" s="9"/>
      <c r="E13" s="4" t="s">
        <v>61</v>
      </c>
      <c r="F13" s="4" t="s">
        <v>29</v>
      </c>
      <c r="G13" s="4" t="s">
        <v>29</v>
      </c>
      <c r="H13" s="10" t="s">
        <v>62</v>
      </c>
      <c r="I13" s="4" t="s">
        <v>63</v>
      </c>
    </row>
    <row r="14" customFormat="false" ht="39.55" hidden="false" customHeight="false" outlineLevel="0" collapsed="false">
      <c r="A14" s="4" t="s">
        <v>64</v>
      </c>
      <c r="B14" s="4" t="s">
        <v>65</v>
      </c>
      <c r="C14" s="4" t="s">
        <v>48</v>
      </c>
      <c r="D14" s="9"/>
      <c r="E14" s="4" t="s">
        <v>66</v>
      </c>
      <c r="F14" s="4" t="s">
        <v>67</v>
      </c>
      <c r="G14" s="4" t="s">
        <v>29</v>
      </c>
      <c r="H14" s="10" t="s">
        <v>68</v>
      </c>
      <c r="I14" s="4" t="s">
        <v>69</v>
      </c>
    </row>
    <row r="15" customFormat="false" ht="15" hidden="false" customHeight="false" outlineLevel="0" collapsed="false">
      <c r="A15" s="10"/>
      <c r="B15" s="4"/>
      <c r="C15" s="4"/>
      <c r="D15" s="11"/>
      <c r="E15" s="4"/>
      <c r="F15" s="4"/>
      <c r="G15" s="4"/>
      <c r="H15" s="4"/>
      <c r="I15" s="4"/>
    </row>
    <row r="16" customFormat="false" ht="15" hidden="false" customHeight="false" outlineLevel="0" collapsed="false">
      <c r="A16" s="10"/>
      <c r="B16" s="4"/>
      <c r="C16" s="4"/>
      <c r="D16" s="11"/>
      <c r="E16" s="4"/>
      <c r="F16" s="4"/>
      <c r="G16" s="4"/>
      <c r="H16" s="4"/>
      <c r="I16" s="4"/>
    </row>
    <row r="18" customFormat="false" ht="15" hidden="false" customHeight="false" outlineLevel="0" collapsed="false">
      <c r="A18" s="12" t="s">
        <v>70</v>
      </c>
      <c r="B18" s="13"/>
      <c r="C18" s="13"/>
      <c r="D18" s="14" t="n">
        <f aca="false">SUMIF(C5:C16,"USD",D5:D16)</f>
        <v>149.5</v>
      </c>
      <c r="E18" s="13"/>
      <c r="F18" s="13"/>
      <c r="G18" s="13"/>
      <c r="H18" s="13"/>
      <c r="I18" s="13"/>
    </row>
    <row r="19" customFormat="false" ht="15" hidden="false" customHeight="false" outlineLevel="0" collapsed="false">
      <c r="A19" s="12" t="s">
        <v>71</v>
      </c>
      <c r="B19" s="13"/>
      <c r="C19" s="13"/>
      <c r="D19" s="15" t="n">
        <f aca="false">SUMIF(C5:C16,"EUR",D5:D16)</f>
        <v>22</v>
      </c>
      <c r="E19" s="13"/>
      <c r="F19" s="13"/>
      <c r="G19" s="13"/>
      <c r="H19" s="13"/>
      <c r="I19" s="13"/>
    </row>
    <row r="21" customFormat="false" ht="15" hidden="false" customHeight="false" outlineLevel="0" collapsed="false">
      <c r="A21" s="2" t="s">
        <v>72</v>
      </c>
      <c r="B21" s="2"/>
      <c r="C21" s="2"/>
      <c r="D21" s="2"/>
      <c r="E21" s="2"/>
      <c r="F21" s="2"/>
      <c r="G21" s="2"/>
      <c r="H21" s="2"/>
      <c r="I21" s="2"/>
    </row>
  </sheetData>
  <mergeCells count="3">
    <mergeCell ref="A1:I1"/>
    <mergeCell ref="A2:I2"/>
    <mergeCell ref="A21:I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0"/>
    <col collapsed="false" customWidth="true" hidden="false" outlineLevel="0" max="5" min="4" style="0" width="26"/>
    <col collapsed="false" customWidth="true" hidden="false" outlineLevel="0" max="6" min="6" style="0" width="12"/>
    <col collapsed="false" customWidth="true" hidden="false" outlineLevel="0" max="7" min="7" style="0" width="22"/>
    <col collapsed="false" customWidth="true" hidden="false" outlineLevel="0" max="8" min="8" style="0" width="34"/>
    <col collapsed="false" customWidth="true" hidden="false" outlineLevel="0" max="9" min="9" style="0" width="10"/>
    <col collapsed="false" customWidth="true" hidden="false" outlineLevel="0" max="11" min="10" style="0" width="13"/>
    <col collapsed="false" customWidth="true" hidden="false" outlineLevel="0" max="12" min="12" style="0" width="12"/>
    <col collapsed="false" customWidth="true" hidden="false" outlineLevel="0" max="13" min="13" style="0" width="13"/>
    <col collapsed="false" customWidth="true" hidden="false" outlineLevel="0" max="14" min="14" style="0" width="34"/>
    <col collapsed="false" customWidth="true" hidden="false" outlineLevel="0" max="16" min="15" style="0" width="16"/>
    <col collapsed="false" customWidth="true" hidden="false" outlineLevel="0" max="17" min="17" style="0" width="30"/>
    <col collapsed="false" customWidth="true" hidden="false" outlineLevel="0" max="18" min="18" style="0" width="42"/>
  </cols>
  <sheetData>
    <row r="1" customFormat="false" ht="17.35" hidden="false" customHeight="false" outlineLevel="0" collapsed="false">
      <c r="A1" s="1" t="s">
        <v>73</v>
      </c>
      <c r="B1" s="1"/>
      <c r="C1" s="1"/>
      <c r="D1" s="1"/>
      <c r="E1" s="1"/>
      <c r="F1" s="1"/>
      <c r="G1" s="1"/>
      <c r="H1" s="1"/>
      <c r="I1" s="1"/>
      <c r="J1" s="1"/>
      <c r="K1" s="1"/>
      <c r="L1" s="1"/>
      <c r="M1" s="1"/>
      <c r="N1" s="1"/>
      <c r="O1" s="1"/>
      <c r="P1" s="1"/>
      <c r="Q1" s="1"/>
      <c r="R1" s="1"/>
      <c r="S1" s="1"/>
    </row>
    <row r="2" customFormat="false" ht="15" hidden="false" customHeight="false" outlineLevel="0" collapsed="false">
      <c r="A2" s="2" t="s">
        <v>74</v>
      </c>
      <c r="B2" s="2"/>
      <c r="C2" s="2"/>
      <c r="D2" s="2"/>
      <c r="E2" s="2"/>
      <c r="F2" s="2"/>
      <c r="G2" s="2"/>
      <c r="H2" s="2"/>
      <c r="I2" s="2"/>
      <c r="J2" s="2"/>
      <c r="K2" s="2"/>
      <c r="L2" s="2"/>
      <c r="M2" s="2"/>
      <c r="N2" s="2"/>
      <c r="O2" s="2"/>
      <c r="P2" s="2"/>
      <c r="Q2" s="2"/>
      <c r="R2" s="2"/>
      <c r="S2" s="2"/>
    </row>
    <row r="4" customFormat="false" ht="26.85" hidden="false" customHeight="false" outlineLevel="0" collapsed="false">
      <c r="A4" s="3" t="s">
        <v>75</v>
      </c>
      <c r="B4" s="3" t="s">
        <v>76</v>
      </c>
      <c r="C4" s="3" t="s">
        <v>77</v>
      </c>
      <c r="D4" s="3" t="s">
        <v>78</v>
      </c>
      <c r="E4" s="3" t="s">
        <v>79</v>
      </c>
      <c r="F4" s="3" t="s">
        <v>80</v>
      </c>
      <c r="G4" s="3" t="s">
        <v>2</v>
      </c>
      <c r="H4" s="3" t="s">
        <v>81</v>
      </c>
      <c r="I4" s="3" t="s">
        <v>4</v>
      </c>
      <c r="J4" s="3" t="s">
        <v>82</v>
      </c>
      <c r="K4" s="3" t="s">
        <v>83</v>
      </c>
      <c r="L4" s="3" t="s">
        <v>84</v>
      </c>
      <c r="M4" s="3" t="s">
        <v>85</v>
      </c>
      <c r="N4" s="3" t="s">
        <v>86</v>
      </c>
      <c r="O4" s="3" t="s">
        <v>87</v>
      </c>
      <c r="P4" s="3" t="s">
        <v>88</v>
      </c>
      <c r="Q4" s="3" t="s">
        <v>89</v>
      </c>
      <c r="R4" s="3" t="s">
        <v>90</v>
      </c>
    </row>
    <row r="5" customFormat="false" ht="64.9" hidden="false" customHeight="false" outlineLevel="0" collapsed="false">
      <c r="A5" s="4" t="s">
        <v>91</v>
      </c>
      <c r="B5" s="16" t="n">
        <v>46146</v>
      </c>
      <c r="C5" s="4" t="s">
        <v>92</v>
      </c>
      <c r="D5" s="4" t="s">
        <v>93</v>
      </c>
      <c r="E5" s="4" t="s">
        <v>94</v>
      </c>
      <c r="F5" s="4" t="s">
        <v>95</v>
      </c>
      <c r="G5" s="4" t="s">
        <v>33</v>
      </c>
      <c r="H5" s="4" t="s">
        <v>96</v>
      </c>
      <c r="I5" s="4" t="s">
        <v>35</v>
      </c>
      <c r="J5" s="17" t="n">
        <v>18.49</v>
      </c>
      <c r="K5" s="18" t="n">
        <v>0.19</v>
      </c>
      <c r="L5" s="17" t="n">
        <v>3.51</v>
      </c>
      <c r="M5" s="17" t="n">
        <v>22</v>
      </c>
      <c r="N5" s="4" t="s">
        <v>97</v>
      </c>
      <c r="O5" s="19" t="n">
        <f aca="false">M5</f>
        <v>22</v>
      </c>
      <c r="P5" s="4" t="s">
        <v>98</v>
      </c>
      <c r="Q5" s="4" t="s">
        <v>99</v>
      </c>
      <c r="R5" s="20" t="s">
        <v>100</v>
      </c>
    </row>
    <row r="6" customFormat="false" ht="52.2" hidden="false" customHeight="false" outlineLevel="0" collapsed="false">
      <c r="A6" s="4" t="s">
        <v>101</v>
      </c>
      <c r="B6" s="16" t="n">
        <v>46164</v>
      </c>
      <c r="C6" s="4" t="s">
        <v>102</v>
      </c>
      <c r="D6" s="4" t="s">
        <v>103</v>
      </c>
      <c r="E6" s="4" t="s">
        <v>104</v>
      </c>
      <c r="F6" s="4" t="s">
        <v>105</v>
      </c>
      <c r="G6" s="4" t="s">
        <v>19</v>
      </c>
      <c r="H6" s="4" t="s">
        <v>106</v>
      </c>
      <c r="I6" s="4" t="s">
        <v>13</v>
      </c>
      <c r="J6" s="7" t="n">
        <v>20</v>
      </c>
      <c r="K6" s="18" t="n">
        <v>0.19</v>
      </c>
      <c r="L6" s="7" t="n">
        <v>3.8</v>
      </c>
      <c r="M6" s="7" t="n">
        <v>23.8</v>
      </c>
      <c r="N6" s="4" t="s">
        <v>107</v>
      </c>
      <c r="O6" s="21"/>
      <c r="P6" s="4" t="s">
        <v>108</v>
      </c>
      <c r="Q6" s="4" t="s">
        <v>109</v>
      </c>
      <c r="R6" s="4"/>
    </row>
    <row r="7" customFormat="false" ht="179.1" hidden="false" customHeight="false" outlineLevel="0" collapsed="false">
      <c r="A7" s="4" t="s">
        <v>110</v>
      </c>
      <c r="B7" s="16" t="n">
        <v>46165</v>
      </c>
      <c r="C7" s="4" t="s">
        <v>111</v>
      </c>
      <c r="D7" s="4" t="s">
        <v>112</v>
      </c>
      <c r="E7" s="4" t="s">
        <v>113</v>
      </c>
      <c r="F7" s="4" t="s">
        <v>114</v>
      </c>
      <c r="G7" s="4" t="s">
        <v>11</v>
      </c>
      <c r="H7" s="4" t="s">
        <v>115</v>
      </c>
      <c r="I7" s="4" t="s">
        <v>13</v>
      </c>
      <c r="J7" s="7" t="n">
        <v>25</v>
      </c>
      <c r="K7" s="4" t="s">
        <v>116</v>
      </c>
      <c r="L7" s="7" t="n">
        <v>0</v>
      </c>
      <c r="M7" s="7" t="n">
        <v>25</v>
      </c>
      <c r="N7" s="4" t="s">
        <v>117</v>
      </c>
      <c r="O7" s="21"/>
      <c r="P7" s="4" t="s">
        <v>29</v>
      </c>
      <c r="Q7" s="4" t="s">
        <v>118</v>
      </c>
      <c r="R7" s="20" t="s">
        <v>119</v>
      </c>
    </row>
    <row r="8" customFormat="false" ht="52.2" hidden="false" customHeight="false" outlineLevel="0" collapsed="false">
      <c r="A8" s="4" t="s">
        <v>120</v>
      </c>
      <c r="B8" s="16" t="n">
        <v>46187</v>
      </c>
      <c r="C8" s="4" t="s">
        <v>121</v>
      </c>
      <c r="D8" s="4" t="s">
        <v>122</v>
      </c>
      <c r="E8" s="4" t="s">
        <v>123</v>
      </c>
      <c r="F8" s="4" t="s">
        <v>105</v>
      </c>
      <c r="G8" s="4" t="s">
        <v>41</v>
      </c>
      <c r="H8" s="4" t="s">
        <v>124</v>
      </c>
      <c r="I8" s="4" t="s">
        <v>13</v>
      </c>
      <c r="J8" s="7" t="n">
        <v>15</v>
      </c>
      <c r="K8" s="18" t="n">
        <v>0.19</v>
      </c>
      <c r="L8" s="7" t="n">
        <v>2.85</v>
      </c>
      <c r="M8" s="7" t="n">
        <v>17.85</v>
      </c>
      <c r="N8" s="4" t="s">
        <v>125</v>
      </c>
      <c r="O8" s="21"/>
      <c r="P8" s="4" t="s">
        <v>29</v>
      </c>
      <c r="Q8" s="4" t="s">
        <v>126</v>
      </c>
      <c r="R8" s="20" t="s">
        <v>127</v>
      </c>
    </row>
    <row r="9" customFormat="false" ht="52.2" hidden="false" customHeight="false" outlineLevel="0" collapsed="false">
      <c r="A9" s="4" t="s">
        <v>128</v>
      </c>
      <c r="B9" s="16" t="n">
        <v>46195</v>
      </c>
      <c r="C9" s="4" t="s">
        <v>129</v>
      </c>
      <c r="D9" s="4" t="s">
        <v>130</v>
      </c>
      <c r="E9" s="4" t="s">
        <v>104</v>
      </c>
      <c r="F9" s="4" t="s">
        <v>105</v>
      </c>
      <c r="G9" s="4" t="s">
        <v>19</v>
      </c>
      <c r="H9" s="4" t="s">
        <v>106</v>
      </c>
      <c r="I9" s="4" t="s">
        <v>13</v>
      </c>
      <c r="J9" s="7" t="n">
        <v>20</v>
      </c>
      <c r="K9" s="18" t="n">
        <v>0.19</v>
      </c>
      <c r="L9" s="7" t="n">
        <v>3.8</v>
      </c>
      <c r="M9" s="7" t="n">
        <v>23.8</v>
      </c>
      <c r="N9" s="4" t="s">
        <v>107</v>
      </c>
      <c r="O9" s="21"/>
      <c r="P9" s="4" t="s">
        <v>108</v>
      </c>
      <c r="Q9" s="4" t="s">
        <v>131</v>
      </c>
      <c r="R9" s="20" t="s">
        <v>132</v>
      </c>
    </row>
    <row r="10" customFormat="false" ht="179.1" hidden="false" customHeight="false" outlineLevel="0" collapsed="false">
      <c r="A10" s="4" t="s">
        <v>133</v>
      </c>
      <c r="B10" s="16" t="n">
        <v>46196</v>
      </c>
      <c r="C10" s="4" t="s">
        <v>134</v>
      </c>
      <c r="D10" s="4" t="s">
        <v>135</v>
      </c>
      <c r="E10" s="4" t="s">
        <v>113</v>
      </c>
      <c r="F10" s="4" t="s">
        <v>114</v>
      </c>
      <c r="G10" s="4" t="s">
        <v>11</v>
      </c>
      <c r="H10" s="4" t="s">
        <v>115</v>
      </c>
      <c r="I10" s="4" t="s">
        <v>13</v>
      </c>
      <c r="J10" s="7" t="n">
        <v>49.97</v>
      </c>
      <c r="K10" s="4" t="s">
        <v>116</v>
      </c>
      <c r="L10" s="7" t="n">
        <v>0</v>
      </c>
      <c r="M10" s="7" t="n">
        <v>49.97</v>
      </c>
      <c r="N10" s="4" t="s">
        <v>117</v>
      </c>
      <c r="O10" s="21"/>
      <c r="P10" s="4" t="s">
        <v>29</v>
      </c>
      <c r="Q10" s="4" t="s">
        <v>136</v>
      </c>
      <c r="R10" s="20" t="s">
        <v>137</v>
      </c>
    </row>
    <row r="11" customFormat="false" ht="52.2" hidden="false" customHeight="false" outlineLevel="0" collapsed="false">
      <c r="A11" s="4" t="s">
        <v>138</v>
      </c>
      <c r="B11" s="16" t="n">
        <v>46225</v>
      </c>
      <c r="C11" s="4" t="s">
        <v>139</v>
      </c>
      <c r="D11" s="4" t="s">
        <v>140</v>
      </c>
      <c r="E11" s="4" t="s">
        <v>104</v>
      </c>
      <c r="F11" s="4" t="s">
        <v>105</v>
      </c>
      <c r="G11" s="4" t="s">
        <v>19</v>
      </c>
      <c r="H11" s="4" t="s">
        <v>106</v>
      </c>
      <c r="I11" s="4" t="s">
        <v>13</v>
      </c>
      <c r="J11" s="7" t="n">
        <v>20</v>
      </c>
      <c r="K11" s="18" t="n">
        <v>0.19</v>
      </c>
      <c r="L11" s="7" t="n">
        <v>3.8</v>
      </c>
      <c r="M11" s="7" t="n">
        <v>23.8</v>
      </c>
      <c r="N11" s="4" t="s">
        <v>107</v>
      </c>
      <c r="O11" s="21"/>
      <c r="P11" s="4" t="s">
        <v>108</v>
      </c>
      <c r="Q11" s="4" t="s">
        <v>141</v>
      </c>
      <c r="R11" s="4"/>
    </row>
    <row r="12" customFormat="false" ht="179.1" hidden="false" customHeight="false" outlineLevel="0" collapsed="false">
      <c r="A12" s="4" t="s">
        <v>142</v>
      </c>
      <c r="B12" s="16" t="n">
        <v>46226</v>
      </c>
      <c r="C12" s="4" t="s">
        <v>143</v>
      </c>
      <c r="D12" s="4" t="s">
        <v>144</v>
      </c>
      <c r="E12" s="4" t="s">
        <v>113</v>
      </c>
      <c r="F12" s="4" t="s">
        <v>114</v>
      </c>
      <c r="G12" s="4" t="s">
        <v>11</v>
      </c>
      <c r="H12" s="4" t="s">
        <v>115</v>
      </c>
      <c r="I12" s="4" t="s">
        <v>13</v>
      </c>
      <c r="J12" s="7" t="n">
        <v>54.3</v>
      </c>
      <c r="K12" s="4" t="s">
        <v>116</v>
      </c>
      <c r="L12" s="7" t="n">
        <v>0</v>
      </c>
      <c r="M12" s="7" t="n">
        <v>54.3</v>
      </c>
      <c r="N12" s="4" t="s">
        <v>117</v>
      </c>
      <c r="O12" s="21"/>
      <c r="P12" s="4" t="s">
        <v>29</v>
      </c>
      <c r="Q12" s="4" t="s">
        <v>145</v>
      </c>
      <c r="R12" s="20" t="s">
        <v>146</v>
      </c>
    </row>
    <row r="13" customFormat="false" ht="64.9" hidden="false" customHeight="false" outlineLevel="0" collapsed="false">
      <c r="A13" s="4" t="s">
        <v>147</v>
      </c>
      <c r="B13" s="16" t="n">
        <v>46237</v>
      </c>
      <c r="C13" s="4" t="s">
        <v>148</v>
      </c>
      <c r="D13" s="4" t="s">
        <v>149</v>
      </c>
      <c r="E13" s="4" t="s">
        <v>94</v>
      </c>
      <c r="F13" s="4" t="s">
        <v>95</v>
      </c>
      <c r="G13" s="4" t="s">
        <v>33</v>
      </c>
      <c r="H13" s="4" t="s">
        <v>96</v>
      </c>
      <c r="I13" s="4" t="s">
        <v>35</v>
      </c>
      <c r="J13" s="17" t="n">
        <v>18.49</v>
      </c>
      <c r="K13" s="18" t="n">
        <v>0.19</v>
      </c>
      <c r="L13" s="17" t="n">
        <v>3.51</v>
      </c>
      <c r="M13" s="17" t="n">
        <v>22</v>
      </c>
      <c r="N13" s="4" t="s">
        <v>97</v>
      </c>
      <c r="O13" s="19" t="n">
        <f aca="false">M13</f>
        <v>22</v>
      </c>
      <c r="P13" s="4" t="s">
        <v>98</v>
      </c>
      <c r="Q13" s="4" t="s">
        <v>150</v>
      </c>
      <c r="R13" s="20" t="s">
        <v>151</v>
      </c>
    </row>
    <row r="14" customFormat="false" ht="128.35" hidden="false" customHeight="false" outlineLevel="0" collapsed="false">
      <c r="A14" s="4" t="s">
        <v>152</v>
      </c>
      <c r="B14" s="16" t="n">
        <v>46251</v>
      </c>
      <c r="C14" s="4" t="s">
        <v>153</v>
      </c>
      <c r="D14" s="4" t="s">
        <v>122</v>
      </c>
      <c r="E14" s="4" t="s">
        <v>154</v>
      </c>
      <c r="F14" s="4" t="s">
        <v>105</v>
      </c>
      <c r="G14" s="4" t="s">
        <v>26</v>
      </c>
      <c r="H14" s="4" t="s">
        <v>155</v>
      </c>
      <c r="I14" s="4" t="s">
        <v>13</v>
      </c>
      <c r="J14" s="7" t="n">
        <v>45</v>
      </c>
      <c r="K14" s="18" t="n">
        <v>0.19</v>
      </c>
      <c r="L14" s="7" t="n">
        <v>8.55</v>
      </c>
      <c r="M14" s="7" t="n">
        <v>53.55</v>
      </c>
      <c r="N14" s="4" t="s">
        <v>156</v>
      </c>
      <c r="O14" s="21"/>
      <c r="P14" s="4" t="s">
        <v>108</v>
      </c>
      <c r="Q14" s="4" t="s">
        <v>157</v>
      </c>
      <c r="R14" s="20" t="s">
        <v>158</v>
      </c>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sheetData>
  <mergeCells count="2">
    <mergeCell ref="A1:S1"/>
    <mergeCell ref="A2:S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9" min="2" style="0" width="13"/>
    <col collapsed="false" customWidth="true" hidden="false" outlineLevel="0" max="10" min="10" style="0" width="16"/>
  </cols>
  <sheetData>
    <row r="1" customFormat="false" ht="17.35" hidden="false" customHeight="false" outlineLevel="0" collapsed="false">
      <c r="A1" s="1" t="s">
        <v>159</v>
      </c>
      <c r="B1" s="1"/>
      <c r="C1" s="1"/>
      <c r="D1" s="1"/>
      <c r="E1" s="1"/>
      <c r="F1" s="1"/>
      <c r="G1" s="1"/>
      <c r="H1" s="1"/>
      <c r="I1" s="1"/>
      <c r="J1" s="1"/>
    </row>
    <row r="2" customFormat="false" ht="15" hidden="false" customHeight="false" outlineLevel="0" collapsed="false">
      <c r="A2" s="2" t="s">
        <v>160</v>
      </c>
      <c r="B2" s="2"/>
      <c r="C2" s="2"/>
      <c r="D2" s="2"/>
      <c r="E2" s="2"/>
      <c r="F2" s="2"/>
      <c r="G2" s="2"/>
      <c r="H2" s="2"/>
      <c r="I2" s="2"/>
      <c r="J2" s="2"/>
    </row>
    <row r="4" customFormat="false" ht="26.85" hidden="false" customHeight="false" outlineLevel="0" collapsed="false">
      <c r="A4" s="23" t="s">
        <v>2</v>
      </c>
      <c r="B4" s="24" t="s">
        <v>161</v>
      </c>
      <c r="C4" s="24" t="s">
        <v>162</v>
      </c>
      <c r="D4" s="24" t="s">
        <v>163</v>
      </c>
      <c r="E4" s="24" t="s">
        <v>164</v>
      </c>
      <c r="F4" s="24" t="s">
        <v>165</v>
      </c>
      <c r="G4" s="24" t="s">
        <v>166</v>
      </c>
      <c r="H4" s="24" t="s">
        <v>167</v>
      </c>
      <c r="I4" s="24" t="s">
        <v>168</v>
      </c>
      <c r="J4" s="25" t="s">
        <v>169</v>
      </c>
    </row>
    <row r="5" customFormat="false" ht="15" hidden="false" customHeight="false" outlineLevel="0" collapsed="false">
      <c r="A5" s="26" t="s">
        <v>11</v>
      </c>
      <c r="B5" s="27" t="n">
        <f aca="false">IF(COUNTIFS(Rechnungsjournal!$G$5:$G$34,$A5,Rechnungsjournal!$B$5:$B$34,"&gt;="&amp;DATE(2026,5,1),Rechnungsjournal!$B$5:$B$34,"&lt;"&amp;DATE(2026,6,1))=0,"",SUMIFS(Rechnungsjournal!$M$5:$M$34,Rechnungsjournal!$G$5:$G$34,$A5,Rechnungsjournal!$B$5:$B$34,"&gt;="&amp;DATE(2026,5,1),Rechnungsjournal!$B$5:$B$34,"&lt;"&amp;DATE(2026,6,1)))</f>
        <v>25</v>
      </c>
      <c r="C5" s="27" t="n">
        <f aca="false">IF(COUNTIFS(Rechnungsjournal!$G$5:$G$34,$A5,Rechnungsjournal!$B$5:$B$34,"&gt;="&amp;DATE(2026,6,1),Rechnungsjournal!$B$5:$B$34,"&lt;"&amp;DATE(2026,7,1))=0,"",SUMIFS(Rechnungsjournal!$M$5:$M$34,Rechnungsjournal!$G$5:$G$34,$A5,Rechnungsjournal!$B$5:$B$34,"&gt;="&amp;DATE(2026,6,1),Rechnungsjournal!$B$5:$B$34,"&lt;"&amp;DATE(2026,7,1)))</f>
        <v>49.97</v>
      </c>
      <c r="D5" s="27" t="n">
        <f aca="false">IF(COUNTIFS(Rechnungsjournal!$G$5:$G$34,$A5,Rechnungsjournal!$B$5:$B$34,"&gt;="&amp;DATE(2026,7,1),Rechnungsjournal!$B$5:$B$34,"&lt;"&amp;DATE(2026,8,1))=0,"",SUMIFS(Rechnungsjournal!$M$5:$M$34,Rechnungsjournal!$G$5:$G$34,$A5,Rechnungsjournal!$B$5:$B$34,"&gt;="&amp;DATE(2026,7,1),Rechnungsjournal!$B$5:$B$34,"&lt;"&amp;DATE(2026,8,1)))</f>
        <v>54.3</v>
      </c>
      <c r="E5" s="27" t="str">
        <f aca="false">IF(COUNTIFS(Rechnungsjournal!$G$5:$G$34,$A5,Rechnungsjournal!$B$5:$B$34,"&gt;="&amp;DATE(2026,8,1),Rechnungsjournal!$B$5:$B$34,"&lt;"&amp;DATE(2026,9,1))=0,"",SUMIFS(Rechnungsjournal!$M$5:$M$34,Rechnungsjournal!$G$5:$G$34,$A5,Rechnungsjournal!$B$5:$B$34,"&gt;="&amp;DATE(2026,8,1),Rechnungsjournal!$B$5:$B$34,"&lt;"&amp;DATE(2026,9,1)))</f>
        <v/>
      </c>
      <c r="F5" s="27" t="str">
        <f aca="false">IF(COUNTIFS(Rechnungsjournal!$G$5:$G$34,$A5,Rechnungsjournal!$B$5:$B$34,"&gt;="&amp;DATE(2026,9,1),Rechnungsjournal!$B$5:$B$34,"&lt;"&amp;DATE(2026,10,1))=0,"",SUMIFS(Rechnungsjournal!$M$5:$M$34,Rechnungsjournal!$G$5:$G$34,$A5,Rechnungsjournal!$B$5:$B$34,"&gt;="&amp;DATE(2026,9,1),Rechnungsjournal!$B$5:$B$34,"&lt;"&amp;DATE(2026,10,1)))</f>
        <v/>
      </c>
      <c r="G5" s="27" t="str">
        <f aca="false">IF(COUNTIFS(Rechnungsjournal!$G$5:$G$34,$A5,Rechnungsjournal!$B$5:$B$34,"&gt;="&amp;DATE(2026,10,1),Rechnungsjournal!$B$5:$B$34,"&lt;"&amp;DATE(2026,11,1))=0,"",SUMIFS(Rechnungsjournal!$M$5:$M$34,Rechnungsjournal!$G$5:$G$34,$A5,Rechnungsjournal!$B$5:$B$34,"&gt;="&amp;DATE(2026,10,1),Rechnungsjournal!$B$5:$B$34,"&lt;"&amp;DATE(2026,11,1)))</f>
        <v/>
      </c>
      <c r="H5" s="27" t="str">
        <f aca="false">IF(COUNTIFS(Rechnungsjournal!$G$5:$G$34,$A5,Rechnungsjournal!$B$5:$B$34,"&gt;="&amp;DATE(2026,11,1),Rechnungsjournal!$B$5:$B$34,"&lt;"&amp;DATE(2026,12,1))=0,"",SUMIFS(Rechnungsjournal!$M$5:$M$34,Rechnungsjournal!$G$5:$G$34,$A5,Rechnungsjournal!$B$5:$B$34,"&gt;="&amp;DATE(2026,11,1),Rechnungsjournal!$B$5:$B$34,"&lt;"&amp;DATE(2026,12,1)))</f>
        <v/>
      </c>
      <c r="I5" s="27" t="str">
        <f aca="false">IF(COUNTIFS(Rechnungsjournal!$G$5:$G$34,$A5,Rechnungsjournal!$B$5:$B$34,"&gt;="&amp;DATE(2026,12,1),Rechnungsjournal!$B$5:$B$34,"&lt;"&amp;DATE(2027,1,1))=0,"",SUMIFS(Rechnungsjournal!$M$5:$M$34,Rechnungsjournal!$G$5:$G$34,$A5,Rechnungsjournal!$B$5:$B$34,"&gt;="&amp;DATE(2026,12,1),Rechnungsjournal!$B$5:$B$34,"&lt;"&amp;DATE(2027,1,1)))</f>
        <v/>
      </c>
      <c r="J5" s="28" t="n">
        <f aca="false">SUM(B5:I5)</f>
        <v>129.27</v>
      </c>
    </row>
    <row r="6" customFormat="false" ht="15" hidden="false" customHeight="false" outlineLevel="0" collapsed="false">
      <c r="A6" s="26" t="s">
        <v>19</v>
      </c>
      <c r="B6" s="27" t="n">
        <f aca="false">IF(COUNTIFS(Rechnungsjournal!$G$5:$G$34,$A6,Rechnungsjournal!$B$5:$B$34,"&gt;="&amp;DATE(2026,5,1),Rechnungsjournal!$B$5:$B$34,"&lt;"&amp;DATE(2026,6,1))=0,"",SUMIFS(Rechnungsjournal!$M$5:$M$34,Rechnungsjournal!$G$5:$G$34,$A6,Rechnungsjournal!$B$5:$B$34,"&gt;="&amp;DATE(2026,5,1),Rechnungsjournal!$B$5:$B$34,"&lt;"&amp;DATE(2026,6,1)))</f>
        <v>23.8</v>
      </c>
      <c r="C6" s="27" t="n">
        <f aca="false">IF(COUNTIFS(Rechnungsjournal!$G$5:$G$34,$A6,Rechnungsjournal!$B$5:$B$34,"&gt;="&amp;DATE(2026,6,1),Rechnungsjournal!$B$5:$B$34,"&lt;"&amp;DATE(2026,7,1))=0,"",SUMIFS(Rechnungsjournal!$M$5:$M$34,Rechnungsjournal!$G$5:$G$34,$A6,Rechnungsjournal!$B$5:$B$34,"&gt;="&amp;DATE(2026,6,1),Rechnungsjournal!$B$5:$B$34,"&lt;"&amp;DATE(2026,7,1)))</f>
        <v>23.8</v>
      </c>
      <c r="D6" s="27" t="n">
        <f aca="false">IF(COUNTIFS(Rechnungsjournal!$G$5:$G$34,$A6,Rechnungsjournal!$B$5:$B$34,"&gt;="&amp;DATE(2026,7,1),Rechnungsjournal!$B$5:$B$34,"&lt;"&amp;DATE(2026,8,1))=0,"",SUMIFS(Rechnungsjournal!$M$5:$M$34,Rechnungsjournal!$G$5:$G$34,$A6,Rechnungsjournal!$B$5:$B$34,"&gt;="&amp;DATE(2026,7,1),Rechnungsjournal!$B$5:$B$34,"&lt;"&amp;DATE(2026,8,1)))</f>
        <v>23.8</v>
      </c>
      <c r="E6" s="27" t="str">
        <f aca="false">IF(COUNTIFS(Rechnungsjournal!$G$5:$G$34,$A6,Rechnungsjournal!$B$5:$B$34,"&gt;="&amp;DATE(2026,8,1),Rechnungsjournal!$B$5:$B$34,"&lt;"&amp;DATE(2026,9,1))=0,"",SUMIFS(Rechnungsjournal!$M$5:$M$34,Rechnungsjournal!$G$5:$G$34,$A6,Rechnungsjournal!$B$5:$B$34,"&gt;="&amp;DATE(2026,8,1),Rechnungsjournal!$B$5:$B$34,"&lt;"&amp;DATE(2026,9,1)))</f>
        <v/>
      </c>
      <c r="F6" s="27" t="str">
        <f aca="false">IF(COUNTIFS(Rechnungsjournal!$G$5:$G$34,$A6,Rechnungsjournal!$B$5:$B$34,"&gt;="&amp;DATE(2026,9,1),Rechnungsjournal!$B$5:$B$34,"&lt;"&amp;DATE(2026,10,1))=0,"",SUMIFS(Rechnungsjournal!$M$5:$M$34,Rechnungsjournal!$G$5:$G$34,$A6,Rechnungsjournal!$B$5:$B$34,"&gt;="&amp;DATE(2026,9,1),Rechnungsjournal!$B$5:$B$34,"&lt;"&amp;DATE(2026,10,1)))</f>
        <v/>
      </c>
      <c r="G6" s="27" t="str">
        <f aca="false">IF(COUNTIFS(Rechnungsjournal!$G$5:$G$34,$A6,Rechnungsjournal!$B$5:$B$34,"&gt;="&amp;DATE(2026,10,1),Rechnungsjournal!$B$5:$B$34,"&lt;"&amp;DATE(2026,11,1))=0,"",SUMIFS(Rechnungsjournal!$M$5:$M$34,Rechnungsjournal!$G$5:$G$34,$A6,Rechnungsjournal!$B$5:$B$34,"&gt;="&amp;DATE(2026,10,1),Rechnungsjournal!$B$5:$B$34,"&lt;"&amp;DATE(2026,11,1)))</f>
        <v/>
      </c>
      <c r="H6" s="27" t="str">
        <f aca="false">IF(COUNTIFS(Rechnungsjournal!$G$5:$G$34,$A6,Rechnungsjournal!$B$5:$B$34,"&gt;="&amp;DATE(2026,11,1),Rechnungsjournal!$B$5:$B$34,"&lt;"&amp;DATE(2026,12,1))=0,"",SUMIFS(Rechnungsjournal!$M$5:$M$34,Rechnungsjournal!$G$5:$G$34,$A6,Rechnungsjournal!$B$5:$B$34,"&gt;="&amp;DATE(2026,11,1),Rechnungsjournal!$B$5:$B$34,"&lt;"&amp;DATE(2026,12,1)))</f>
        <v/>
      </c>
      <c r="I6" s="27" t="str">
        <f aca="false">IF(COUNTIFS(Rechnungsjournal!$G$5:$G$34,$A6,Rechnungsjournal!$B$5:$B$34,"&gt;="&amp;DATE(2026,12,1),Rechnungsjournal!$B$5:$B$34,"&lt;"&amp;DATE(2027,1,1))=0,"",SUMIFS(Rechnungsjournal!$M$5:$M$34,Rechnungsjournal!$G$5:$G$34,$A6,Rechnungsjournal!$B$5:$B$34,"&gt;="&amp;DATE(2026,12,1),Rechnungsjournal!$B$5:$B$34,"&lt;"&amp;DATE(2027,1,1)))</f>
        <v/>
      </c>
      <c r="J6" s="28" t="n">
        <f aca="false">SUM(B6:I6)</f>
        <v>71.4</v>
      </c>
    </row>
    <row r="7" customFormat="false" ht="15" hidden="false" customHeight="false" outlineLevel="0" collapsed="false">
      <c r="A7" s="26" t="s">
        <v>26</v>
      </c>
      <c r="B7" s="27" t="str">
        <f aca="false">IF(COUNTIFS(Rechnungsjournal!$G$5:$G$34,$A7,Rechnungsjournal!$B$5:$B$34,"&gt;="&amp;DATE(2026,5,1),Rechnungsjournal!$B$5:$B$34,"&lt;"&amp;DATE(2026,6,1))=0,"",SUMIFS(Rechnungsjournal!$M$5:$M$34,Rechnungsjournal!$G$5:$G$34,$A7,Rechnungsjournal!$B$5:$B$34,"&gt;="&amp;DATE(2026,5,1),Rechnungsjournal!$B$5:$B$34,"&lt;"&amp;DATE(2026,6,1)))</f>
        <v/>
      </c>
      <c r="C7" s="27" t="str">
        <f aca="false">IF(COUNTIFS(Rechnungsjournal!$G$5:$G$34,$A7,Rechnungsjournal!$B$5:$B$34,"&gt;="&amp;DATE(2026,6,1),Rechnungsjournal!$B$5:$B$34,"&lt;"&amp;DATE(2026,7,1))=0,"",SUMIFS(Rechnungsjournal!$M$5:$M$34,Rechnungsjournal!$G$5:$G$34,$A7,Rechnungsjournal!$B$5:$B$34,"&gt;="&amp;DATE(2026,6,1),Rechnungsjournal!$B$5:$B$34,"&lt;"&amp;DATE(2026,7,1)))</f>
        <v/>
      </c>
      <c r="D7" s="27" t="str">
        <f aca="false">IF(COUNTIFS(Rechnungsjournal!$G$5:$G$34,$A7,Rechnungsjournal!$B$5:$B$34,"&gt;="&amp;DATE(2026,7,1),Rechnungsjournal!$B$5:$B$34,"&lt;"&amp;DATE(2026,8,1))=0,"",SUMIFS(Rechnungsjournal!$M$5:$M$34,Rechnungsjournal!$G$5:$G$34,$A7,Rechnungsjournal!$B$5:$B$34,"&gt;="&amp;DATE(2026,7,1),Rechnungsjournal!$B$5:$B$34,"&lt;"&amp;DATE(2026,8,1)))</f>
        <v/>
      </c>
      <c r="E7" s="27" t="n">
        <f aca="false">IF(COUNTIFS(Rechnungsjournal!$G$5:$G$34,$A7,Rechnungsjournal!$B$5:$B$34,"&gt;="&amp;DATE(2026,8,1),Rechnungsjournal!$B$5:$B$34,"&lt;"&amp;DATE(2026,9,1))=0,"",SUMIFS(Rechnungsjournal!$M$5:$M$34,Rechnungsjournal!$G$5:$G$34,$A7,Rechnungsjournal!$B$5:$B$34,"&gt;="&amp;DATE(2026,8,1),Rechnungsjournal!$B$5:$B$34,"&lt;"&amp;DATE(2026,9,1)))</f>
        <v>53.55</v>
      </c>
      <c r="F7" s="27" t="str">
        <f aca="false">IF(COUNTIFS(Rechnungsjournal!$G$5:$G$34,$A7,Rechnungsjournal!$B$5:$B$34,"&gt;="&amp;DATE(2026,9,1),Rechnungsjournal!$B$5:$B$34,"&lt;"&amp;DATE(2026,10,1))=0,"",SUMIFS(Rechnungsjournal!$M$5:$M$34,Rechnungsjournal!$G$5:$G$34,$A7,Rechnungsjournal!$B$5:$B$34,"&gt;="&amp;DATE(2026,9,1),Rechnungsjournal!$B$5:$B$34,"&lt;"&amp;DATE(2026,10,1)))</f>
        <v/>
      </c>
      <c r="G7" s="27" t="str">
        <f aca="false">IF(COUNTIFS(Rechnungsjournal!$G$5:$G$34,$A7,Rechnungsjournal!$B$5:$B$34,"&gt;="&amp;DATE(2026,10,1),Rechnungsjournal!$B$5:$B$34,"&lt;"&amp;DATE(2026,11,1))=0,"",SUMIFS(Rechnungsjournal!$M$5:$M$34,Rechnungsjournal!$G$5:$G$34,$A7,Rechnungsjournal!$B$5:$B$34,"&gt;="&amp;DATE(2026,10,1),Rechnungsjournal!$B$5:$B$34,"&lt;"&amp;DATE(2026,11,1)))</f>
        <v/>
      </c>
      <c r="H7" s="27" t="str">
        <f aca="false">IF(COUNTIFS(Rechnungsjournal!$G$5:$G$34,$A7,Rechnungsjournal!$B$5:$B$34,"&gt;="&amp;DATE(2026,11,1),Rechnungsjournal!$B$5:$B$34,"&lt;"&amp;DATE(2026,12,1))=0,"",SUMIFS(Rechnungsjournal!$M$5:$M$34,Rechnungsjournal!$G$5:$G$34,$A7,Rechnungsjournal!$B$5:$B$34,"&gt;="&amp;DATE(2026,11,1),Rechnungsjournal!$B$5:$B$34,"&lt;"&amp;DATE(2026,12,1)))</f>
        <v/>
      </c>
      <c r="I7" s="27" t="str">
        <f aca="false">IF(COUNTIFS(Rechnungsjournal!$G$5:$G$34,$A7,Rechnungsjournal!$B$5:$B$34,"&gt;="&amp;DATE(2026,12,1),Rechnungsjournal!$B$5:$B$34,"&lt;"&amp;DATE(2027,1,1))=0,"",SUMIFS(Rechnungsjournal!$M$5:$M$34,Rechnungsjournal!$G$5:$G$34,$A7,Rechnungsjournal!$B$5:$B$34,"&gt;="&amp;DATE(2026,12,1),Rechnungsjournal!$B$5:$B$34,"&lt;"&amp;DATE(2027,1,1)))</f>
        <v/>
      </c>
      <c r="J7" s="28" t="n">
        <f aca="false">SUM(B7:I7)</f>
        <v>53.55</v>
      </c>
    </row>
    <row r="8" customFormat="false" ht="15" hidden="false" customHeight="false" outlineLevel="0" collapsed="false">
      <c r="A8" s="26" t="s">
        <v>33</v>
      </c>
      <c r="B8" s="29" t="n">
        <f aca="false">IF(COUNTIFS(Rechnungsjournal!$G$5:$G$34,$A8,Rechnungsjournal!$B$5:$B$34,"&gt;="&amp;DATE(2026,5,1),Rechnungsjournal!$B$5:$B$34,"&lt;"&amp;DATE(2026,6,1))=0,"",SUMIFS(Rechnungsjournal!$M$5:$M$34,Rechnungsjournal!$G$5:$G$34,$A8,Rechnungsjournal!$B$5:$B$34,"&gt;="&amp;DATE(2026,5,1),Rechnungsjournal!$B$5:$B$34,"&lt;"&amp;DATE(2026,6,1)))</f>
        <v>22</v>
      </c>
      <c r="C8" s="29" t="str">
        <f aca="false">IF(COUNTIFS(Rechnungsjournal!$G$5:$G$34,$A8,Rechnungsjournal!$B$5:$B$34,"&gt;="&amp;DATE(2026,6,1),Rechnungsjournal!$B$5:$B$34,"&lt;"&amp;DATE(2026,7,1))=0,"",SUMIFS(Rechnungsjournal!$M$5:$M$34,Rechnungsjournal!$G$5:$G$34,$A8,Rechnungsjournal!$B$5:$B$34,"&gt;="&amp;DATE(2026,6,1),Rechnungsjournal!$B$5:$B$34,"&lt;"&amp;DATE(2026,7,1)))</f>
        <v/>
      </c>
      <c r="D8" s="29" t="str">
        <f aca="false">IF(COUNTIFS(Rechnungsjournal!$G$5:$G$34,$A8,Rechnungsjournal!$B$5:$B$34,"&gt;="&amp;DATE(2026,7,1),Rechnungsjournal!$B$5:$B$34,"&lt;"&amp;DATE(2026,8,1))=0,"",SUMIFS(Rechnungsjournal!$M$5:$M$34,Rechnungsjournal!$G$5:$G$34,$A8,Rechnungsjournal!$B$5:$B$34,"&gt;="&amp;DATE(2026,7,1),Rechnungsjournal!$B$5:$B$34,"&lt;"&amp;DATE(2026,8,1)))</f>
        <v/>
      </c>
      <c r="E8" s="29" t="n">
        <f aca="false">IF(COUNTIFS(Rechnungsjournal!$G$5:$G$34,$A8,Rechnungsjournal!$B$5:$B$34,"&gt;="&amp;DATE(2026,8,1),Rechnungsjournal!$B$5:$B$34,"&lt;"&amp;DATE(2026,9,1))=0,"",SUMIFS(Rechnungsjournal!$M$5:$M$34,Rechnungsjournal!$G$5:$G$34,$A8,Rechnungsjournal!$B$5:$B$34,"&gt;="&amp;DATE(2026,8,1),Rechnungsjournal!$B$5:$B$34,"&lt;"&amp;DATE(2026,9,1)))</f>
        <v>22</v>
      </c>
      <c r="F8" s="29" t="str">
        <f aca="false">IF(COUNTIFS(Rechnungsjournal!$G$5:$G$34,$A8,Rechnungsjournal!$B$5:$B$34,"&gt;="&amp;DATE(2026,9,1),Rechnungsjournal!$B$5:$B$34,"&lt;"&amp;DATE(2026,10,1))=0,"",SUMIFS(Rechnungsjournal!$M$5:$M$34,Rechnungsjournal!$G$5:$G$34,$A8,Rechnungsjournal!$B$5:$B$34,"&gt;="&amp;DATE(2026,9,1),Rechnungsjournal!$B$5:$B$34,"&lt;"&amp;DATE(2026,10,1)))</f>
        <v/>
      </c>
      <c r="G8" s="29" t="str">
        <f aca="false">IF(COUNTIFS(Rechnungsjournal!$G$5:$G$34,$A8,Rechnungsjournal!$B$5:$B$34,"&gt;="&amp;DATE(2026,10,1),Rechnungsjournal!$B$5:$B$34,"&lt;"&amp;DATE(2026,11,1))=0,"",SUMIFS(Rechnungsjournal!$M$5:$M$34,Rechnungsjournal!$G$5:$G$34,$A8,Rechnungsjournal!$B$5:$B$34,"&gt;="&amp;DATE(2026,10,1),Rechnungsjournal!$B$5:$B$34,"&lt;"&amp;DATE(2026,11,1)))</f>
        <v/>
      </c>
      <c r="H8" s="29" t="str">
        <f aca="false">IF(COUNTIFS(Rechnungsjournal!$G$5:$G$34,$A8,Rechnungsjournal!$B$5:$B$34,"&gt;="&amp;DATE(2026,11,1),Rechnungsjournal!$B$5:$B$34,"&lt;"&amp;DATE(2026,12,1))=0,"",SUMIFS(Rechnungsjournal!$M$5:$M$34,Rechnungsjournal!$G$5:$G$34,$A8,Rechnungsjournal!$B$5:$B$34,"&gt;="&amp;DATE(2026,11,1),Rechnungsjournal!$B$5:$B$34,"&lt;"&amp;DATE(2026,12,1)))</f>
        <v/>
      </c>
      <c r="I8" s="29" t="str">
        <f aca="false">IF(COUNTIFS(Rechnungsjournal!$G$5:$G$34,$A8,Rechnungsjournal!$B$5:$B$34,"&gt;="&amp;DATE(2026,12,1),Rechnungsjournal!$B$5:$B$34,"&lt;"&amp;DATE(2027,1,1))=0,"",SUMIFS(Rechnungsjournal!$M$5:$M$34,Rechnungsjournal!$G$5:$G$34,$A8,Rechnungsjournal!$B$5:$B$34,"&gt;="&amp;DATE(2026,12,1),Rechnungsjournal!$B$5:$B$34,"&lt;"&amp;DATE(2027,1,1)))</f>
        <v/>
      </c>
      <c r="J8" s="30" t="n">
        <f aca="false">SUM(B8:I8)</f>
        <v>44</v>
      </c>
    </row>
    <row r="9" customFormat="false" ht="15" hidden="false" customHeight="false" outlineLevel="0" collapsed="false">
      <c r="A9" s="26" t="s">
        <v>41</v>
      </c>
      <c r="B9" s="27" t="str">
        <f aca="false">IF(COUNTIFS(Rechnungsjournal!$G$5:$G$34,$A9,Rechnungsjournal!$B$5:$B$34,"&gt;="&amp;DATE(2026,5,1),Rechnungsjournal!$B$5:$B$34,"&lt;"&amp;DATE(2026,6,1))=0,"",SUMIFS(Rechnungsjournal!$M$5:$M$34,Rechnungsjournal!$G$5:$G$34,$A9,Rechnungsjournal!$B$5:$B$34,"&gt;="&amp;DATE(2026,5,1),Rechnungsjournal!$B$5:$B$34,"&lt;"&amp;DATE(2026,6,1)))</f>
        <v/>
      </c>
      <c r="C9" s="27" t="n">
        <f aca="false">IF(COUNTIFS(Rechnungsjournal!$G$5:$G$34,$A9,Rechnungsjournal!$B$5:$B$34,"&gt;="&amp;DATE(2026,6,1),Rechnungsjournal!$B$5:$B$34,"&lt;"&amp;DATE(2026,7,1))=0,"",SUMIFS(Rechnungsjournal!$M$5:$M$34,Rechnungsjournal!$G$5:$G$34,$A9,Rechnungsjournal!$B$5:$B$34,"&gt;="&amp;DATE(2026,6,1),Rechnungsjournal!$B$5:$B$34,"&lt;"&amp;DATE(2026,7,1)))</f>
        <v>17.85</v>
      </c>
      <c r="D9" s="27" t="str">
        <f aca="false">IF(COUNTIFS(Rechnungsjournal!$G$5:$G$34,$A9,Rechnungsjournal!$B$5:$B$34,"&gt;="&amp;DATE(2026,7,1),Rechnungsjournal!$B$5:$B$34,"&lt;"&amp;DATE(2026,8,1))=0,"",SUMIFS(Rechnungsjournal!$M$5:$M$34,Rechnungsjournal!$G$5:$G$34,$A9,Rechnungsjournal!$B$5:$B$34,"&gt;="&amp;DATE(2026,7,1),Rechnungsjournal!$B$5:$B$34,"&lt;"&amp;DATE(2026,8,1)))</f>
        <v/>
      </c>
      <c r="E9" s="27" t="str">
        <f aca="false">IF(COUNTIFS(Rechnungsjournal!$G$5:$G$34,$A9,Rechnungsjournal!$B$5:$B$34,"&gt;="&amp;DATE(2026,8,1),Rechnungsjournal!$B$5:$B$34,"&lt;"&amp;DATE(2026,9,1))=0,"",SUMIFS(Rechnungsjournal!$M$5:$M$34,Rechnungsjournal!$G$5:$G$34,$A9,Rechnungsjournal!$B$5:$B$34,"&gt;="&amp;DATE(2026,8,1),Rechnungsjournal!$B$5:$B$34,"&lt;"&amp;DATE(2026,9,1)))</f>
        <v/>
      </c>
      <c r="F9" s="27" t="str">
        <f aca="false">IF(COUNTIFS(Rechnungsjournal!$G$5:$G$34,$A9,Rechnungsjournal!$B$5:$B$34,"&gt;="&amp;DATE(2026,9,1),Rechnungsjournal!$B$5:$B$34,"&lt;"&amp;DATE(2026,10,1))=0,"",SUMIFS(Rechnungsjournal!$M$5:$M$34,Rechnungsjournal!$G$5:$G$34,$A9,Rechnungsjournal!$B$5:$B$34,"&gt;="&amp;DATE(2026,9,1),Rechnungsjournal!$B$5:$B$34,"&lt;"&amp;DATE(2026,10,1)))</f>
        <v/>
      </c>
      <c r="G9" s="27" t="str">
        <f aca="false">IF(COUNTIFS(Rechnungsjournal!$G$5:$G$34,$A9,Rechnungsjournal!$B$5:$B$34,"&gt;="&amp;DATE(2026,10,1),Rechnungsjournal!$B$5:$B$34,"&lt;"&amp;DATE(2026,11,1))=0,"",SUMIFS(Rechnungsjournal!$M$5:$M$34,Rechnungsjournal!$G$5:$G$34,$A9,Rechnungsjournal!$B$5:$B$34,"&gt;="&amp;DATE(2026,10,1),Rechnungsjournal!$B$5:$B$34,"&lt;"&amp;DATE(2026,11,1)))</f>
        <v/>
      </c>
      <c r="H9" s="27" t="str">
        <f aca="false">IF(COUNTIFS(Rechnungsjournal!$G$5:$G$34,$A9,Rechnungsjournal!$B$5:$B$34,"&gt;="&amp;DATE(2026,11,1),Rechnungsjournal!$B$5:$B$34,"&lt;"&amp;DATE(2026,12,1))=0,"",SUMIFS(Rechnungsjournal!$M$5:$M$34,Rechnungsjournal!$G$5:$G$34,$A9,Rechnungsjournal!$B$5:$B$34,"&gt;="&amp;DATE(2026,11,1),Rechnungsjournal!$B$5:$B$34,"&lt;"&amp;DATE(2026,12,1)))</f>
        <v/>
      </c>
      <c r="I9" s="27" t="str">
        <f aca="false">IF(COUNTIFS(Rechnungsjournal!$G$5:$G$34,$A9,Rechnungsjournal!$B$5:$B$34,"&gt;="&amp;DATE(2026,12,1),Rechnungsjournal!$B$5:$B$34,"&lt;"&amp;DATE(2027,1,1))=0,"",SUMIFS(Rechnungsjournal!$M$5:$M$34,Rechnungsjournal!$G$5:$G$34,$A9,Rechnungsjournal!$B$5:$B$34,"&gt;="&amp;DATE(2026,12,1),Rechnungsjournal!$B$5:$B$34,"&lt;"&amp;DATE(2027,1,1)))</f>
        <v/>
      </c>
      <c r="J9" s="28" t="n">
        <f aca="false">SUM(B9:I9)</f>
        <v>17.85</v>
      </c>
    </row>
    <row r="10" customFormat="false" ht="15" hidden="false" customHeight="false" outlineLevel="0" collapsed="false">
      <c r="A10" s="26" t="s">
        <v>46</v>
      </c>
      <c r="B10" s="31"/>
      <c r="C10" s="31"/>
      <c r="D10" s="31"/>
      <c r="E10" s="31"/>
      <c r="F10" s="31"/>
      <c r="G10" s="31"/>
      <c r="H10" s="31"/>
      <c r="I10" s="31"/>
      <c r="J10" s="32" t="n">
        <f aca="false">SUM(B10:I10)</f>
        <v>0</v>
      </c>
    </row>
    <row r="11" customFormat="false" ht="15" hidden="false" customHeight="false" outlineLevel="0" collapsed="false">
      <c r="A11" s="26" t="s">
        <v>51</v>
      </c>
      <c r="B11" s="31"/>
      <c r="C11" s="31"/>
      <c r="D11" s="31"/>
      <c r="E11" s="31"/>
      <c r="F11" s="31"/>
      <c r="G11" s="31"/>
      <c r="H11" s="31"/>
      <c r="I11" s="31"/>
      <c r="J11" s="32" t="n">
        <f aca="false">SUM(B11:I11)</f>
        <v>0</v>
      </c>
    </row>
    <row r="12" customFormat="false" ht="15" hidden="false" customHeight="false" outlineLevel="0" collapsed="false">
      <c r="A12" s="26" t="s">
        <v>56</v>
      </c>
      <c r="B12" s="31"/>
      <c r="C12" s="31"/>
      <c r="D12" s="31"/>
      <c r="E12" s="31"/>
      <c r="F12" s="31"/>
      <c r="G12" s="31"/>
      <c r="H12" s="31"/>
      <c r="I12" s="31"/>
      <c r="J12" s="32" t="n">
        <f aca="false">SUM(B12:I12)</f>
        <v>0</v>
      </c>
    </row>
    <row r="13" customFormat="false" ht="15" hidden="false" customHeight="false" outlineLevel="0" collapsed="false">
      <c r="A13" s="26" t="s">
        <v>59</v>
      </c>
      <c r="B13" s="31"/>
      <c r="C13" s="31"/>
      <c r="D13" s="31"/>
      <c r="E13" s="31"/>
      <c r="F13" s="31"/>
      <c r="G13" s="31"/>
      <c r="H13" s="31"/>
      <c r="I13" s="31"/>
      <c r="J13" s="32" t="n">
        <f aca="false">SUM(B13:I13)</f>
        <v>0</v>
      </c>
    </row>
    <row r="14" customFormat="false" ht="15" hidden="false" customHeight="false" outlineLevel="0" collapsed="false">
      <c r="A14" s="26" t="s">
        <v>64</v>
      </c>
      <c r="B14" s="31"/>
      <c r="C14" s="31"/>
      <c r="D14" s="31"/>
      <c r="E14" s="31"/>
      <c r="F14" s="31"/>
      <c r="G14" s="31"/>
      <c r="H14" s="31"/>
      <c r="I14" s="31"/>
      <c r="J14" s="32" t="n">
        <f aca="false">SUM(B14:I14)</f>
        <v>0</v>
      </c>
    </row>
    <row r="16" customFormat="false" ht="15" hidden="false" customHeight="false" outlineLevel="0" collapsed="false">
      <c r="A16" s="12" t="s">
        <v>170</v>
      </c>
      <c r="B16" s="14" t="n">
        <f aca="false">IF(B5="",0,B5)+IF(B6="",0,B6)+IF(B7="",0,B7)+IF(B9="",0,B9)</f>
        <v>48.8</v>
      </c>
      <c r="C16" s="14" t="n">
        <f aca="false">IF(C5="",0,C5)+IF(C6="",0,C6)+IF(C7="",0,C7)+IF(C9="",0,C9)</f>
        <v>91.62</v>
      </c>
      <c r="D16" s="14" t="n">
        <f aca="false">IF(D5="",0,D5)+IF(D6="",0,D6)+IF(D7="",0,D7)+IF(D9="",0,D9)</f>
        <v>78.1</v>
      </c>
      <c r="E16" s="14" t="n">
        <f aca="false">IF(E5="",0,E5)+IF(E6="",0,E6)+IF(E7="",0,E7)+IF(E9="",0,E9)</f>
        <v>53.55</v>
      </c>
      <c r="F16" s="14" t="n">
        <f aca="false">IF(F5="",0,F5)+IF(F6="",0,F6)+IF(F7="",0,F7)+IF(F9="",0,F9)</f>
        <v>0</v>
      </c>
      <c r="G16" s="14" t="n">
        <f aca="false">IF(G5="",0,G5)+IF(G6="",0,G6)+IF(G7="",0,G7)+IF(G9="",0,G9)</f>
        <v>0</v>
      </c>
      <c r="H16" s="14" t="n">
        <f aca="false">IF(H5="",0,H5)+IF(H6="",0,H6)+IF(H7="",0,H7)+IF(H9="",0,H9)</f>
        <v>0</v>
      </c>
      <c r="I16" s="14" t="n">
        <f aca="false">IF(I5="",0,I5)+IF(I6="",0,I6)+IF(I7="",0,I7)+IF(I9="",0,I9)</f>
        <v>0</v>
      </c>
      <c r="J16" s="33"/>
    </row>
    <row r="17" customFormat="false" ht="15" hidden="false" customHeight="false" outlineLevel="0" collapsed="false">
      <c r="A17" s="12" t="s">
        <v>171</v>
      </c>
      <c r="B17" s="15" t="n">
        <f aca="false">IF(B8="",0,B8)</f>
        <v>22</v>
      </c>
      <c r="C17" s="15" t="n">
        <f aca="false">IF(C8="",0,C8)</f>
        <v>0</v>
      </c>
      <c r="D17" s="15" t="n">
        <f aca="false">IF(D8="",0,D8)</f>
        <v>0</v>
      </c>
      <c r="E17" s="15" t="n">
        <f aca="false">IF(E8="",0,E8)</f>
        <v>22</v>
      </c>
      <c r="F17" s="15" t="n">
        <f aca="false">IF(F8="",0,F8)</f>
        <v>0</v>
      </c>
      <c r="G17" s="15" t="n">
        <f aca="false">IF(G8="",0,G8)</f>
        <v>0</v>
      </c>
      <c r="H17" s="15" t="n">
        <f aca="false">IF(H8="",0,H8)</f>
        <v>0</v>
      </c>
      <c r="I17" s="15" t="n">
        <f aca="false">IF(I8="",0,I8)</f>
        <v>0</v>
      </c>
      <c r="J17" s="33"/>
    </row>
  </sheetData>
  <mergeCells count="2">
    <mergeCell ref="A1:J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0"/>
  </cols>
  <sheetData>
    <row r="1" customFormat="false" ht="17.35" hidden="false" customHeight="false" outlineLevel="0" collapsed="false">
      <c r="A1" s="34" t="s">
        <v>172</v>
      </c>
    </row>
    <row r="3" customFormat="false" ht="15" hidden="false" customHeight="false" outlineLevel="0" collapsed="false">
      <c r="A3" s="35" t="s">
        <v>173</v>
      </c>
    </row>
    <row r="4" customFormat="false" ht="77.6" hidden="false" customHeight="false" outlineLevel="0" collapsed="false">
      <c r="A4" s="36" t="s">
        <v>174</v>
      </c>
    </row>
    <row r="6" customFormat="false" ht="15" hidden="false" customHeight="false" outlineLevel="0" collapsed="false">
      <c r="A6" s="35" t="s">
        <v>175</v>
      </c>
    </row>
    <row r="7" customFormat="false" ht="15" hidden="false" customHeight="false" outlineLevel="0" collapsed="false">
      <c r="A7" s="37" t="s">
        <v>176</v>
      </c>
    </row>
    <row r="8" customFormat="false" ht="15" hidden="false" customHeight="false" outlineLevel="0" collapsed="false">
      <c r="A8" s="38" t="s">
        <v>177</v>
      </c>
    </row>
    <row r="9" customFormat="false" ht="15" hidden="false" customHeight="false" outlineLevel="0" collapsed="false">
      <c r="A9" s="39" t="s">
        <v>178</v>
      </c>
    </row>
    <row r="10" customFormat="false" ht="15" hidden="false" customHeight="false" outlineLevel="0" collapsed="false">
      <c r="A10" s="40" t="s">
        <v>179</v>
      </c>
    </row>
    <row r="11" customFormat="false" ht="15" hidden="false" customHeight="false" outlineLevel="0" collapsed="false">
      <c r="A11" s="41" t="s">
        <v>180</v>
      </c>
    </row>
    <row r="13" customFormat="false" ht="15" hidden="false" customHeight="false" outlineLevel="0" collapsed="false">
      <c r="A13" s="35" t="s">
        <v>181</v>
      </c>
    </row>
    <row r="14" customFormat="false" ht="15" hidden="false" customHeight="false" outlineLevel="0" collapsed="false">
      <c r="A14" s="36" t="s">
        <v>182</v>
      </c>
    </row>
    <row r="15" customFormat="false" ht="52.2" hidden="false" customHeight="false" outlineLevel="0" collapsed="false">
      <c r="A15" s="36" t="s">
        <v>183</v>
      </c>
    </row>
    <row r="16" customFormat="false" ht="26.85" hidden="false" customHeight="false" outlineLevel="0" collapsed="false">
      <c r="A16" s="36" t="s">
        <v>184</v>
      </c>
    </row>
    <row r="17" customFormat="false" ht="15" hidden="false" customHeight="false" outlineLevel="0" collapsed="false">
      <c r="A17" s="36" t="s">
        <v>185</v>
      </c>
    </row>
    <row r="19" customFormat="false" ht="15" hidden="false" customHeight="false" outlineLevel="0" collapsed="false">
      <c r="A19" s="35" t="s">
        <v>186</v>
      </c>
    </row>
    <row r="20" customFormat="false" ht="141" hidden="false" customHeight="false" outlineLevel="0" collapsed="false">
      <c r="A20" s="36" t="s">
        <v>187</v>
      </c>
    </row>
    <row r="22" customFormat="false" ht="15" hidden="false" customHeight="false" outlineLevel="0" collapsed="false">
      <c r="A22" s="35" t="s">
        <v>188</v>
      </c>
    </row>
    <row r="23" customFormat="false" ht="26.85" hidden="false" customHeight="false" outlineLevel="0" collapsed="false">
      <c r="A23" s="36" t="s">
        <v>189</v>
      </c>
    </row>
    <row r="24" customFormat="false" ht="26.85" hidden="false" customHeight="false" outlineLevel="0" collapsed="false">
      <c r="A24" s="36" t="s">
        <v>190</v>
      </c>
    </row>
    <row r="25" customFormat="false" ht="26.85" hidden="false" customHeight="false" outlineLevel="0" collapsed="false">
      <c r="A25" s="36" t="s">
        <v>191</v>
      </c>
    </row>
    <row r="26" customFormat="false" ht="26.85" hidden="false" customHeight="false" outlineLevel="0" collapsed="false">
      <c r="A26" s="36" t="s">
        <v>192</v>
      </c>
    </row>
    <row r="27" customFormat="false" ht="26.85" hidden="false" customHeight="false" outlineLevel="0" collapsed="false">
      <c r="A27" s="36" t="s">
        <v>193</v>
      </c>
    </row>
    <row r="28" customFormat="false" ht="26.85" hidden="false" customHeight="false" outlineLevel="0" collapsed="false">
      <c r="A28" s="36" t="s">
        <v>194</v>
      </c>
    </row>
    <row r="29" customFormat="false" ht="26.85" hidden="false" customHeight="false" outlineLevel="0" collapsed="false">
      <c r="A29" s="36" t="s">
        <v>195</v>
      </c>
    </row>
    <row r="30" customFormat="false" ht="15" hidden="false" customHeight="false" outlineLevel="0" collapsed="false">
      <c r="A30" s="36" t="s">
        <v>196</v>
      </c>
    </row>
    <row r="31" customFormat="false" ht="15" hidden="false" customHeight="false" outlineLevel="0" collapsed="false">
      <c r="A31" s="36" t="s">
        <v>197</v>
      </c>
    </row>
    <row r="32" customFormat="false" ht="26.85" hidden="false" customHeight="false" outlineLevel="0" collapsed="false">
      <c r="A32" s="36" t="s">
        <v>198</v>
      </c>
    </row>
    <row r="34" customFormat="false" ht="39.55" hidden="false" customHeight="false" outlineLevel="0" collapsed="false">
      <c r="A34" s="42" t="s">
        <v>199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2026-08-19T11:07:42Z</dcterms:created>
  <dc:creator>openpyxl</dc:creator>
  <dc:description/>
  <dc:language>en-US</dc:language>
  <cp:lastModifiedBy/>
  <dcterms:modified xsi:type="dcterms:W3CDTF">2026-08-19T11:07:42Z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