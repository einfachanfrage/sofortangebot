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ostenübersicht" sheetId="1" state="visible" r:id="rId1"/>
    <sheet xmlns:r="http://schemas.openxmlformats.org/officeDocument/2006/relationships" name="Rechnungsjournal" sheetId="2" state="visible" r:id="rId2"/>
    <sheet xmlns:r="http://schemas.openxmlformats.org/officeDocument/2006/relationships" name="Monatsverlauf" sheetId="3" state="visible" r:id="rId3"/>
    <sheet xmlns:r="http://schemas.openxmlformats.org/officeDocument/2006/relationships" name="Plan-Deckblatt" sheetId="4" state="visible" r:id="rId4"/>
    <sheet xmlns:r="http://schemas.openxmlformats.org/officeDocument/2006/relationships" name="Plan-Annahmen" sheetId="5" state="visible" r:id="rId5"/>
    <sheet xmlns:r="http://schemas.openxmlformats.org/officeDocument/2006/relationships" name="Plan-Kunden" sheetId="6" state="visible" r:id="rId6"/>
    <sheet xmlns:r="http://schemas.openxmlformats.org/officeDocument/2006/relationships" name="Plan-Kosten" sheetId="7" state="visible" r:id="rId7"/>
    <sheet xmlns:r="http://schemas.openxmlformats.org/officeDocument/2006/relationships" name="Plan-24M" sheetId="8" state="visible" r:id="rId8"/>
    <sheet xmlns:r="http://schemas.openxmlformats.org/officeDocument/2006/relationships" name="Plan-Phase B" sheetId="9" state="visible" r:id="rId9"/>
    <sheet xmlns:r="http://schemas.openxmlformats.org/officeDocument/2006/relationships" name="Legende &amp; offene Punkte"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0&quot; $&quot;;\(#,##0.00&quot; $)&quot;"/>
    <numFmt numFmtId="165" formatCode="#,##0.00&quot; €&quot;;\(#,##0.00&quot; €)&quot;"/>
    <numFmt numFmtId="166" formatCode="dd\.mm\.yyyy"/>
    <numFmt numFmtId="167" formatCode="0.0000"/>
    <numFmt numFmtId="168" formatCode="#,##0.0"/>
    <numFmt numFmtId="169" formatCode="0.0%"/>
    <numFmt numFmtId="170" formatCode="mmm\ yyyy"/>
  </numFmts>
  <fonts count="1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666666"/>
      <sz val="11"/>
    </font>
    <font>
      <name val="Arial"/>
      <charset val="1"/>
      <family val="0"/>
      <b val="1"/>
      <color rgb="FFFFFFFF"/>
      <sz val="11"/>
    </font>
    <font>
      <name val="Arial"/>
      <charset val="1"/>
      <family val="0"/>
      <color rgb="FF000000"/>
      <sz val="11"/>
    </font>
    <font>
      <name val="Arial"/>
      <charset val="1"/>
      <family val="0"/>
      <color rgb="FF0000FF"/>
      <sz val="11"/>
    </font>
    <font>
      <name val="Arial"/>
      <charset val="1"/>
      <family val="0"/>
      <b val="1"/>
      <color rgb="FFCC0000"/>
      <sz val="11"/>
    </font>
    <font>
      <name val="Arial"/>
      <charset val="1"/>
      <family val="0"/>
      <b val="1"/>
      <sz val="11"/>
    </font>
    <font>
      <name val="Arial"/>
      <family val="2"/>
      <sz val="10"/>
    </font>
    <font>
      <name val="Arial"/>
      <charset val="1"/>
      <family val="0"/>
      <color rgb="FF008000"/>
      <sz val="11"/>
    </font>
    <font>
      <name val="Cambria"/>
      <charset val="1"/>
      <family val="0"/>
      <b val="1"/>
      <color rgb="FF1F4E78"/>
      <sz val="11"/>
    </font>
    <font>
      <name val="Cambria"/>
      <charset val="1"/>
      <family val="0"/>
      <b val="1"/>
      <sz val="11"/>
    </font>
    <font>
      <name val="Cambria"/>
      <charset val="1"/>
      <family val="0"/>
      <color rgb="FF0000FF"/>
      <sz val="11"/>
    </font>
    <font>
      <name val="Arial"/>
      <charset val="1"/>
      <family val="0"/>
      <b val="1"/>
      <color rgb="FF000000"/>
      <sz val="14"/>
    </font>
    <font>
      <name val="Arial"/>
      <charset val="1"/>
      <family val="0"/>
      <b val="1"/>
      <color rgb="FF000000"/>
      <sz val="11"/>
    </font>
    <font>
      <name val="Arial"/>
      <charset val="1"/>
      <family val="0"/>
      <i val="1"/>
      <color rgb="FF000000"/>
      <sz val="11"/>
    </font>
  </fonts>
  <fills count="7">
    <fill>
      <patternFill/>
    </fill>
    <fill>
      <patternFill patternType="gray125"/>
    </fill>
    <fill>
      <patternFill patternType="solid">
        <fgColor rgb="FF1F4E78"/>
        <bgColor rgb="FF003366"/>
      </patternFill>
    </fill>
    <fill>
      <patternFill patternType="solid">
        <fgColor rgb="FFFFD966"/>
        <bgColor rgb="FFFFFF99"/>
      </patternFill>
    </fill>
    <fill>
      <patternFill patternType="solid">
        <fgColor rgb="FFF2F2F2"/>
        <bgColor rgb="FFFFFFFF"/>
      </patternFill>
    </fill>
    <fill>
      <patternFill patternType="solid">
        <fgColor rgb="FFD9E1F2"/>
        <bgColor rgb="FFF2F2F2"/>
      </patternFill>
    </fill>
    <fill>
      <patternFill patternType="solid">
        <fgColor rgb="FFFFFF00"/>
        <bgColor rgb="FFFFFF00"/>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164" fontId="8" fillId="3" borderId="1" applyAlignment="1" pivotButton="0" quotePrefix="0" xfId="0">
      <alignment horizontal="general" vertical="top" wrapText="1"/>
    </xf>
    <xf numFmtId="0" fontId="9" fillId="3" borderId="1" applyAlignment="1" pivotButton="0" quotePrefix="0" xfId="0">
      <alignment horizontal="general" vertical="top" wrapText="1"/>
    </xf>
    <xf numFmtId="164" fontId="8" fillId="0" borderId="1" applyAlignment="1" pivotButton="0" quotePrefix="0" xfId="0">
      <alignment horizontal="general" vertical="top" wrapText="1"/>
    </xf>
    <xf numFmtId="165" fontId="8" fillId="3" borderId="1" applyAlignment="1" pivotButton="0" quotePrefix="0" xfId="0">
      <alignment horizontal="general" vertical="top" wrapText="1"/>
    </xf>
    <xf numFmtId="4" fontId="8" fillId="4" borderId="1" applyAlignment="1" pivotButton="0" quotePrefix="0" xfId="0">
      <alignment horizontal="general" vertical="top" wrapText="1"/>
    </xf>
    <xf numFmtId="0" fontId="7" fillId="4" borderId="1" applyAlignment="1" pivotButton="0" quotePrefix="0" xfId="0">
      <alignment horizontal="general" vertical="top" wrapText="1"/>
    </xf>
    <xf numFmtId="165" fontId="8" fillId="0" borderId="1" applyAlignment="1" pivotButton="0" quotePrefix="0" xfId="0">
      <alignment horizontal="general" vertical="top" wrapText="1"/>
    </xf>
    <xf numFmtId="4" fontId="8" fillId="0" borderId="1" applyAlignment="1" pivotButton="0" quotePrefix="0" xfId="0">
      <alignment horizontal="general" vertical="top" wrapText="1"/>
    </xf>
    <xf numFmtId="0" fontId="10" fillId="5" borderId="1" applyAlignment="1" pivotButton="0" quotePrefix="0" xfId="0">
      <alignment horizontal="general" vertical="bottom"/>
    </xf>
    <xf numFmtId="0" fontId="0" fillId="5" borderId="1" applyAlignment="1" pivotButton="0" quotePrefix="0" xfId="0">
      <alignment horizontal="general" vertical="bottom"/>
    </xf>
    <xf numFmtId="164" fontId="10" fillId="5" borderId="1" applyAlignment="1" pivotButton="0" quotePrefix="0" xfId="0">
      <alignment horizontal="general" vertical="bottom"/>
    </xf>
    <xf numFmtId="165" fontId="10" fillId="5" borderId="1" applyAlignment="1" pivotButton="0" quotePrefix="0" xfId="0">
      <alignment horizontal="general" vertical="bottom"/>
    </xf>
    <xf numFmtId="0" fontId="10" fillId="0" borderId="0" applyAlignment="1" pivotButton="0" quotePrefix="0" xfId="0">
      <alignment horizontal="general" vertical="bottom"/>
    </xf>
    <xf numFmtId="164" fontId="10" fillId="0" borderId="0" applyAlignment="1" pivotButton="0" quotePrefix="0" xfId="0">
      <alignment horizontal="general" vertical="bottom"/>
    </xf>
    <xf numFmtId="166" fontId="8" fillId="0" borderId="1" applyAlignment="1" pivotButton="0" quotePrefix="0" xfId="0">
      <alignment horizontal="general" vertical="top" wrapText="1"/>
    </xf>
    <xf numFmtId="9" fontId="7" fillId="0" borderId="1" applyAlignment="1" pivotButton="0" quotePrefix="0" xfId="0">
      <alignment horizontal="general" vertical="top" wrapText="1"/>
    </xf>
    <xf numFmtId="165" fontId="12" fillId="0"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1" applyAlignment="1" pivotButton="0" quotePrefix="0" xfId="0">
      <alignment horizontal="general" vertical="bottom"/>
    </xf>
    <xf numFmtId="0" fontId="13" fillId="0" borderId="1" applyAlignment="1" pivotButton="0" quotePrefix="0" xfId="0">
      <alignment horizontal="general" vertical="bottom"/>
    </xf>
    <xf numFmtId="0" fontId="14" fillId="0" borderId="1" applyAlignment="1" pivotButton="0" quotePrefix="0" xfId="0">
      <alignment horizontal="general" vertical="bottom"/>
    </xf>
    <xf numFmtId="167" fontId="15" fillId="0" borderId="1"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167" fontId="15" fillId="0" borderId="0" applyAlignment="1" pivotButton="0" quotePrefix="0" xfId="0">
      <alignment horizontal="general" vertical="bottom"/>
    </xf>
    <xf numFmtId="0" fontId="6" fillId="2" borderId="1" applyAlignment="1" pivotButton="0" quotePrefix="0" xfId="0">
      <alignment horizontal="general" vertical="bottom"/>
    </xf>
    <xf numFmtId="0" fontId="6" fillId="2" borderId="1" applyAlignment="1" pivotButton="0" quotePrefix="0" xfId="0">
      <alignment horizontal="center"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164" fontId="0" fillId="0" borderId="1" applyAlignment="1" pivotButton="0" quotePrefix="0" xfId="0">
      <alignment horizontal="general" vertical="bottom"/>
    </xf>
    <xf numFmtId="164" fontId="10" fillId="0" borderId="1" applyAlignment="1" pivotButton="0" quotePrefix="0" xfId="0">
      <alignment horizontal="general" vertical="bottom"/>
    </xf>
    <xf numFmtId="165" fontId="0" fillId="0" borderId="1" applyAlignment="1" pivotButton="0" quotePrefix="0" xfId="0">
      <alignment horizontal="general" vertical="bottom"/>
    </xf>
    <xf numFmtId="165" fontId="10" fillId="0" borderId="1" applyAlignment="1" pivotButton="0" quotePrefix="0" xfId="0">
      <alignment horizontal="general" vertical="bottom"/>
    </xf>
    <xf numFmtId="0" fontId="0" fillId="4" borderId="1" applyAlignment="1" pivotButton="0" quotePrefix="0" xfId="0">
      <alignment horizontal="general" vertical="bottom"/>
    </xf>
    <xf numFmtId="0" fontId="10" fillId="0" borderId="1" applyAlignment="1" pivotButton="0" quotePrefix="0" xfId="0">
      <alignment horizontal="general" vertical="bottom"/>
    </xf>
    <xf numFmtId="0" fontId="0" fillId="5"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top" wrapText="1"/>
    </xf>
    <xf numFmtId="168" fontId="12" fillId="0" borderId="1" applyAlignment="1" pivotButton="0" quotePrefix="0" xfId="0">
      <alignment horizontal="right" vertical="bottom"/>
    </xf>
    <xf numFmtId="169" fontId="12" fillId="0" borderId="1" applyAlignment="1" pivotButton="0" quotePrefix="0" xfId="0">
      <alignment horizontal="right" vertical="bottom"/>
    </xf>
    <xf numFmtId="168" fontId="10" fillId="5" borderId="1" applyAlignment="1" pivotButton="0" quotePrefix="0" xfId="0">
      <alignment horizontal="right" vertical="bottom"/>
    </xf>
    <xf numFmtId="4" fontId="10" fillId="5" borderId="1" applyAlignment="1" pivotButton="0" quotePrefix="0" xfId="0">
      <alignment horizontal="right" vertical="bottom"/>
    </xf>
    <xf numFmtId="0" fontId="5" fillId="0" borderId="1" applyAlignment="1" pivotButton="0" quotePrefix="0" xfId="0">
      <alignment horizontal="general" vertical="bottom"/>
    </xf>
    <xf numFmtId="4" fontId="8" fillId="0" borderId="1" applyAlignment="1" pivotButton="0" quotePrefix="0" xfId="0">
      <alignment horizontal="right" vertical="bottom"/>
    </xf>
    <xf numFmtId="170" fontId="12" fillId="0" borderId="1" applyAlignment="1" pivotButton="0" quotePrefix="0" xfId="0">
      <alignment horizontal="right" vertical="bottom"/>
    </xf>
    <xf numFmtId="165" fontId="12" fillId="0" borderId="1" applyAlignment="1" pivotButton="0" quotePrefix="0" xfId="0">
      <alignment horizontal="right" vertical="bottom"/>
    </xf>
    <xf numFmtId="165" fontId="10" fillId="5" borderId="1" applyAlignment="1" pivotButton="0" quotePrefix="0" xfId="0">
      <alignment horizontal="right" vertical="bottom"/>
    </xf>
    <xf numFmtId="165" fontId="8" fillId="0" borderId="1" applyAlignment="1" pivotButton="0" quotePrefix="0" xfId="0">
      <alignment horizontal="right" vertical="bottom"/>
    </xf>
    <xf numFmtId="4" fontId="12" fillId="0" borderId="1" applyAlignment="1" pivotButton="0" quotePrefix="0" xfId="0">
      <alignment horizontal="right" vertical="bottom"/>
    </xf>
    <xf numFmtId="0" fontId="9" fillId="0" borderId="0" applyAlignment="1" pivotButton="0" quotePrefix="0" xfId="0">
      <alignment horizontal="general" vertical="top" wrapText="1"/>
    </xf>
    <xf numFmtId="3" fontId="10" fillId="5" borderId="1" applyAlignment="1" pivotButton="0" quotePrefix="0" xfId="0">
      <alignment horizontal="general" vertical="bottom"/>
    </xf>
    <xf numFmtId="3" fontId="8" fillId="5" borderId="1" applyAlignment="1" pivotButton="0" quotePrefix="0" xfId="0">
      <alignment horizontal="general" vertical="bottom"/>
    </xf>
    <xf numFmtId="3" fontId="10" fillId="5" borderId="1" applyAlignment="1" pivotButton="0" quotePrefix="0" xfId="0">
      <alignment horizontal="right" vertical="bottom"/>
    </xf>
    <xf numFmtId="10" fontId="12" fillId="0" borderId="1" applyAlignment="1" pivotButton="0" quotePrefix="0" xfId="0">
      <alignment horizontal="right" vertical="bottom"/>
    </xf>
    <xf numFmtId="170" fontId="8" fillId="6" borderId="1" applyAlignment="1" pivotButton="0" quotePrefix="0" xfId="0">
      <alignment horizontal="general" vertical="bottom"/>
    </xf>
    <xf numFmtId="0" fontId="5" fillId="0" borderId="2" applyAlignment="1" pivotButton="0" quotePrefix="0" xfId="0">
      <alignment horizontal="general" vertical="top" wrapText="1"/>
    </xf>
    <xf numFmtId="4" fontId="8" fillId="6" borderId="1" applyAlignment="1" pivotButton="0" quotePrefix="0" xfId="0">
      <alignment horizontal="general" vertical="bottom"/>
    </xf>
    <xf numFmtId="169" fontId="8" fillId="6" borderId="1" applyAlignment="1" pivotButton="0" quotePrefix="0" xfId="0">
      <alignment horizontal="general" vertical="bottom"/>
    </xf>
    <xf numFmtId="4" fontId="8" fillId="0" borderId="1" applyAlignment="1" pivotButton="0" quotePrefix="0" xfId="0">
      <alignment horizontal="general" vertical="bottom"/>
    </xf>
    <xf numFmtId="165" fontId="7" fillId="0" borderId="1" applyAlignment="1" pivotButton="0" quotePrefix="0" xfId="0">
      <alignment horizontal="general" vertical="bottom"/>
    </xf>
    <xf numFmtId="0" fontId="5" fillId="0" borderId="2" applyAlignment="1" pivotButton="0" quotePrefix="0" xfId="0">
      <alignment horizontal="general" vertical="bottom"/>
    </xf>
    <xf numFmtId="4" fontId="7" fillId="0" borderId="1" applyAlignment="1" pivotButton="0" quotePrefix="0" xfId="0">
      <alignment horizontal="general" vertical="bottom"/>
    </xf>
    <xf numFmtId="3" fontId="7" fillId="0" borderId="1" applyAlignment="1" pivotButton="0" quotePrefix="0" xfId="0">
      <alignment horizontal="general" vertical="bottom"/>
    </xf>
    <xf numFmtId="169" fontId="7" fillId="0" borderId="1" applyAlignment="1" pivotButton="0" quotePrefix="0" xfId="0">
      <alignment horizontal="general" vertical="bottom"/>
    </xf>
    <xf numFmtId="0" fontId="5" fillId="0" borderId="0" applyAlignment="1" pivotButton="0" quotePrefix="0" xfId="0">
      <alignment horizontal="general" vertical="bottom"/>
    </xf>
    <xf numFmtId="170" fontId="12" fillId="0" borderId="1" applyAlignment="1" pivotButton="0" quotePrefix="0" xfId="0">
      <alignment horizontal="general" vertical="bottom"/>
    </xf>
    <xf numFmtId="4" fontId="12" fillId="0" borderId="1" applyAlignment="1" pivotButton="0" quotePrefix="0" xfId="0">
      <alignment horizontal="general" vertical="bottom"/>
    </xf>
    <xf numFmtId="168" fontId="7" fillId="0" borderId="1" applyAlignment="1" pivotButton="0" quotePrefix="0" xfId="0">
      <alignment horizontal="general" vertical="bottom"/>
    </xf>
    <xf numFmtId="168" fontId="10" fillId="0" borderId="1" applyAlignment="1" pivotButton="0" quotePrefix="0" xfId="0">
      <alignment horizontal="general" vertical="bottom"/>
    </xf>
    <xf numFmtId="168" fontId="8" fillId="0" borderId="1" applyAlignment="1" pivotButton="0" quotePrefix="0" xfId="0">
      <alignment horizontal="general" vertical="bottom"/>
    </xf>
    <xf numFmtId="168" fontId="12" fillId="0" borderId="1" applyAlignment="1" pivotButton="0" quotePrefix="0" xfId="0">
      <alignment horizontal="general" vertical="bottom"/>
    </xf>
    <xf numFmtId="168" fontId="10" fillId="5" borderId="1" applyAlignment="1" pivotButton="0" quotePrefix="0" xfId="0">
      <alignment horizontal="general" vertical="bottom"/>
    </xf>
    <xf numFmtId="0" fontId="7" fillId="6" borderId="1" applyAlignment="1" pivotButton="0" quotePrefix="0" xfId="0">
      <alignment horizontal="general" vertical="bottom"/>
    </xf>
    <xf numFmtId="0" fontId="10" fillId="6" borderId="1" applyAlignment="1" pivotButton="0" quotePrefix="0" xfId="0">
      <alignment horizontal="general" vertical="bottom"/>
    </xf>
    <xf numFmtId="0" fontId="7" fillId="6" borderId="1" applyAlignment="1" pivotButton="0" quotePrefix="0" xfId="0">
      <alignment horizontal="general" vertical="top" wrapText="1"/>
    </xf>
    <xf numFmtId="0" fontId="8" fillId="6" borderId="1" applyAlignment="1" pivotButton="0" quotePrefix="0" xfId="0">
      <alignment horizontal="general" vertical="bottom"/>
    </xf>
    <xf numFmtId="165" fontId="7" fillId="6" borderId="1" applyAlignment="1" pivotButton="0" quotePrefix="0" xfId="0">
      <alignment horizontal="general" vertical="bottom"/>
    </xf>
    <xf numFmtId="0" fontId="7" fillId="4" borderId="1" applyAlignment="1" pivotButton="0" quotePrefix="0" xfId="0">
      <alignment horizontal="general" vertical="bottom"/>
    </xf>
    <xf numFmtId="0" fontId="10" fillId="4" borderId="1" applyAlignment="1" pivotButton="0" quotePrefix="0" xfId="0">
      <alignment horizontal="general" vertical="bottom"/>
    </xf>
    <xf numFmtId="4" fontId="8" fillId="4" borderId="1" applyAlignment="1" pivotButton="0" quotePrefix="0" xfId="0">
      <alignment horizontal="general" vertical="bottom"/>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7" fillId="3" borderId="1" applyAlignment="1" pivotButton="0" quotePrefix="0" xfId="0">
      <alignment horizontal="general" vertical="bottom"/>
    </xf>
    <xf numFmtId="0" fontId="10" fillId="3" borderId="1" applyAlignment="1" pivotButton="0" quotePrefix="0" xfId="0">
      <alignment horizontal="general" vertical="bottom"/>
    </xf>
    <xf numFmtId="4" fontId="8" fillId="3" borderId="1" applyAlignment="1" pivotButton="0" quotePrefix="0" xfId="0">
      <alignment horizontal="general" vertical="bottom"/>
    </xf>
    <xf numFmtId="0" fontId="8" fillId="3" borderId="1" applyAlignment="1" pivotButton="0" quotePrefix="0" xfId="0">
      <alignment horizontal="general" vertical="bottom"/>
    </xf>
    <xf numFmtId="165" fontId="7" fillId="3" borderId="1" applyAlignment="1" pivotButton="0" quotePrefix="0" xfId="0">
      <alignment horizontal="general" vertical="bottom"/>
    </xf>
    <xf numFmtId="4" fontId="12" fillId="3" borderId="1" applyAlignment="1" pivotButton="0" quotePrefix="0" xfId="0">
      <alignment horizontal="general" vertical="bottom"/>
    </xf>
    <xf numFmtId="169" fontId="12" fillId="0" borderId="1" applyAlignment="1" pivotButton="0" quotePrefix="0" xfId="0">
      <alignment horizontal="general" vertical="bottom"/>
    </xf>
    <xf numFmtId="0" fontId="0" fillId="3" borderId="1" applyAlignment="1" pivotButton="0" quotePrefix="0" xfId="0">
      <alignment horizontal="general" vertical="bottom"/>
    </xf>
    <xf numFmtId="165" fontId="8" fillId="0" borderId="1" applyAlignment="1" pivotButton="0" quotePrefix="0" xfId="0">
      <alignment horizontal="general" vertical="bottom"/>
    </xf>
    <xf numFmtId="4" fontId="7" fillId="4" borderId="1" applyAlignment="1" pivotButton="0" quotePrefix="0" xfId="0">
      <alignment horizontal="general" vertical="bottom"/>
    </xf>
    <xf numFmtId="165" fontId="12" fillId="0" borderId="1" applyAlignment="1" pivotButton="0" quotePrefix="0" xfId="0">
      <alignment horizontal="general" vertical="bottom"/>
    </xf>
    <xf numFmtId="0" fontId="0" fillId="6" borderId="1" applyAlignment="1" pivotButton="0" quotePrefix="0" xfId="0">
      <alignment horizontal="general" vertical="bottom"/>
    </xf>
    <xf numFmtId="0" fontId="5" fillId="6" borderId="1" applyAlignment="1" pivotButton="0" quotePrefix="0" xfId="0">
      <alignment horizontal="general" vertical="bottom"/>
    </xf>
    <xf numFmtId="3" fontId="10" fillId="0" borderId="0" applyAlignment="1" pivotButton="0" quotePrefix="0" xfId="0">
      <alignment horizontal="general" vertical="bottom"/>
    </xf>
    <xf numFmtId="3" fontId="12" fillId="0" borderId="1" applyAlignment="1" pivotButton="0" quotePrefix="0" xfId="0">
      <alignment horizontal="general" vertical="bottom"/>
    </xf>
    <xf numFmtId="0" fontId="12" fillId="0" borderId="1" applyAlignment="1" pivotButton="0" quotePrefix="0" xfId="0">
      <alignment horizontal="general" vertical="bottom"/>
    </xf>
    <xf numFmtId="3" fontId="8" fillId="0" borderId="1"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6" borderId="0" applyAlignment="1" pivotButton="0" quotePrefix="0" xfId="0">
      <alignment horizontal="general" vertical="top" wrapText="1"/>
    </xf>
    <xf numFmtId="0" fontId="7" fillId="4" borderId="0" applyAlignment="1" pivotButton="0" quotePrefix="0" xfId="0">
      <alignment horizontal="general" vertical="top" wrapText="1"/>
    </xf>
    <xf numFmtId="0" fontId="1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164" fontId="8" fillId="3" borderId="1" applyAlignment="1" pivotButton="0" quotePrefix="0" xfId="0">
      <alignment horizontal="general" vertical="top" wrapText="1"/>
    </xf>
    <xf numFmtId="0" fontId="9" fillId="3" borderId="1" applyAlignment="1" pivotButton="0" quotePrefix="0" xfId="0">
      <alignment horizontal="general" vertical="top" wrapText="1"/>
    </xf>
    <xf numFmtId="164" fontId="8" fillId="0" borderId="1" applyAlignment="1" pivotButton="0" quotePrefix="0" xfId="0">
      <alignment horizontal="general" vertical="top" wrapText="1"/>
    </xf>
    <xf numFmtId="165" fontId="8" fillId="3" borderId="1" applyAlignment="1" pivotButton="0" quotePrefix="0" xfId="0">
      <alignment horizontal="general" vertical="top" wrapText="1"/>
    </xf>
    <xf numFmtId="4" fontId="8" fillId="4" borderId="1" applyAlignment="1" pivotButton="0" quotePrefix="0" xfId="0">
      <alignment horizontal="general" vertical="top" wrapText="1"/>
    </xf>
    <xf numFmtId="0" fontId="7" fillId="4" borderId="1" applyAlignment="1" pivotButton="0" quotePrefix="0" xfId="0">
      <alignment horizontal="general" vertical="top" wrapText="1"/>
    </xf>
    <xf numFmtId="165" fontId="8" fillId="0" borderId="1" applyAlignment="1" pivotButton="0" quotePrefix="0" xfId="0">
      <alignment horizontal="general" vertical="top" wrapText="1"/>
    </xf>
    <xf numFmtId="4" fontId="8" fillId="0" borderId="1" applyAlignment="1" pivotButton="0" quotePrefix="0" xfId="0">
      <alignment horizontal="general" vertical="top" wrapText="1"/>
    </xf>
    <xf numFmtId="0" fontId="10" fillId="5" borderId="1" applyAlignment="1" pivotButton="0" quotePrefix="0" xfId="0">
      <alignment horizontal="general" vertical="bottom"/>
    </xf>
    <xf numFmtId="0" fontId="0" fillId="5" borderId="1" applyAlignment="1" pivotButton="0" quotePrefix="0" xfId="0">
      <alignment horizontal="general" vertical="bottom"/>
    </xf>
    <xf numFmtId="164" fontId="10" fillId="5" borderId="1" applyAlignment="1" pivotButton="0" quotePrefix="0" xfId="0">
      <alignment horizontal="general" vertical="bottom"/>
    </xf>
    <xf numFmtId="165" fontId="10" fillId="5" borderId="1" applyAlignment="1" pivotButton="0" quotePrefix="0" xfId="0">
      <alignment horizontal="general" vertical="bottom"/>
    </xf>
    <xf numFmtId="0" fontId="10" fillId="0" borderId="0" applyAlignment="1" pivotButton="0" quotePrefix="0" xfId="0">
      <alignment horizontal="general" vertical="bottom"/>
    </xf>
    <xf numFmtId="164" fontId="10" fillId="0" borderId="0" applyAlignment="1" pivotButton="0" quotePrefix="0" xfId="0">
      <alignment horizontal="general" vertical="bottom"/>
    </xf>
    <xf numFmtId="166" fontId="8" fillId="0" borderId="1" applyAlignment="1" pivotButton="0" quotePrefix="0" xfId="0">
      <alignment horizontal="general" vertical="top" wrapText="1"/>
    </xf>
    <xf numFmtId="9" fontId="7" fillId="0" borderId="1" applyAlignment="1" pivotButton="0" quotePrefix="0" xfId="0">
      <alignment horizontal="general" vertical="top" wrapText="1"/>
    </xf>
    <xf numFmtId="165" fontId="12" fillId="0"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1" applyAlignment="1" pivotButton="0" quotePrefix="0" xfId="0">
      <alignment horizontal="general" vertical="bottom"/>
    </xf>
    <xf numFmtId="0" fontId="13" fillId="0" borderId="1" applyAlignment="1" pivotButton="0" quotePrefix="0" xfId="0">
      <alignment horizontal="general" vertical="bottom"/>
    </xf>
    <xf numFmtId="0" fontId="14" fillId="0" borderId="1" applyAlignment="1" pivotButton="0" quotePrefix="0" xfId="0">
      <alignment horizontal="general" vertical="bottom"/>
    </xf>
    <xf numFmtId="167" fontId="15" fillId="0" borderId="1"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167" fontId="15" fillId="0" borderId="0" applyAlignment="1" pivotButton="0" quotePrefix="0" xfId="0">
      <alignment horizontal="general" vertical="bottom"/>
    </xf>
    <xf numFmtId="0" fontId="6" fillId="2" borderId="1" applyAlignment="1" pivotButton="0" quotePrefix="0" xfId="0">
      <alignment horizontal="general" vertical="bottom"/>
    </xf>
    <xf numFmtId="0" fontId="6" fillId="2" borderId="1" applyAlignment="1" pivotButton="0" quotePrefix="0" xfId="0">
      <alignment horizontal="center"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164" fontId="0" fillId="0" borderId="1" applyAlignment="1" pivotButton="0" quotePrefix="0" xfId="0">
      <alignment horizontal="general" vertical="bottom"/>
    </xf>
    <xf numFmtId="164" fontId="10" fillId="0" borderId="1" applyAlignment="1" pivotButton="0" quotePrefix="0" xfId="0">
      <alignment horizontal="general" vertical="bottom"/>
    </xf>
    <xf numFmtId="165" fontId="0" fillId="0" borderId="1" applyAlignment="1" pivotButton="0" quotePrefix="0" xfId="0">
      <alignment horizontal="general" vertical="bottom"/>
    </xf>
    <xf numFmtId="165" fontId="10" fillId="0" borderId="1" applyAlignment="1" pivotButton="0" quotePrefix="0" xfId="0">
      <alignment horizontal="general" vertical="bottom"/>
    </xf>
    <xf numFmtId="0" fontId="0" fillId="4" borderId="1" applyAlignment="1" pivotButton="0" quotePrefix="0" xfId="0">
      <alignment horizontal="general" vertical="bottom"/>
    </xf>
    <xf numFmtId="0" fontId="10" fillId="0" borderId="1" applyAlignment="1" pivotButton="0" quotePrefix="0" xfId="0">
      <alignment horizontal="general" vertical="bottom"/>
    </xf>
    <xf numFmtId="0" fontId="0" fillId="5" borderId="0" applyAlignment="1" pivotButton="0" quotePrefix="0" xfId="0">
      <alignment horizontal="general" vertical="bottom"/>
    </xf>
    <xf numFmtId="0" fontId="5" fillId="0" borderId="0" applyAlignment="1" pivotButton="0" quotePrefix="0" xfId="0">
      <alignment horizontal="general" vertical="top" wrapText="1"/>
    </xf>
    <xf numFmtId="0" fontId="10" fillId="0" borderId="0" applyAlignment="1" pivotButton="0" quotePrefix="0" xfId="0">
      <alignment horizontal="general" vertical="top" wrapText="1"/>
    </xf>
    <xf numFmtId="168" fontId="12" fillId="0" borderId="1" applyAlignment="1" pivotButton="0" quotePrefix="0" xfId="0">
      <alignment horizontal="right" vertical="bottom"/>
    </xf>
    <xf numFmtId="169" fontId="12" fillId="0" borderId="1" applyAlignment="1" pivotButton="0" quotePrefix="0" xfId="0">
      <alignment horizontal="right" vertical="bottom"/>
    </xf>
    <xf numFmtId="168" fontId="10" fillId="5" borderId="1" applyAlignment="1" pivotButton="0" quotePrefix="0" xfId="0">
      <alignment horizontal="right" vertical="bottom"/>
    </xf>
    <xf numFmtId="4" fontId="10" fillId="5" borderId="1" applyAlignment="1" pivotButton="0" quotePrefix="0" xfId="0">
      <alignment horizontal="right" vertical="bottom"/>
    </xf>
    <xf numFmtId="0" fontId="5" fillId="0" borderId="1" applyAlignment="1" pivotButton="0" quotePrefix="0" xfId="0">
      <alignment horizontal="general" vertical="bottom"/>
    </xf>
    <xf numFmtId="4" fontId="8" fillId="0" borderId="1" applyAlignment="1" pivotButton="0" quotePrefix="0" xfId="0">
      <alignment horizontal="right" vertical="bottom"/>
    </xf>
    <xf numFmtId="170" fontId="12" fillId="0" borderId="1" applyAlignment="1" pivotButton="0" quotePrefix="0" xfId="0">
      <alignment horizontal="right" vertical="bottom"/>
    </xf>
    <xf numFmtId="165" fontId="12" fillId="0" borderId="1" applyAlignment="1" pivotButton="0" quotePrefix="0" xfId="0">
      <alignment horizontal="right" vertical="bottom"/>
    </xf>
    <xf numFmtId="165" fontId="10" fillId="5" borderId="1" applyAlignment="1" pivotButton="0" quotePrefix="0" xfId="0">
      <alignment horizontal="right" vertical="bottom"/>
    </xf>
    <xf numFmtId="165" fontId="8" fillId="0" borderId="1" applyAlignment="1" pivotButton="0" quotePrefix="0" xfId="0">
      <alignment horizontal="right" vertical="bottom"/>
    </xf>
    <xf numFmtId="4" fontId="12" fillId="0" borderId="1" applyAlignment="1" pivotButton="0" quotePrefix="0" xfId="0">
      <alignment horizontal="right" vertical="bottom"/>
    </xf>
    <xf numFmtId="0" fontId="9" fillId="0" borderId="0" applyAlignment="1" pivotButton="0" quotePrefix="0" xfId="0">
      <alignment horizontal="general" vertical="top" wrapText="1"/>
    </xf>
    <xf numFmtId="3" fontId="10" fillId="5" borderId="1" applyAlignment="1" pivotButton="0" quotePrefix="0" xfId="0">
      <alignment horizontal="general" vertical="bottom"/>
    </xf>
    <xf numFmtId="3" fontId="8" fillId="5" borderId="1" applyAlignment="1" pivotButton="0" quotePrefix="0" xfId="0">
      <alignment horizontal="general" vertical="bottom"/>
    </xf>
    <xf numFmtId="3" fontId="10" fillId="5" borderId="1" applyAlignment="1" pivotButton="0" quotePrefix="0" xfId="0">
      <alignment horizontal="right" vertical="bottom"/>
    </xf>
    <xf numFmtId="10" fontId="12" fillId="0" borderId="1" applyAlignment="1" pivotButton="0" quotePrefix="0" xfId="0">
      <alignment horizontal="right" vertical="bottom"/>
    </xf>
    <xf numFmtId="0" fontId="0" fillId="0" borderId="5" pivotButton="0" quotePrefix="0" xfId="0"/>
    <xf numFmtId="0" fontId="0" fillId="0" borderId="6" pivotButton="0" quotePrefix="0" xfId="0"/>
    <xf numFmtId="170" fontId="8" fillId="6" borderId="1" applyAlignment="1" pivotButton="0" quotePrefix="0" xfId="0">
      <alignment horizontal="general" vertical="bottom"/>
    </xf>
    <xf numFmtId="0" fontId="5" fillId="0" borderId="2" applyAlignment="1" pivotButton="0" quotePrefix="0" xfId="0">
      <alignment horizontal="general" vertical="top" wrapText="1"/>
    </xf>
    <xf numFmtId="4" fontId="8" fillId="6" borderId="1" applyAlignment="1" pivotButton="0" quotePrefix="0" xfId="0">
      <alignment horizontal="general" vertical="bottom"/>
    </xf>
    <xf numFmtId="169" fontId="8" fillId="6" borderId="1" applyAlignment="1" pivotButton="0" quotePrefix="0" xfId="0">
      <alignment horizontal="general" vertical="bottom"/>
    </xf>
    <xf numFmtId="4" fontId="8" fillId="0" borderId="1" applyAlignment="1" pivotButton="0" quotePrefix="0" xfId="0">
      <alignment horizontal="general" vertical="bottom"/>
    </xf>
    <xf numFmtId="165" fontId="7" fillId="0" borderId="1" applyAlignment="1" pivotButton="0" quotePrefix="0" xfId="0">
      <alignment horizontal="general" vertical="bottom"/>
    </xf>
    <xf numFmtId="0" fontId="5" fillId="0" borderId="2" applyAlignment="1" pivotButton="0" quotePrefix="0" xfId="0">
      <alignment horizontal="general" vertical="bottom"/>
    </xf>
    <xf numFmtId="4" fontId="7" fillId="0" borderId="1" applyAlignment="1" pivotButton="0" quotePrefix="0" xfId="0">
      <alignment horizontal="general" vertical="bottom"/>
    </xf>
    <xf numFmtId="3" fontId="7" fillId="0" borderId="1" applyAlignment="1" pivotButton="0" quotePrefix="0" xfId="0">
      <alignment horizontal="general" vertical="bottom"/>
    </xf>
    <xf numFmtId="169" fontId="7" fillId="0" borderId="1" applyAlignment="1" pivotButton="0" quotePrefix="0" xfId="0">
      <alignment horizontal="general" vertical="bottom"/>
    </xf>
    <xf numFmtId="170" fontId="12" fillId="0" borderId="1" applyAlignment="1" pivotButton="0" quotePrefix="0" xfId="0">
      <alignment horizontal="general" vertical="bottom"/>
    </xf>
    <xf numFmtId="4" fontId="12" fillId="0" borderId="1" applyAlignment="1" pivotButton="0" quotePrefix="0" xfId="0">
      <alignment horizontal="general" vertical="bottom"/>
    </xf>
    <xf numFmtId="168" fontId="7" fillId="0" borderId="1" applyAlignment="1" pivotButton="0" quotePrefix="0" xfId="0">
      <alignment horizontal="general" vertical="bottom"/>
    </xf>
    <xf numFmtId="168" fontId="10" fillId="0" borderId="1" applyAlignment="1" pivotButton="0" quotePrefix="0" xfId="0">
      <alignment horizontal="general" vertical="bottom"/>
    </xf>
    <xf numFmtId="168" fontId="8" fillId="0" borderId="1" applyAlignment="1" pivotButton="0" quotePrefix="0" xfId="0">
      <alignment horizontal="general" vertical="bottom"/>
    </xf>
    <xf numFmtId="168" fontId="12" fillId="0" borderId="1" applyAlignment="1" pivotButton="0" quotePrefix="0" xfId="0">
      <alignment horizontal="general" vertical="bottom"/>
    </xf>
    <xf numFmtId="168" fontId="10" fillId="5" borderId="1" applyAlignment="1" pivotButton="0" quotePrefix="0" xfId="0">
      <alignment horizontal="general" vertical="bottom"/>
    </xf>
    <xf numFmtId="0" fontId="7" fillId="6" borderId="1" applyAlignment="1" pivotButton="0" quotePrefix="0" xfId="0">
      <alignment horizontal="general" vertical="bottom"/>
    </xf>
    <xf numFmtId="0" fontId="10" fillId="6" borderId="1" applyAlignment="1" pivotButton="0" quotePrefix="0" xfId="0">
      <alignment horizontal="general" vertical="bottom"/>
    </xf>
    <xf numFmtId="0" fontId="7" fillId="6" borderId="1" applyAlignment="1" pivotButton="0" quotePrefix="0" xfId="0">
      <alignment horizontal="general" vertical="top" wrapText="1"/>
    </xf>
    <xf numFmtId="0" fontId="8" fillId="6" borderId="1" applyAlignment="1" pivotButton="0" quotePrefix="0" xfId="0">
      <alignment horizontal="general" vertical="bottom"/>
    </xf>
    <xf numFmtId="165" fontId="7" fillId="6" borderId="1" applyAlignment="1" pivotButton="0" quotePrefix="0" xfId="0">
      <alignment horizontal="general" vertical="bottom"/>
    </xf>
    <xf numFmtId="0" fontId="7" fillId="4" borderId="1" applyAlignment="1" pivotButton="0" quotePrefix="0" xfId="0">
      <alignment horizontal="general" vertical="bottom"/>
    </xf>
    <xf numFmtId="0" fontId="10" fillId="4" borderId="1" applyAlignment="1" pivotButton="0" quotePrefix="0" xfId="0">
      <alignment horizontal="general" vertical="bottom"/>
    </xf>
    <xf numFmtId="4" fontId="8" fillId="4" borderId="1" applyAlignment="1" pivotButton="0" quotePrefix="0" xfId="0">
      <alignment horizontal="general" vertical="bottom"/>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7" fillId="3" borderId="1" applyAlignment="1" pivotButton="0" quotePrefix="0" xfId="0">
      <alignment horizontal="general" vertical="bottom"/>
    </xf>
    <xf numFmtId="0" fontId="10" fillId="3" borderId="1" applyAlignment="1" pivotButton="0" quotePrefix="0" xfId="0">
      <alignment horizontal="general" vertical="bottom"/>
    </xf>
    <xf numFmtId="4" fontId="8" fillId="3" borderId="1" applyAlignment="1" pivotButton="0" quotePrefix="0" xfId="0">
      <alignment horizontal="general" vertical="bottom"/>
    </xf>
    <xf numFmtId="0" fontId="8" fillId="3" borderId="1" applyAlignment="1" pivotButton="0" quotePrefix="0" xfId="0">
      <alignment horizontal="general" vertical="bottom"/>
    </xf>
    <xf numFmtId="165" fontId="7" fillId="3" borderId="1" applyAlignment="1" pivotButton="0" quotePrefix="0" xfId="0">
      <alignment horizontal="general" vertical="bottom"/>
    </xf>
    <xf numFmtId="4" fontId="12" fillId="3" borderId="1" applyAlignment="1" pivotButton="0" quotePrefix="0" xfId="0">
      <alignment horizontal="general" vertical="bottom"/>
    </xf>
    <xf numFmtId="169" fontId="12" fillId="0" borderId="1" applyAlignment="1" pivotButton="0" quotePrefix="0" xfId="0">
      <alignment horizontal="general" vertical="bottom"/>
    </xf>
    <xf numFmtId="0" fontId="0" fillId="3" borderId="1" applyAlignment="1" pivotButton="0" quotePrefix="0" xfId="0">
      <alignment horizontal="general" vertical="bottom"/>
    </xf>
    <xf numFmtId="165" fontId="8" fillId="0" borderId="1" applyAlignment="1" pivotButton="0" quotePrefix="0" xfId="0">
      <alignment horizontal="general" vertical="bottom"/>
    </xf>
    <xf numFmtId="0" fontId="0" fillId="0" borderId="0" applyAlignment="1" pivotButton="0" quotePrefix="0" xfId="0">
      <alignment horizontal="general" vertical="bottom"/>
    </xf>
    <xf numFmtId="4" fontId="7" fillId="4" borderId="1" applyAlignment="1" pivotButton="0" quotePrefix="0" xfId="0">
      <alignment horizontal="general" vertical="bottom"/>
    </xf>
    <xf numFmtId="165" fontId="12" fillId="0" borderId="1" applyAlignment="1" pivotButton="0" quotePrefix="0" xfId="0">
      <alignment horizontal="general" vertical="bottom"/>
    </xf>
    <xf numFmtId="0" fontId="0" fillId="6" borderId="1" applyAlignment="1" pivotButton="0" quotePrefix="0" xfId="0">
      <alignment horizontal="general" vertical="bottom"/>
    </xf>
    <xf numFmtId="0" fontId="5" fillId="6" borderId="1" applyAlignment="1" pivotButton="0" quotePrefix="0" xfId="0">
      <alignment horizontal="general" vertical="bottom"/>
    </xf>
    <xf numFmtId="3" fontId="10" fillId="0" borderId="0" applyAlignment="1" pivotButton="0" quotePrefix="0" xfId="0">
      <alignment horizontal="general" vertical="bottom"/>
    </xf>
    <xf numFmtId="3" fontId="12" fillId="0" borderId="1" applyAlignment="1" pivotButton="0" quotePrefix="0" xfId="0">
      <alignment horizontal="general" vertical="bottom"/>
    </xf>
    <xf numFmtId="0" fontId="12" fillId="0" borderId="1" applyAlignment="1" pivotButton="0" quotePrefix="0" xfId="0">
      <alignment horizontal="general" vertical="bottom"/>
    </xf>
    <xf numFmtId="3" fontId="8" fillId="0" borderId="1"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7" fillId="3" borderId="0" applyAlignment="1" pivotButton="0" quotePrefix="0" xfId="0">
      <alignment horizontal="general" vertical="top" wrapText="1"/>
    </xf>
    <xf numFmtId="0" fontId="7" fillId="6" borderId="0" applyAlignment="1" pivotButton="0" quotePrefix="0" xfId="0">
      <alignment horizontal="general" vertical="top" wrapText="1"/>
    </xf>
    <xf numFmtId="0" fontId="7" fillId="4" borderId="0" applyAlignment="1" pivotButton="0" quotePrefix="0" xfId="0">
      <alignment horizontal="general" vertical="top" wrapText="1"/>
    </xf>
    <xf numFmtId="0" fontId="1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A15" authorId="0" shapeId="0">
      <text>
        <t>Freie Zeile für weitere Tools, die Sandy noch ergänzt.</t>
      </text>
    </comment>
    <comment ref="A16" authorId="0" shapeId="0">
      <text>
        <t>Freie Zeile für weitere Tools, die Sandy noch ergänzt.</t>
      </text>
    </comment>
  </commentList>
</comments>
</file>

<file path=xl/comments/comment2.xml><?xml version="1.0" encoding="utf-8"?>
<comments xmlns="http://schemas.openxmlformats.org/spreadsheetml/2006/main">
  <authors>
    <author>Unknown Author</author>
  </authors>
  <commentList>
    <comment ref="P6"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7"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8"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9"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10"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11"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12"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14"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N15" authorId="0" shapeId="0">
      <text>
        <t>Rechnung bündelt mehrere Domains/Positionen unter einer Vertragsnummer — dieser Betrag ist nur der Sofortangebot-Anteil (Brutto), nicht die volle Rechnungssumme. Details in der Notiz-Spalte. Monatsverlauf summiert nach dieser Spalte, nicht nach Brutto-Betrag.</t>
      </text>
    </comment>
    <comment ref="N16" authorId="0" shapeId="0">
      <text>
        <t>Rechnung bündelt mehrere Domains/Positionen unter einer Vertragsnummer — dieser Betrag ist nur der Sofortangebot-Anteil (Brutto), nicht die volle Rechnungssumme. Details in der Notiz-Spalte. Monatsverlauf summiert nach dieser Spalte, nicht nach Brutto-Betrag.</t>
      </text>
    </comment>
    <comment ref="P19"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P20" authorId="0" shapeId="0">
      <text>
        <t>Noch nicht umgerechnet — Umrechnungskurs bewusst nicht erfunden. Bitte mit Steuerberater klären, welcher Stichtags-/Monatskurs für die Buchführung verwendet werden soll (z. B. EZB-Referenzkurs am Rechnungsdatum oder monatlicher BMF-Umrechnungskurs).</t>
      </text>
    </comment>
    <comment ref="A22" authorId="0" shapeId="0">
      <text>
        <t>Ab hier: freie Zeilen für neue Belege. Bitte fortlaufende Beleg-Nr. vergeben (z. B. 2026-018) und nie bestehende Zeilen überschreiben/löschen.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I2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8" customWidth="1" style="213" min="1" max="1"/>
    <col width="20" customWidth="1" style="213" min="2" max="2"/>
    <col width="10" customWidth="1" style="213" min="3" max="3"/>
    <col width="18" customWidth="1" style="213" min="4" max="4"/>
    <col width="30" customWidth="1" style="213" min="5" max="5"/>
    <col width="28" customWidth="1" style="213" min="6" max="6"/>
    <col width="32" customWidth="1" style="213" min="7" max="7"/>
    <col width="24" customWidth="1" style="213" min="8" max="8"/>
    <col width="55" customWidth="1" style="213" min="9" max="9"/>
  </cols>
  <sheetData>
    <row r="1" ht="17.25" customHeight="1" s="116">
      <c r="A1" s="117" t="inlineStr">
        <is>
          <t>Sofortangebot — Laufende Geschäftskosten</t>
        </is>
      </c>
    </row>
    <row r="2" ht="15" customHeight="1" s="116">
      <c r="A2" s="118" t="inlineStr">
        <is>
          <t>Stand: 2026-09-02 · Head of Finance · Bestandsaufnahme CoS-F-001 · Beleg-Details je Rechnung stehen im Blatt 'Rechnungsjournal' · orange = auffällig, bitte klären · grau = noch kein Beleg · Umsatzsteuer-Status aktualisiert 17.09.2026: Regelbesteuerung (Verzicht nach § 19 Abs. 2 UStG), Details in docs/preismodell.md.</t>
        </is>
      </c>
    </row>
    <row r="4" ht="39" customHeight="1" s="116">
      <c r="A4" s="119" t="inlineStr">
        <is>
          <t>Dienst</t>
        </is>
      </c>
      <c r="B4" s="119" t="inlineStr">
        <is>
          <t>Kategorie</t>
        </is>
      </c>
      <c r="C4" s="119" t="inlineStr">
        <is>
          <t>Währung</t>
        </is>
      </c>
      <c r="D4" s="119" t="inlineStr">
        <is>
          <t>Monatsbetrag (aktuellster Beleg, brutto)</t>
        </is>
      </c>
      <c r="E4" s="119" t="inlineStr">
        <is>
          <t>Abrechnungsrhythmus</t>
        </is>
      </c>
      <c r="F4" s="119" t="inlineStr">
        <is>
          <t>Vertragsstand / Kündigungsfrist</t>
        </is>
      </c>
      <c r="G4" s="119" t="inlineStr">
        <is>
          <t>USt-Behandlung</t>
        </is>
      </c>
      <c r="H4" s="119" t="inlineStr">
        <is>
          <t>Status</t>
        </is>
      </c>
      <c r="I4" s="119" t="inlineStr">
        <is>
          <t>Quelle / Notiz</t>
        </is>
      </c>
    </row>
    <row r="5" ht="90" customHeight="1" s="116">
      <c r="A5" s="120" t="inlineStr">
        <is>
          <t>Supabase</t>
        </is>
      </c>
      <c r="B5" s="120" t="inlineStr">
        <is>
          <t>Hosting / Datenbank</t>
        </is>
      </c>
      <c r="C5" s="120" t="inlineStr">
        <is>
          <t>USD</t>
        </is>
      </c>
      <c r="D5" s="121" t="n">
        <v>53.83</v>
      </c>
      <c r="E5" s="120" t="inlineStr">
        <is>
          <t>monatlich: Pro Plan $25 Grundgebühr + nutzungsbasierte Zusatzkosten (Compute, Realtime, Egress, Functions, …)</t>
        </is>
      </c>
      <c r="F5" s="120" t="inlineStr">
        <is>
          <t>2 Projekte laut Doku vorgesehen (Staging + Produktion 'yqlledouhfovytifeekd')</t>
        </is>
      </c>
      <c r="G5" s="120" t="inlineStr">
        <is>
          <t>Reverse Charge (§ 13b UStG, Singapur-Anbieter). AKTUALISIERT 17.09.2026: Mit der Regelbesteuerung (Verzicht nach § 19 Abs. 2 UStG, Entscheidung Sandy vom 17.09.2026) ist die Steuer durchlaufend — angemeldet und im selben Zug als Vorsteuer gezogen, Saldo null. Der Monatsbetrag in Spalte D ist damit der volle Kostenwert.</t>
        </is>
      </c>
      <c r="H5" s="122" t="inlineStr">
        <is>
          <t>auffällig — Betrag bestätigt, Trend + Projektanzahl bitte klären</t>
        </is>
      </c>
      <c r="I5" s="120" t="inlineStr">
        <is>
          <t>4 Belege (Journal 2026-003/006/008/016): 23.05. $25,00 / 23.06. $49,97 / 23.07. $54,30 / 23.08. $53,83 — nach dem Anstieg jetzt erstmals leicht rückläufig. Rechnungen zeigten bis Juli 5 Projekt-Referenzen, dokumentiert sind nur 2; im August-Beleg taucht eine davon erstmals nicht mehr auf (jetzt 4). Bitte weiter beobachten/klären, ob alle nötig sind.</t>
        </is>
      </c>
    </row>
    <row r="6" ht="51.75" customHeight="1" s="116">
      <c r="A6" s="120" t="inlineStr">
        <is>
          <t>Vercel</t>
        </is>
      </c>
      <c r="B6" s="120" t="inlineStr">
        <is>
          <t>Hosting / Deployment</t>
        </is>
      </c>
      <c r="C6" s="120" t="inlineStr">
        <is>
          <t>USD</t>
        </is>
      </c>
      <c r="D6" s="123" t="n">
        <v>23.8</v>
      </c>
      <c r="E6" s="120" t="inlineStr">
        <is>
          <t>monatlich: Pro Plan $20 + 19% USt, seit Juni zusätzlich 'Observability Plus' Position mit $0,00</t>
        </is>
      </c>
      <c r="F6" s="120" t="inlineStr">
        <is>
          <t>Kündigungsfrist unbekannt</t>
        </is>
      </c>
      <c r="G6" s="120" t="inlineStr">
        <is>
          <t>USt. direkt ausgewiesen (EU VAT EU056329113), kein Reverse Charge</t>
        </is>
      </c>
      <c r="H6" s="120" t="inlineStr">
        <is>
          <t>bestätigt</t>
        </is>
      </c>
      <c r="I6" s="120" t="inlineStr">
        <is>
          <t>4 Belege (Journal 2026-002/005/007/015): 22.05., 22.06., 22.07., 22.08. — durchgängig $23,80, stabil. Zahlungsart jetzt bestätigt: Kreditkarte Visa •••3991.</t>
        </is>
      </c>
    </row>
    <row r="7" ht="51.75" customHeight="1" s="116">
      <c r="A7" s="120" t="inlineStr">
        <is>
          <t>Anthropic — direkt</t>
        </is>
      </c>
      <c r="B7" s="120" t="inlineStr">
        <is>
          <t>KI / API</t>
        </is>
      </c>
      <c r="C7" s="120" t="inlineStr">
        <is>
          <t>USD</t>
        </is>
      </c>
      <c r="D7" s="121" t="n">
        <v>53.55</v>
      </c>
      <c r="E7" s="120" t="inlineStr">
        <is>
          <t>unklar — Beleg trägt 'Prepaid extra usage, Individual plan', evtl. einmaliger Nachkauf statt Fixbetrag</t>
        </is>
      </c>
      <c r="F7" s="120" t="inlineStr">
        <is>
          <t>unbekannt</t>
        </is>
      </c>
      <c r="G7" s="120" t="inlineStr">
        <is>
          <t>USt. direkt ausgewiesen (EU VAT IE4276970QH), kein Reverse Charge</t>
        </is>
      </c>
      <c r="H7" s="122" t="inlineStr">
        <is>
          <t>auffällig — bitte klären ob wiederkehrend</t>
        </is>
      </c>
      <c r="I7" s="120" t="inlineStr">
        <is>
          <t>1 Beleg (Journal 2026-010) vom 17.08.2026 über $45,00 + USt = $53,55, Geschäftsadresse Wielandstraße 11, mit hinterlegter deutscher Steuernummer.</t>
        </is>
      </c>
    </row>
    <row r="8" ht="64.5" customHeight="1" s="116">
      <c r="A8" s="120" t="inlineStr">
        <is>
          <t>Claude Pro (Apple/iTunes)</t>
        </is>
      </c>
      <c r="B8" s="120" t="inlineStr">
        <is>
          <t>KI / Software</t>
        </is>
      </c>
      <c r="C8" s="120" t="inlineStr">
        <is>
          <t>EUR</t>
        </is>
      </c>
      <c r="D8" s="124" t="n">
        <v>22</v>
      </c>
      <c r="E8" s="120" t="inlineStr">
        <is>
          <t>monatlich, automatische Verlängerung, Zahlung per PayPal</t>
        </is>
      </c>
      <c r="F8" s="120" t="inlineStr">
        <is>
          <t>monatlich kündbar (Apple-Abo)</t>
        </is>
      </c>
      <c r="G8" s="120" t="inlineStr">
        <is>
          <t>USt. direkt von Apple ausgewiesen, kein Reverse Charge</t>
        </is>
      </c>
      <c r="H8" s="122" t="inlineStr">
        <is>
          <t>auffällig — geschäftlich/privat + fehlende Monate klären</t>
        </is>
      </c>
      <c r="I8" s="120" t="inlineStr">
        <is>
          <t>2 Belege (Journal 2026-001/009): 04.05. und 03.08., je 22,00 € — Juni/Juli-Belege fehlen noch. Separates Abo zur direkten Anthropic-Rechnung, andere Rechnungsadresse (Krampasplatz 4b). Bitte klären: zweite geschäftliche Claude-Lizenz oder privates Abo?</t>
        </is>
      </c>
    </row>
    <row r="9" ht="64.5" customHeight="1" s="116">
      <c r="A9" s="120" t="inlineStr">
        <is>
          <t>OpenAI</t>
        </is>
      </c>
      <c r="B9" s="120" t="inlineStr">
        <is>
          <t>KI / API</t>
        </is>
      </c>
      <c r="C9" s="120" t="inlineStr">
        <is>
          <t>USD</t>
        </is>
      </c>
      <c r="D9" s="123" t="n">
        <v>17.85</v>
      </c>
      <c r="E9" s="120" t="inlineStr">
        <is>
          <t>nutzungsbasiert, Beleg zeigt eine Guthaben-Aufladung ('usage credit'), kein fester Monatsbetrag erkennbar</t>
        </is>
      </c>
      <c r="F9" s="120" t="inlineStr">
        <is>
          <t>unbekannt</t>
        </is>
      </c>
      <c r="G9" s="120" t="inlineStr">
        <is>
          <t>USt. direkt ausgewiesen (EU OSS VAT EU372041333), kein Reverse Charge</t>
        </is>
      </c>
      <c r="H9" s="120" t="inlineStr">
        <is>
          <t>bestätigt</t>
        </is>
      </c>
      <c r="I9" s="120" t="inlineStr">
        <is>
          <t>1 Beleg (Journal 2026-004) vom 14.06.2026 über $15,00 + USt = $17,85. Rechnungsempfänger 'Hugo' / runningwithhugo@outlook.de — ist Sandys eigener Account, Name/E-Mail-Alias lässt sich bei OpenAI nachträglich nicht mehr ändern (geklärt 19.08.2026).</t>
        </is>
      </c>
    </row>
    <row r="10" ht="26.25" customHeight="1" s="116">
      <c r="A10" s="120" t="inlineStr">
        <is>
          <t>Resend</t>
        </is>
      </c>
      <c r="B10" s="120" t="inlineStr">
        <is>
          <t>E-Mail</t>
        </is>
      </c>
      <c r="C10" s="120" t="inlineStr">
        <is>
          <t>?</t>
        </is>
      </c>
      <c r="D10" s="125" t="n"/>
      <c r="E10" s="120" t="inlineStr">
        <is>
          <t>unbekannt</t>
        </is>
      </c>
      <c r="F10" s="120" t="inlineStr">
        <is>
          <t>unbekannt</t>
        </is>
      </c>
      <c r="G10" s="120" t="inlineStr">
        <is>
          <t>unbekannt</t>
        </is>
      </c>
      <c r="H10" s="126" t="inlineStr">
        <is>
          <t>kein Beleg gefunden</t>
        </is>
      </c>
      <c r="I10" s="120" t="inlineStr">
        <is>
          <t>Im Code bestätigt (Paket 'resend', RESEND_API_KEY), aber noch keine Rechnung im Belege-Ordner.</t>
        </is>
      </c>
    </row>
    <row r="11" ht="115.5" customHeight="1" s="116">
      <c r="A11" s="120" t="inlineStr">
        <is>
          <t>Domain sofortangebot.app</t>
        </is>
      </c>
      <c r="B11" s="120" t="inlineStr">
        <is>
          <t>Domain</t>
        </is>
      </c>
      <c r="C11" s="120" t="inlineStr">
        <is>
          <t>EUR</t>
        </is>
      </c>
      <c r="D11" s="127" t="n">
        <v>2.5</v>
      </c>
      <c r="E11" s="120" t="inlineStr">
        <is>
          <t>'IONOS Mail Basic 5' (Postfach) laufend 2,50 €/Monat. Domain .app + 'Domain Guard' (Privatsphärenschutz) jährlich, zusammen 13,00 € brutto — nächste Fälligkeit ~06/2027.</t>
        </is>
      </c>
      <c r="F11" s="120" t="inlineStr">
        <is>
          <t>Vertragsnummer 111811442 bei IONOS SE — Achtung: bündelt auf denselben Rechnungen auch mehrere fremde Domains, siehe Journal</t>
        </is>
      </c>
      <c r="G11" s="120" t="inlineStr">
        <is>
          <t>USt. direkt von IONOS ausgewiesen (USt-IdNr. DE815563912), kein Reverse Charge</t>
        </is>
      </c>
      <c r="H11" s="120" t="inlineStr">
        <is>
          <t>bestätigt</t>
        </is>
      </c>
      <c r="I11" s="120" t="inlineStr">
        <is>
          <t>5 Belege (Journal 2026-011 bis 2026-015/017 — Rechnungsnummern siehe dort) unter einer gebündelten IONOS-Rechnung. Domain sofortangebot.app wurde 08.06.2026 registriert. Sandy hat am 02.09.2026 bestätigt, dass 'Domain Guard' und 'IONOS Mail Basic 5' ebenfalls zu sofortangebot.app gehören. Fremde Domains ('einfach-anfrage.com', 'einfachanfrage-hochzeitsfotografie.de' u. a.) laufen über denselben IONOS-Vertrag, aber NICHT mitgezählt.</t>
        </is>
      </c>
    </row>
    <row r="12" ht="26.25" customHeight="1" s="116">
      <c r="A12" s="120" t="inlineStr">
        <is>
          <t>Sentry</t>
        </is>
      </c>
      <c r="B12" s="120" t="inlineStr">
        <is>
          <t>Monitoring / Error-Tracking</t>
        </is>
      </c>
      <c r="C12" s="120" t="inlineStr">
        <is>
          <t>?</t>
        </is>
      </c>
      <c r="D12" s="125" t="n"/>
      <c r="E12" s="120" t="inlineStr">
        <is>
          <t>unbekannt</t>
        </is>
      </c>
      <c r="F12" s="120" t="inlineStr">
        <is>
          <t>unbekannt</t>
        </is>
      </c>
      <c r="G12" s="120" t="inlineStr">
        <is>
          <t>unbekannt</t>
        </is>
      </c>
      <c r="H12" s="126" t="inlineStr">
        <is>
          <t>kein Beleg gefunden</t>
        </is>
      </c>
      <c r="I12" s="120" t="inlineStr">
        <is>
          <t>Im Code gefunden ('@sentry/nextjs'), nicht in Sandys Ausgangsliste, noch keine Rechnung im Ordner.</t>
        </is>
      </c>
    </row>
    <row r="13" ht="39" customHeight="1" s="116">
      <c r="A13" s="120" t="inlineStr">
        <is>
          <t>Stripe</t>
        </is>
      </c>
      <c r="B13" s="120" t="inlineStr">
        <is>
          <t>Zahlungsabwicklung</t>
        </is>
      </c>
      <c r="C13" s="120" t="inlineStr">
        <is>
          <t>?</t>
        </is>
      </c>
      <c r="D13" s="125" t="n"/>
      <c r="E13" s="120" t="inlineStr">
        <is>
          <t>transaktionsbasiert (keine feste Monatsgebühr erwartet)</t>
        </is>
      </c>
      <c r="F13" s="120" t="inlineStr">
        <is>
          <t>unbekannt</t>
        </is>
      </c>
      <c r="G13" s="120" t="inlineStr">
        <is>
          <t>unbekannt</t>
        </is>
      </c>
      <c r="H13" s="126" t="inlineStr">
        <is>
          <t>kein Beleg erwartet</t>
        </is>
      </c>
      <c r="I13" s="120" t="inlineStr">
        <is>
          <t>Im Code bestätigt ('stripe' Paket). Gebühren pro Transaktion statt Fixkosten — relevant erst mit Umsatz-Tracking in Phase 2.</t>
        </is>
      </c>
    </row>
    <row r="14" ht="39" customHeight="1" s="116">
      <c r="A14" s="120" t="inlineStr">
        <is>
          <t>GitHub Actions (Backup-Artefakte)</t>
        </is>
      </c>
      <c r="B14" s="120" t="inlineStr">
        <is>
          <t>CI / Infra</t>
        </is>
      </c>
      <c r="C14" s="120" t="inlineStr">
        <is>
          <t>?</t>
        </is>
      </c>
      <c r="D14" s="125" t="n"/>
      <c r="E14" s="120" t="inlineStr">
        <is>
          <t>nutzungsbasiert (Speicher/Minuten)</t>
        </is>
      </c>
      <c r="F14" s="120" t="inlineStr">
        <is>
          <t>abhängig vom GitHub-Plan</t>
        </is>
      </c>
      <c r="G14" s="120" t="inlineStr">
        <is>
          <t>unbekannt</t>
        </is>
      </c>
      <c r="H14" s="126" t="inlineStr">
        <is>
          <t>zu prüfen</t>
        </is>
      </c>
      <c r="I14" s="120" t="inlineStr">
        <is>
          <t>Tägliches DB-Backup speichert Artefakte 30/90/365 Tage. Kann bei privatem Repo über das Freikontingent hinaus Kosten verursachen — noch kein Beleg.</t>
        </is>
      </c>
    </row>
    <row r="15" ht="15" customHeight="1" s="116">
      <c r="A15" s="126" t="n"/>
      <c r="B15" s="120" t="n"/>
      <c r="C15" s="120" t="n"/>
      <c r="D15" s="128" t="n"/>
      <c r="E15" s="120" t="n"/>
      <c r="F15" s="120" t="n"/>
      <c r="G15" s="120" t="n"/>
      <c r="H15" s="120" t="n"/>
      <c r="I15" s="120" t="n"/>
    </row>
    <row r="16" ht="15" customHeight="1" s="116">
      <c r="A16" s="120" t="inlineStr">
        <is>
          <t>DIN Media — VOB Gesamtausgabe 2019 (E-Book)</t>
        </is>
      </c>
      <c r="B16" s="120" t="inlineStr">
        <is>
          <t>Fachliteratur — einmalig</t>
        </is>
      </c>
      <c r="C16" s="120" t="inlineStr">
        <is>
          <t>EUR einmalig</t>
        </is>
      </c>
      <c r="D16" s="127" t="n"/>
      <c r="E16" s="120" t="inlineStr">
        <is>
          <t>einmalig, 54,00 € brutto am 04.09.2026 (Beleg 2026-018)</t>
        </is>
      </c>
      <c r="F16" s="120" t="inlineStr">
        <is>
          <t>kein Vertrag, Einmalkauf</t>
        </is>
      </c>
      <c r="G16" s="120" t="inlineStr">
        <is>
          <t>USt. 7 % ermaessigt (E-Book), von DIN Media ausgewiesen</t>
        </is>
      </c>
      <c r="H16" s="120" t="inlineStr">
        <is>
          <t>bestätigt — kein laufender Posten, steht deshalb ohne Monatsbetrag und faellt nicht in die Monatssummen</t>
        </is>
      </c>
      <c r="I16" s="120" t="n"/>
    </row>
    <row r="18" ht="15" customHeight="1" s="116">
      <c r="A18" s="129" t="inlineStr">
        <is>
          <t>Summe USD-Positionen (siehe Status-Spalte für Vorbehalte)</t>
        </is>
      </c>
      <c r="B18" s="130" t="n"/>
      <c r="C18" s="130" t="n"/>
      <c r="D18" s="131">
        <f>SUMIF(C5:C16,"USD",D5:D16)</f>
        <v/>
      </c>
      <c r="E18" s="130" t="n"/>
      <c r="F18" s="130" t="n"/>
      <c r="G18" s="130" t="n"/>
      <c r="H18" s="130" t="n"/>
      <c r="I18" s="130" t="n"/>
    </row>
    <row r="19" ht="15" customHeight="1" s="116">
      <c r="A19" s="129" t="inlineStr">
        <is>
          <t>Summe EUR-Positionen (siehe Status-Spalte für Vorbehalte)</t>
        </is>
      </c>
      <c r="B19" s="130" t="n"/>
      <c r="C19" s="130" t="n"/>
      <c r="D19" s="132">
        <f>SUMIF(C5:C16,"EUR",D5:D16)</f>
        <v/>
      </c>
      <c r="E19" s="130" t="n"/>
      <c r="F19" s="130" t="n"/>
      <c r="G19" s="130" t="n"/>
      <c r="H19" s="130" t="n"/>
      <c r="I19" s="130" t="n"/>
    </row>
    <row r="20" ht="15" customHeight="1" s="116">
      <c r="A20" s="133" t="inlineStr">
        <is>
          <t>Summe gesamt in EUR (USD-Positionen zum BMF-Kurs August 2026)</t>
        </is>
      </c>
      <c r="D20" s="134">
        <f>D19+D18/Rechnungsjournal!$B$42</f>
        <v/>
      </c>
    </row>
    <row r="21" ht="15" customHeight="1" s="116">
      <c r="A21" s="118" t="inlineStr">
        <is>
          <t>Hinweis: USD- und EUR-Positionen werden weiterhin getrennt summiert, weil die Belege in unterschiedlichen Währungen vorliegen. Die Gesamtsumme in EUR rechnet die USD-Positionen mit dem amtlichen BMF-Umsatzsteuer-Umrechnungskurs des jeweils letzten Monats um (§ 16 Abs. 6 UStG) — die Kurse stehen im Blatt 'Rechnungsjournal' unter der Journaltabelle. Beleg-Details je Rechnung (Rechnungsnummer, Netto/USt/Brutto, Beleg-Datei) stehen ebenfalls im Blatt 'Rechnungsjournal'.</t>
        </is>
      </c>
    </row>
  </sheetData>
  <mergeCells count="3">
    <mergeCell ref="A1:I1"/>
    <mergeCell ref="A2:I2"/>
    <mergeCell ref="A21:I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T4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0" zeroHeight="0" outlineLevelRow="0"/>
  <cols>
    <col width="11" customWidth="1" style="213" min="1" max="1"/>
    <col width="13" customWidth="1" style="213" min="2" max="2"/>
    <col width="20" customWidth="1" style="213" min="3" max="3"/>
    <col width="26" customWidth="1" style="213" min="4" max="5"/>
    <col width="12" customWidth="1" style="213" min="6" max="6"/>
    <col width="22" customWidth="1" style="213" min="7" max="7"/>
    <col width="34" customWidth="1" style="213" min="8" max="8"/>
    <col width="10" customWidth="1" style="213" min="9" max="9"/>
    <col width="13" customWidth="1" style="213" min="10" max="11"/>
    <col width="12" customWidth="1" style="213" min="12" max="12"/>
    <col width="13" customWidth="1" style="213" min="13" max="13"/>
    <col width="16" customWidth="1" style="213" min="14" max="14"/>
    <col width="34" customWidth="1" style="213" min="15" max="15"/>
    <col width="16" customWidth="1" style="213" min="16" max="17"/>
    <col width="30" customWidth="1" style="213" min="18" max="18"/>
    <col width="42" customWidth="1" style="213" min="19" max="19"/>
  </cols>
  <sheetData>
    <row r="1" ht="17.25" customHeight="1" s="116">
      <c r="A1" s="117" t="inlineStr">
        <is>
          <t>Rechnungsjournal — Belege im Detail (für Buchhaltung / Steuerberater)</t>
        </is>
      </c>
    </row>
    <row r="2" ht="15" customHeight="1" s="116">
      <c r="A2" s="118" t="inlineStr">
        <is>
          <t>Ein Beleg = eine Zeile, chronologisch. Enthält alles, was ein Steuerberater für die Verbuchung braucht: Rechnungsnummer, Leistungszeitraum, Netto/USt/Brutto, steuerliche Einordnung (Reverse Charge ja/nein), Zahlungsart und die Original-Beleg-Datei im Rechnungen-Ordner. Bitte Zeilen hier nie überschreiben, nur neue anhängen (Nachvollziehbarkeit).</t>
        </is>
      </c>
    </row>
    <row r="4" ht="26.25" customHeight="1" s="116">
      <c r="A4" s="119" t="inlineStr">
        <is>
          <t>Beleg-Nr.</t>
        </is>
      </c>
      <c r="B4" s="119" t="inlineStr">
        <is>
          <t>Rechnungsdatum</t>
        </is>
      </c>
      <c r="C4" s="119" t="inlineStr">
        <is>
          <t>Rechnungsnr. (Anbieter)</t>
        </is>
      </c>
      <c r="D4" s="119" t="inlineStr">
        <is>
          <t>Leistungszeitraum</t>
        </is>
      </c>
      <c r="E4" s="119" t="inlineStr">
        <is>
          <t>Anbieter</t>
        </is>
      </c>
      <c r="F4" s="119" t="inlineStr">
        <is>
          <t>Anbieter-Land</t>
        </is>
      </c>
      <c r="G4" s="119" t="inlineStr">
        <is>
          <t>Dienst</t>
        </is>
      </c>
      <c r="H4" s="119" t="inlineStr">
        <is>
          <t>Rechnungsempfänger lt. Beleg</t>
        </is>
      </c>
      <c r="I4" s="119" t="inlineStr">
        <is>
          <t>Währung</t>
        </is>
      </c>
      <c r="J4" s="119" t="inlineStr">
        <is>
          <t>Netto-Betrag</t>
        </is>
      </c>
      <c r="K4" s="119" t="inlineStr">
        <is>
          <t>USt-Satz</t>
        </is>
      </c>
      <c r="L4" s="119" t="inlineStr">
        <is>
          <t>USt-Betrag</t>
        </is>
      </c>
      <c r="M4" s="119" t="inlineStr">
        <is>
          <t>Brutto-Betrag</t>
        </is>
      </c>
      <c r="N4" s="119" t="inlineStr">
        <is>
          <t>Sofortangebot-Anteil (Brutto)</t>
        </is>
      </c>
      <c r="O4" s="119" t="inlineStr">
        <is>
          <t>Steuerliche Einordnung</t>
        </is>
      </c>
      <c r="P4" s="119" t="inlineStr">
        <is>
          <t>Betrag EUR (Brutto, ca.)</t>
        </is>
      </c>
      <c r="Q4" s="119" t="inlineStr">
        <is>
          <t>Zahlungsart</t>
        </is>
      </c>
      <c r="R4" s="119" t="inlineStr">
        <is>
          <t>Beleg-Datei (Ordner 'Rechnungen')</t>
        </is>
      </c>
      <c r="S4" s="119" t="inlineStr">
        <is>
          <t>Auffälligkeit / Notiz</t>
        </is>
      </c>
      <c r="T4" s="119" t="inlineStr">
        <is>
          <t>Vorsteuer EUR (erst ab Regelbesteuerung, F-006 = B)</t>
        </is>
      </c>
    </row>
    <row r="5" ht="64.5" customHeight="1" s="116">
      <c r="A5" s="120" t="inlineStr">
        <is>
          <t>2026-001</t>
        </is>
      </c>
      <c r="B5" s="135" t="n">
        <v>46146</v>
      </c>
      <c r="C5" s="120" t="inlineStr">
        <is>
          <t>MVS2VFHBYG / Dok. 846129332588</t>
        </is>
      </c>
      <c r="D5" s="120" t="inlineStr">
        <is>
          <t>04.05.–03.06.2026 (Abo-Monat)</t>
        </is>
      </c>
      <c r="E5" s="120" t="inlineStr">
        <is>
          <t>Apple Distribution International Ltd. (Vertrieb für Claude Pro)</t>
        </is>
      </c>
      <c r="F5" s="120" t="inlineStr">
        <is>
          <t>Irland</t>
        </is>
      </c>
      <c r="G5" s="120" t="inlineStr">
        <is>
          <t>Claude Pro (Apple/iTunes)</t>
        </is>
      </c>
      <c r="H5" s="120" t="inlineStr">
        <is>
          <t>Sandra Holm, Krampasplatz 4b, 14199 Berlin</t>
        </is>
      </c>
      <c r="I5" s="120" t="inlineStr">
        <is>
          <t>EUR</t>
        </is>
      </c>
      <c r="J5" s="127" t="n">
        <v>18.49</v>
      </c>
      <c r="K5" s="136" t="n">
        <v>0.19</v>
      </c>
      <c r="L5" s="127" t="n">
        <v>3.51</v>
      </c>
      <c r="M5" s="127" t="n">
        <v>22</v>
      </c>
      <c r="N5" s="127" t="n">
        <v>22</v>
      </c>
      <c r="O5" s="120" t="inlineStr">
        <is>
          <t>USt. (19%) direkt von Apple ausgewiesen, kein Reverse Charge.</t>
        </is>
      </c>
      <c r="P5" s="137">
        <f>M5</f>
        <v/>
      </c>
      <c r="Q5" s="120" t="inlineStr">
        <is>
          <t>PayPal</t>
        </is>
      </c>
      <c r="R5" s="120" t="inlineStr">
        <is>
          <t>Deine Rechnung von Apple.eml</t>
        </is>
      </c>
      <c r="S5" s="138" t="inlineStr">
        <is>
          <t>Abo verlängert sich automatisch monatlich. Rechnungsadresse weicht von den übrigen Belegen ab (Krampasplatz 4b statt Wielandstraße 11) — bitte klären, welche Adresse aktuell/richtig ist.</t>
        </is>
      </c>
      <c r="T5" s="138">
        <f>ROUND(L5,2)</f>
        <v/>
      </c>
    </row>
    <row r="6" ht="51.75" customHeight="1" s="116">
      <c r="A6" s="120" t="inlineStr">
        <is>
          <t>2026-002</t>
        </is>
      </c>
      <c r="B6" s="135" t="n">
        <v>46164</v>
      </c>
      <c r="C6" s="120" t="inlineStr">
        <is>
          <t>TT0BDQ8S-0001</t>
        </is>
      </c>
      <c r="D6" s="120" t="inlineStr">
        <is>
          <t>22.05.–21.06.2026</t>
        </is>
      </c>
      <c r="E6" s="120" t="inlineStr">
        <is>
          <t>Vercel Inc.</t>
        </is>
      </c>
      <c r="F6" s="120" t="inlineStr">
        <is>
          <t>USA</t>
        </is>
      </c>
      <c r="G6" s="120" t="inlineStr">
        <is>
          <t>Vercel</t>
        </is>
      </c>
      <c r="H6" s="120" t="inlineStr">
        <is>
          <t>einfachanfrage's projects, Wielandstraße 11, 12159 Berlin (einfachanfrage@outlook.com)</t>
        </is>
      </c>
      <c r="I6" s="120" t="inlineStr">
        <is>
          <t>USD</t>
        </is>
      </c>
      <c r="J6" s="123" t="n">
        <v>20</v>
      </c>
      <c r="K6" s="136" t="n">
        <v>0.19</v>
      </c>
      <c r="L6" s="123" t="n">
        <v>3.8</v>
      </c>
      <c r="M6" s="123" t="n">
        <v>23.8</v>
      </c>
      <c r="N6" s="123" t="n">
        <v>23.8</v>
      </c>
      <c r="O6" s="120" t="inlineStr">
        <is>
          <t>USt. (19%) direkt von Vercel ausgewiesen (EU VAT EU056329113), kein Reverse Charge.</t>
        </is>
      </c>
      <c r="P6" s="137">
        <f>M6/$B$39</f>
        <v/>
      </c>
      <c r="Q6" s="120" t="inlineStr">
        <is>
          <t>Kreditkarte Visa •••3991</t>
        </is>
      </c>
      <c r="R6" s="120" t="inlineStr">
        <is>
          <t>Invoice-TT0BDQ8S-0001.pdf / Receipt-2392-5328.pdf</t>
        </is>
      </c>
      <c r="S6" s="138" t="inlineStr">
        <is>
          <t>Zahlungsart nachträglich ergänzt (Update 2026-09-02) anhand Zahlungsbeleg Receipt-2392-5328.pdf.</t>
        </is>
      </c>
      <c r="T6" s="138">
        <f>ROUND(L6/$B$39,2)</f>
        <v/>
      </c>
    </row>
    <row r="7" ht="178.5" customHeight="1" s="116">
      <c r="A7" s="120" t="inlineStr">
        <is>
          <t>2026-003</t>
        </is>
      </c>
      <c r="B7" s="135" t="n">
        <v>46165</v>
      </c>
      <c r="C7" s="120" t="inlineStr">
        <is>
          <t>MVGOOM-00003</t>
        </is>
      </c>
      <c r="D7" s="120" t="inlineStr">
        <is>
          <t>23.05.–22.06.2026</t>
        </is>
      </c>
      <c r="E7" s="120" t="inlineStr">
        <is>
          <t>Supabase Pte. Ltd.</t>
        </is>
      </c>
      <c r="F7" s="120" t="inlineStr">
        <is>
          <t>Singapur</t>
        </is>
      </c>
      <c r="G7" s="120" t="inlineStr">
        <is>
          <t>Supabase</t>
        </is>
      </c>
      <c r="H7" s="120" t="inlineStr">
        <is>
          <t>Sandra Holm, Wielandstraße 11, Berlin (einfachanfrage@outlook.com)</t>
        </is>
      </c>
      <c r="I7" s="120" t="inlineStr">
        <is>
          <t>USD</t>
        </is>
      </c>
      <c r="J7" s="123" t="n">
        <v>25</v>
      </c>
      <c r="K7" s="120" t="inlineStr">
        <is>
          <t>Reverse Charge</t>
        </is>
      </c>
      <c r="L7" s="123" t="n">
        <v>0</v>
      </c>
      <c r="M7" s="123" t="n">
        <v>25</v>
      </c>
      <c r="N7" s="123" t="n">
        <v>25</v>
      </c>
      <c r="O7" s="120" t="inlineStr">
        <is>
          <t>Reverse Charge — Supabase weist keine USt aus. Sandy startet als Kleinunternehmerin nach §19 UStG (bestätigt 19.08.2026), Gewerbe aber noch nicht angemeldet. Nach Kleinunternehmerregelung i. d. R. keine Vorsteuer ziehbar, aber die USt-Pflicht auf reverse-charge-Leistungen aus dem Ausland (§13b UStG) kann trotzdem bestehen bleiben — das ist keine verbindliche Auskunft von mir, bitte mit Steuerberater final klären, sobald einer feststeht.</t>
        </is>
      </c>
      <c r="P7" s="137">
        <f>M7/$B$39</f>
        <v/>
      </c>
      <c r="Q7" s="120" t="inlineStr">
        <is>
          <t>unbekannt</t>
        </is>
      </c>
      <c r="R7" s="120" t="inlineStr">
        <is>
          <t>Invoice-MVGOOM-00003.pdf</t>
        </is>
      </c>
      <c r="S7" s="138" t="inlineStr">
        <is>
          <t>Nur Pro-Plan-Grundgebühr, keine Nutzungsgebühren in diesem Monat.</t>
        </is>
      </c>
      <c r="T7" s="138" t="inlineStr">
        <is>
          <t>0,00 (durchlaufend)</t>
        </is>
      </c>
    </row>
    <row r="8" ht="90" customHeight="1" s="116">
      <c r="A8" s="120" t="inlineStr">
        <is>
          <t>2026-004</t>
        </is>
      </c>
      <c r="B8" s="135" t="n">
        <v>46187</v>
      </c>
      <c r="C8" s="120" t="inlineStr">
        <is>
          <t>YL9K6L19-0001</t>
        </is>
      </c>
      <c r="D8" s="120" t="inlineStr">
        <is>
          <t>—</t>
        </is>
      </c>
      <c r="E8" s="120" t="inlineStr">
        <is>
          <t>OpenAI OpCo, LLC</t>
        </is>
      </c>
      <c r="F8" s="120" t="inlineStr">
        <is>
          <t>USA</t>
        </is>
      </c>
      <c r="G8" s="120" t="inlineStr">
        <is>
          <t>OpenAI</t>
        </is>
      </c>
      <c r="H8" s="120" t="inlineStr">
        <is>
          <t>Hugo, Wielandstraße 11, 12159 Berlin (runningwithhugo@outlook.de)</t>
        </is>
      </c>
      <c r="I8" s="120" t="inlineStr">
        <is>
          <t>USD</t>
        </is>
      </c>
      <c r="J8" s="123" t="n">
        <v>15</v>
      </c>
      <c r="K8" s="136" t="n">
        <v>0.19</v>
      </c>
      <c r="L8" s="123" t="n">
        <v>2.85</v>
      </c>
      <c r="M8" s="123" t="n">
        <v>17.85</v>
      </c>
      <c r="N8" s="123" t="n">
        <v>17.85</v>
      </c>
      <c r="O8" s="120" t="inlineStr">
        <is>
          <t>USt. (19%) direkt von OpenAI ausgewiesen (EU OSS VAT EU372041333), kein Reverse Charge.</t>
        </is>
      </c>
      <c r="P8" s="137">
        <f>M8/$B$40</f>
        <v/>
      </c>
      <c r="Q8" s="120" t="inlineStr">
        <is>
          <t>unbekannt</t>
        </is>
      </c>
      <c r="R8" s="120" t="inlineStr">
        <is>
          <t>Invoice-YL9K6L19-0001.pdf</t>
        </is>
      </c>
      <c r="S8" s="138" t="inlineStr">
        <is>
          <t>Geklärt (19.08.2026): Konto gehört Sandy, 'Hugo' ist ein historischer Nutzername/E-Mail-Alias bei OpenAI, der sich im Nachhinein nicht mehr auf 'Sandra Holm' ändern lässt. Kein falscher Account — nur zur Info für den Steuerberater vermerkt, falls Name/E-Mail auf dem Beleg auffallen.</t>
        </is>
      </c>
      <c r="T8" s="138">
        <f>ROUND(L8/$B$40,2)</f>
        <v/>
      </c>
    </row>
    <row r="9" ht="64.5" customHeight="1" s="116">
      <c r="A9" s="120" t="inlineStr">
        <is>
          <t>2026-005</t>
        </is>
      </c>
      <c r="B9" s="135" t="n">
        <v>46195</v>
      </c>
      <c r="C9" s="120" t="inlineStr">
        <is>
          <t>TT0BDQ8S-0003</t>
        </is>
      </c>
      <c r="D9" s="120" t="inlineStr">
        <is>
          <t>22.06.–21.07.2026</t>
        </is>
      </c>
      <c r="E9" s="120" t="inlineStr">
        <is>
          <t>Vercel Inc.</t>
        </is>
      </c>
      <c r="F9" s="120" t="inlineStr">
        <is>
          <t>USA</t>
        </is>
      </c>
      <c r="G9" s="120" t="inlineStr">
        <is>
          <t>Vercel</t>
        </is>
      </c>
      <c r="H9" s="120" t="inlineStr">
        <is>
          <t>einfachanfrage's projects, Wielandstraße 11, 12159 Berlin (einfachanfrage@outlook.com)</t>
        </is>
      </c>
      <c r="I9" s="120" t="inlineStr">
        <is>
          <t>USD</t>
        </is>
      </c>
      <c r="J9" s="123" t="n">
        <v>20</v>
      </c>
      <c r="K9" s="136" t="n">
        <v>0.19</v>
      </c>
      <c r="L9" s="123" t="n">
        <v>3.8</v>
      </c>
      <c r="M9" s="123" t="n">
        <v>23.8</v>
      </c>
      <c r="N9" s="123" t="n">
        <v>23.8</v>
      </c>
      <c r="O9" s="120" t="inlineStr">
        <is>
          <t>USt. (19%) direkt von Vercel ausgewiesen (EU VAT EU056329113), kein Reverse Charge.</t>
        </is>
      </c>
      <c r="P9" s="137">
        <f>M9/$B$40</f>
        <v/>
      </c>
      <c r="Q9" s="120" t="inlineStr">
        <is>
          <t>Kreditkarte Visa •••3991</t>
        </is>
      </c>
      <c r="R9" s="120" t="inlineStr">
        <is>
          <t>Invoice-TT0BDQ8S-0003.pdf / Receipt-2268-5813.pdf</t>
        </is>
      </c>
      <c r="S9" s="138" t="inlineStr">
        <is>
          <t>Zusätzliche Position 'Observability Plus' mit $0,00 seit diesem Monat. Zahlungsart nachträglich ergänzt (Update 2026-09-02) anhand Zahlungsbeleg Receipt-2268-5813.pdf.</t>
        </is>
      </c>
      <c r="T9" s="138">
        <f>ROUND(L9/$B$40,2)</f>
        <v/>
      </c>
    </row>
    <row r="10" ht="178.5" customHeight="1" s="116">
      <c r="A10" s="120" t="inlineStr">
        <is>
          <t>2026-006</t>
        </is>
      </c>
      <c r="B10" s="135" t="n">
        <v>46196</v>
      </c>
      <c r="C10" s="120" t="inlineStr">
        <is>
          <t>MVGOOM-00005</t>
        </is>
      </c>
      <c r="D10" s="120" t="inlineStr">
        <is>
          <t>23.05.–22.06.2026 (Nutzung) + 23.06.–22.07.2026 (Pro Plan)</t>
        </is>
      </c>
      <c r="E10" s="120" t="inlineStr">
        <is>
          <t>Supabase Pte. Ltd.</t>
        </is>
      </c>
      <c r="F10" s="120" t="inlineStr">
        <is>
          <t>Singapur</t>
        </is>
      </c>
      <c r="G10" s="120" t="inlineStr">
        <is>
          <t>Supabase</t>
        </is>
      </c>
      <c r="H10" s="120" t="inlineStr">
        <is>
          <t>Sandra Holm, Wielandstraße 11, Berlin (einfachanfrage@outlook.com)</t>
        </is>
      </c>
      <c r="I10" s="120" t="inlineStr">
        <is>
          <t>USD</t>
        </is>
      </c>
      <c r="J10" s="123" t="n">
        <v>49.97</v>
      </c>
      <c r="K10" s="120" t="inlineStr">
        <is>
          <t>Reverse Charge</t>
        </is>
      </c>
      <c r="L10" s="123" t="n">
        <v>0</v>
      </c>
      <c r="M10" s="123" t="n">
        <v>49.97</v>
      </c>
      <c r="N10" s="123" t="n">
        <v>49.97</v>
      </c>
      <c r="O10" s="120" t="inlineStr">
        <is>
          <t>Reverse Charge — Supabase weist keine USt aus. Sandy startet als Kleinunternehmerin nach §19 UStG (bestätigt 19.08.2026), Gewerbe aber noch nicht angemeldet. Nach Kleinunternehmerregelung i. d. R. keine Vorsteuer ziehbar, aber die USt-Pflicht auf reverse-charge-Leistungen aus dem Ausland (§13b UStG) kann trotzdem bestehen bleiben — das ist keine verbindliche Auskunft von mir, bitte mit Steuerberater final klären, sobald einer feststeht.</t>
        </is>
      </c>
      <c r="P10" s="137">
        <f>M10/$B$40</f>
        <v/>
      </c>
      <c r="Q10" s="120" t="inlineStr">
        <is>
          <t>unbekannt</t>
        </is>
      </c>
      <c r="R10" s="120" t="inlineStr">
        <is>
          <t>Invoice-MVGOOM-00005.pdf / Receipt-MVGOOM-00005.pdf</t>
        </is>
      </c>
      <c r="S10" s="138" t="inlineStr">
        <is>
          <t>Erstmals nennenswerte Nutzungsgebühren (Compute Hours) zusätzlich zur Pro-Plan-Grundgebühr. Zahlungsbeleg (Receipt-MVGOOM-00005.pdf) nachträglich ergänzt (Update 2026-09-02), keine neue Zeile — identischer Betrag/Zeitraum wie diese Rechnung.</t>
        </is>
      </c>
      <c r="T10" s="138" t="inlineStr">
        <is>
          <t>0,00 (durchlaufend)</t>
        </is>
      </c>
    </row>
    <row r="11" ht="51.75" customHeight="1" s="116">
      <c r="A11" s="120" t="inlineStr">
        <is>
          <t>2026-007</t>
        </is>
      </c>
      <c r="B11" s="135" t="n">
        <v>46225</v>
      </c>
      <c r="C11" s="120" t="inlineStr">
        <is>
          <t>TT0BDQ8S-0004</t>
        </is>
      </c>
      <c r="D11" s="120" t="inlineStr">
        <is>
          <t>22.07.–21.08.2026</t>
        </is>
      </c>
      <c r="E11" s="120" t="inlineStr">
        <is>
          <t>Vercel Inc.</t>
        </is>
      </c>
      <c r="F11" s="120" t="inlineStr">
        <is>
          <t>USA</t>
        </is>
      </c>
      <c r="G11" s="120" t="inlineStr">
        <is>
          <t>Vercel</t>
        </is>
      </c>
      <c r="H11" s="120" t="inlineStr">
        <is>
          <t>einfachanfrage's projects, Wielandstraße 11, 12159 Berlin (einfachanfrage@outlook.com)</t>
        </is>
      </c>
      <c r="I11" s="120" t="inlineStr">
        <is>
          <t>USD</t>
        </is>
      </c>
      <c r="J11" s="123" t="n">
        <v>20</v>
      </c>
      <c r="K11" s="136" t="n">
        <v>0.19</v>
      </c>
      <c r="L11" s="123" t="n">
        <v>3.8</v>
      </c>
      <c r="M11" s="123" t="n">
        <v>23.8</v>
      </c>
      <c r="N11" s="123" t="n">
        <v>23.8</v>
      </c>
      <c r="O11" s="120" t="inlineStr">
        <is>
          <t>USt. (19%) direkt von Vercel ausgewiesen (EU VAT EU056329113), kein Reverse Charge.</t>
        </is>
      </c>
      <c r="P11" s="137">
        <f>M11/$B$41</f>
        <v/>
      </c>
      <c r="Q11" s="120" t="inlineStr">
        <is>
          <t>Kreditkarte Visa •••3991</t>
        </is>
      </c>
      <c r="R11" s="120" t="inlineStr">
        <is>
          <t>Invoice-TT0BDQ8S-0004.pdf / Receipt-2842-3830.pdf</t>
        </is>
      </c>
      <c r="S11" s="138" t="inlineStr">
        <is>
          <t>Zahlungsart nachträglich ergänzt (Update 2026-09-02) anhand Zahlungsbeleg Receipt-2842-3830.pdf.</t>
        </is>
      </c>
      <c r="T11" s="138">
        <f>ROUND(L11/$B$41,2)</f>
        <v/>
      </c>
    </row>
    <row r="12" ht="178.5" customHeight="1" s="116">
      <c r="A12" s="120" t="inlineStr">
        <is>
          <t>2026-008</t>
        </is>
      </c>
      <c r="B12" s="135" t="n">
        <v>46226</v>
      </c>
      <c r="C12" s="120" t="inlineStr">
        <is>
          <t>MVGOOM-00006</t>
        </is>
      </c>
      <c r="D12" s="120" t="inlineStr">
        <is>
          <t>23.06.–22.07.2026 (Nutzung) + 23.07.–22.08.2026 (Pro Plan)</t>
        </is>
      </c>
      <c r="E12" s="120" t="inlineStr">
        <is>
          <t>Supabase Pte. Ltd.</t>
        </is>
      </c>
      <c r="F12" s="120" t="inlineStr">
        <is>
          <t>Singapur</t>
        </is>
      </c>
      <c r="G12" s="120" t="inlineStr">
        <is>
          <t>Supabase</t>
        </is>
      </c>
      <c r="H12" s="120" t="inlineStr">
        <is>
          <t>Sandra Holm, Wielandstraße 11, Berlin (einfachanfrage@outlook.com)</t>
        </is>
      </c>
      <c r="I12" s="120" t="inlineStr">
        <is>
          <t>USD</t>
        </is>
      </c>
      <c r="J12" s="123" t="n">
        <v>54.3</v>
      </c>
      <c r="K12" s="120" t="inlineStr">
        <is>
          <t>Reverse Charge</t>
        </is>
      </c>
      <c r="L12" s="123" t="n">
        <v>0</v>
      </c>
      <c r="M12" s="123" t="n">
        <v>54.3</v>
      </c>
      <c r="N12" s="123" t="n">
        <v>54.3</v>
      </c>
      <c r="O12" s="120" t="inlineStr">
        <is>
          <t>Reverse Charge — Supabase weist keine USt aus. Sandy startet als Kleinunternehmerin nach §19 UStG (bestätigt 19.08.2026), Gewerbe aber noch nicht angemeldet. Nach Kleinunternehmerregelung i. d. R. keine Vorsteuer ziehbar, aber die USt-Pflicht auf reverse-charge-Leistungen aus dem Ausland (§13b UStG) kann trotzdem bestehen bleiben — das ist keine verbindliche Auskunft von mir, bitte mit Steuerberater final klären, sobald einer feststeht.</t>
        </is>
      </c>
      <c r="P12" s="137">
        <f>M12/$B$41</f>
        <v/>
      </c>
      <c r="Q12" s="120" t="inlineStr">
        <is>
          <t>unbekannt</t>
        </is>
      </c>
      <c r="R12" s="120" t="inlineStr">
        <is>
          <t>Invoice-MVGOOM-00006.pdf / Receipt-MVGOOM-00006.pdf</t>
        </is>
      </c>
      <c r="S12" s="138" t="inlineStr">
        <is>
          <t>Nutzungsgebühren weiter gestiegen, neu: 'Realtime Peak Connections' $10,00. Rechnung listet 5 verschiedene Projekt-Referenzen, dokumentiert sind nur 2 (Staging + Produktion). Zahlungsbeleg (Receipt-MVGOOM-00006.pdf) nachträglich ergänzt (Update 2026-09-02), keine neue Zeile.</t>
        </is>
      </c>
      <c r="T12" s="138" t="inlineStr">
        <is>
          <t>0,00 (durchlaufend)</t>
        </is>
      </c>
    </row>
    <row r="13" ht="64.5" customHeight="1" s="116">
      <c r="A13" s="120" t="inlineStr">
        <is>
          <t>2026-009</t>
        </is>
      </c>
      <c r="B13" s="135" t="n">
        <v>46237</v>
      </c>
      <c r="C13" s="120" t="inlineStr">
        <is>
          <t>MVS3312KT5 / Dok. 674170779929</t>
        </is>
      </c>
      <c r="D13" s="120" t="inlineStr">
        <is>
          <t>03.08.–02.09.2026 (Abo-Monat)</t>
        </is>
      </c>
      <c r="E13" s="120" t="inlineStr">
        <is>
          <t>Apple Distribution International Ltd. (Vertrieb für Claude Pro)</t>
        </is>
      </c>
      <c r="F13" s="120" t="inlineStr">
        <is>
          <t>Irland</t>
        </is>
      </c>
      <c r="G13" s="120" t="inlineStr">
        <is>
          <t>Claude Pro (Apple/iTunes)</t>
        </is>
      </c>
      <c r="H13" s="120" t="inlineStr">
        <is>
          <t>Sandra Holm, Krampasplatz 4b, 14199 Berlin</t>
        </is>
      </c>
      <c r="I13" s="120" t="inlineStr">
        <is>
          <t>EUR</t>
        </is>
      </c>
      <c r="J13" s="127" t="n">
        <v>18.49</v>
      </c>
      <c r="K13" s="136" t="n">
        <v>0.19</v>
      </c>
      <c r="L13" s="127" t="n">
        <v>3.51</v>
      </c>
      <c r="M13" s="127" t="n">
        <v>22</v>
      </c>
      <c r="N13" s="127" t="n">
        <v>22</v>
      </c>
      <c r="O13" s="120" t="inlineStr">
        <is>
          <t>USt. (19%) direkt von Apple ausgewiesen, kein Reverse Charge.</t>
        </is>
      </c>
      <c r="P13" s="137">
        <f>M13</f>
        <v/>
      </c>
      <c r="Q13" s="120" t="inlineStr">
        <is>
          <t>PayPal</t>
        </is>
      </c>
      <c r="R13" s="120" t="inlineStr">
        <is>
          <t>Deine Käufe bei Apple.eml</t>
        </is>
      </c>
      <c r="S13" s="138" t="inlineStr">
        <is>
          <t>Belege für die Juni- und Juli-Abbuchung dieses Abos fehlen noch (vermutlich auch je ~22 €) — bitte in Apple-Kaufhistorie/Postfach nachsehen und ergänzen.</t>
        </is>
      </c>
      <c r="T13" s="138">
        <f>ROUND(L13,2)</f>
        <v/>
      </c>
    </row>
    <row r="14" ht="128.25" customHeight="1" s="116">
      <c r="A14" s="120" t="inlineStr">
        <is>
          <t>2026-010</t>
        </is>
      </c>
      <c r="B14" s="135" t="n">
        <v>46251</v>
      </c>
      <c r="C14" s="120" t="inlineStr">
        <is>
          <t>CBBICKXQ-0001</t>
        </is>
      </c>
      <c r="D14" s="120" t="inlineStr">
        <is>
          <t>—</t>
        </is>
      </c>
      <c r="E14" s="120" t="inlineStr">
        <is>
          <t>Anthropic, PBC</t>
        </is>
      </c>
      <c r="F14" s="120" t="inlineStr">
        <is>
          <t>USA</t>
        </is>
      </c>
      <c r="G14" s="120" t="inlineStr">
        <is>
          <t>Anthropic — direkt</t>
        </is>
      </c>
      <c r="H14" s="120" t="inlineStr">
        <is>
          <t>Sandra Holm, Wielandstraße 11, 12159 Berlin, DE STN 89365407818</t>
        </is>
      </c>
      <c r="I14" s="120" t="inlineStr">
        <is>
          <t>USD</t>
        </is>
      </c>
      <c r="J14" s="123" t="n">
        <v>45</v>
      </c>
      <c r="K14" s="136" t="n">
        <v>0.19</v>
      </c>
      <c r="L14" s="123" t="n">
        <v>8.550000000000001</v>
      </c>
      <c r="M14" s="123" t="n">
        <v>53.55</v>
      </c>
      <c r="N14" s="123" t="n">
        <v>53.55</v>
      </c>
      <c r="O14" s="120" t="inlineStr">
        <is>
          <t>USt. (19%) direkt von Anthropic ausgewiesen (EU VAT IE4276970QH), kein Reverse Charge.</t>
        </is>
      </c>
      <c r="P14" s="137">
        <f>M14/$B$42</f>
        <v/>
      </c>
      <c r="Q14" s="120" t="inlineStr">
        <is>
          <t>unbekannt (Online-Zahlung)</t>
        </is>
      </c>
      <c r="R14" s="120" t="inlineStr">
        <is>
          <t>Invoice-CBBICKXQ-0001.pdf</t>
        </is>
      </c>
      <c r="S14" s="138" t="inlineStr">
        <is>
          <t>Rechnung nennt eine deutsche Steuernummer (DE STN 89365407818) — da laut Sandy noch kein Gewerbe angemeldet ist (Stand 19.08.2026), vermutlich Sandys private Steuer-ID, nicht zwingend eine Geschäfts-Steuernummer. Position heißt 'Prepaid extra usage, Individual plan' — bitte klären: wiederkehrender Posten oder einmaliger Nachkauf von Nutzungsvolumen?</t>
        </is>
      </c>
      <c r="T14" s="138">
        <f>ROUND(L14/$B$42,2)</f>
        <v/>
      </c>
    </row>
    <row r="15" ht="153" customHeight="1" s="116">
      <c r="A15" s="120" t="inlineStr">
        <is>
          <t>2026-011</t>
        </is>
      </c>
      <c r="B15" s="135" t="n">
        <v>46138</v>
      </c>
      <c r="C15" s="120" t="inlineStr">
        <is>
          <t>100185593347</t>
        </is>
      </c>
      <c r="D15" s="120" t="inlineStr">
        <is>
          <t>Abrechnung 26.04.2026 (Vertragszeitraum Domain: 25.04.2026–24.04.2027)</t>
        </is>
      </c>
      <c r="E15" s="120" t="inlineStr">
        <is>
          <t>IONOS SE</t>
        </is>
      </c>
      <c r="F15" s="120" t="inlineStr">
        <is>
          <t>Deutschland</t>
        </is>
      </c>
      <c r="G15" s="120" t="inlineStr">
        <is>
          <t>Domain sofortangebot.app</t>
        </is>
      </c>
      <c r="H15" s="120" t="inlineStr">
        <is>
          <t>Sandra Holm, Wielandstr. 11, 12159 Berlin</t>
        </is>
      </c>
      <c r="I15" s="120" t="inlineStr">
        <is>
          <t>EUR</t>
        </is>
      </c>
      <c r="J15" s="127" t="n">
        <v>0.8100000000000001</v>
      </c>
      <c r="K15" s="136" t="n">
        <v>0.19</v>
      </c>
      <c r="L15" s="127" t="n">
        <v>0.15</v>
      </c>
      <c r="M15" s="127" t="n">
        <v>0.96</v>
      </c>
      <c r="N15" s="124" t="n">
        <v>0</v>
      </c>
      <c r="O15" s="120" t="inlineStr">
        <is>
          <t>USt. (19%) direkt von IONOS ausgewiesen (deutscher Anbieter, USt-IdNr. DE815563912), kein Reverse Charge.</t>
        </is>
      </c>
      <c r="P15" s="137">
        <f>M15</f>
        <v/>
      </c>
      <c r="Q15" s="120" t="inlineStr">
        <is>
          <t>PayPal</t>
        </is>
      </c>
      <c r="R15" s="120" t="inlineStr">
        <is>
          <t>IONOS Rechnung 2026-04-26 - RG_100185593347.pdf</t>
        </is>
      </c>
      <c r="S15" s="138" t="inlineStr">
        <is>
          <t>Rechnung betrifft ausschließlich die Domain 'einfach-anfrage.com' (Position 1) — das ist NICHT sofortangebot.app, sondern offensichtlich ein anderes/älteres Projekt. Deshalb Sofortangebot-Anteil = 0,00 €. Alle 5 IONOS-Rechnungen (April–August 2026) laufen unter derselben Vertragsnummer 111811442, die mehrere Domains bündelt — bitte im Blick behalten, dass hier nicht versehentlich fremde Projektkosten mitgezählt werden. Neu entdeckt und nachgetragen: Update 2026-09-02.</t>
        </is>
      </c>
      <c r="T15" s="138">
        <f>ROUND(L15,2)</f>
        <v/>
      </c>
    </row>
    <row r="16" ht="102.75" customHeight="1" s="116">
      <c r="A16" s="120" t="inlineStr">
        <is>
          <t>2026-012</t>
        </is>
      </c>
      <c r="B16" s="135" t="n">
        <v>46168</v>
      </c>
      <c r="C16" s="120" t="inlineStr">
        <is>
          <t>100187536255</t>
        </is>
      </c>
      <c r="D16" s="120" t="inlineStr">
        <is>
          <t>Abrechnung 26.05.2026 (Vertragszeiträume: 11.05.2026–10.05.2027 bzw. 22.05.2026–21.05.2027)</t>
        </is>
      </c>
      <c r="E16" s="120" t="inlineStr">
        <is>
          <t>IONOS SE</t>
        </is>
      </c>
      <c r="F16" s="120" t="inlineStr">
        <is>
          <t>Deutschland</t>
        </is>
      </c>
      <c r="G16" s="120" t="inlineStr">
        <is>
          <t>Domain sofortangebot.app</t>
        </is>
      </c>
      <c r="H16" s="120" t="inlineStr">
        <is>
          <t>Sandra Holm, Wielandstr. 11, 12159 Berlin</t>
        </is>
      </c>
      <c r="I16" s="120" t="inlineStr">
        <is>
          <t>EUR</t>
        </is>
      </c>
      <c r="J16" s="127" t="n">
        <v>27.73</v>
      </c>
      <c r="K16" s="136" t="n">
        <v>0.19</v>
      </c>
      <c r="L16" s="127" t="n">
        <v>5.27</v>
      </c>
      <c r="M16" s="127" t="n">
        <v>33</v>
      </c>
      <c r="N16" s="124" t="n">
        <v>0</v>
      </c>
      <c r="O16" s="120" t="inlineStr">
        <is>
          <t>USt. (19%) direkt von IONOS ausgewiesen (deutscher Anbieter, USt-IdNr. DE815563912), kein Reverse Charge.</t>
        </is>
      </c>
      <c r="P16" s="137">
        <f>M16</f>
        <v/>
      </c>
      <c r="Q16" s="120" t="inlineStr">
        <is>
          <t>PayPal</t>
        </is>
      </c>
      <c r="R16" s="120" t="inlineStr">
        <is>
          <t>IONOS Rechnung 2026-05-26 - RG_100187536255.pdf</t>
        </is>
      </c>
      <c r="S16" s="138" t="inlineStr">
        <is>
          <t>Rechnung betrifft drei fremde Domains ('einfachanfrage.com', 'einfachanfrage-hochzeitsfotografie.de', 'einfachanfrage-tattoo.de') plus deren Registrierungsgebühren — keine davon ist sofortangebot.app. Deshalb Sofortangebot-Anteil = 0,00 €. Neu entdeckt und nachgetragen: Update 2026-09-02.</t>
        </is>
      </c>
      <c r="T16" s="138">
        <f>ROUND(L16,2)</f>
        <v/>
      </c>
    </row>
    <row r="17" ht="191.25" customHeight="1" s="116">
      <c r="A17" s="120" t="inlineStr">
        <is>
          <t>2026-013</t>
        </is>
      </c>
      <c r="B17" s="135" t="n">
        <v>46199</v>
      </c>
      <c r="C17" s="120" t="inlineStr">
        <is>
          <t>100189466040</t>
        </is>
      </c>
      <c r="D17" s="120" t="inlineStr">
        <is>
          <t>Abrechnung 26.06.2026 (Domain .app + Domain Guard: 08.06.2026–07.06.2027; IONOS Mail Basic 5: 08.06.–07.07.2026)</t>
        </is>
      </c>
      <c r="E17" s="120" t="inlineStr">
        <is>
          <t>IONOS SE</t>
        </is>
      </c>
      <c r="F17" s="120" t="inlineStr">
        <is>
          <t>Deutschland</t>
        </is>
      </c>
      <c r="G17" s="120" t="inlineStr">
        <is>
          <t>Domain sofortangebot.app</t>
        </is>
      </c>
      <c r="H17" s="120" t="inlineStr">
        <is>
          <t>Sandra Holm, Wielandstr. 11, 12159 Berlin</t>
        </is>
      </c>
      <c r="I17" s="120" t="inlineStr">
        <is>
          <t>EUR</t>
        </is>
      </c>
      <c r="J17" s="127" t="n">
        <v>13.03</v>
      </c>
      <c r="K17" s="136" t="n">
        <v>0.19</v>
      </c>
      <c r="L17" s="127" t="n">
        <v>2.47</v>
      </c>
      <c r="M17" s="127" t="n">
        <v>15.5</v>
      </c>
      <c r="N17" s="127" t="n">
        <v>15.5</v>
      </c>
      <c r="O17" s="120" t="inlineStr">
        <is>
          <t>USt. (19%) direkt von IONOS ausgewiesen, kein Reverse Charge. Hinweis für Steuerberater: Die Spalte 'Betrag (EUR)' auf IONOS-Rechnungen zeigt Brutto-Positionsbeträge, obwohl daneben eine MwSt.-Spalte steht — Netto/USt werden nur für die Rechnungssumme insgesamt ausgewiesen, nicht je Zeile. Der Sofortangebot-Anteil (Brutto) wurde deshalb direkt aus den Positionsbeträgen gebildet.</t>
        </is>
      </c>
      <c r="P17" s="137">
        <f>M17</f>
        <v/>
      </c>
      <c r="Q17" s="120" t="inlineStr">
        <is>
          <t>PayPal</t>
        </is>
      </c>
      <c r="R17" s="120" t="inlineStr">
        <is>
          <t>IONOS Rechnung 2026-06-26 - RG_100189466040.pdf</t>
        </is>
      </c>
      <c r="S17" s="138" t="inlineStr">
        <is>
          <t>Erste Rechnung mit sofortangebot.app: Domain .app registriert 08.06.2026 (12,00 € brutto). Sandy hat am 02.09.2026 bestätigt, dass 'Domain Guard' (1,00 € brutto, Privatsphärenschutz) UND 'IONOS Mail Basic 5' (2,50 €/Monat, ab 08.06.2026) ebenfalls zu sofortangebot.app gehören — damit ist die komplette Rechnung (15,50 €) dem Sofortangebot-Anteil zugeordnet. Alle 5 IONOS-Rechnungen laufen unter Vertragsnummer 111811442, die mehrere fremde Domains bündelt (siehe 2026-011/012), die weiterhin ausgeschlossen bleiben. Neu entdeckt: Update 2026-09-02, Zuordnung bestätigt 2026-09-02.</t>
        </is>
      </c>
      <c r="T17" s="138">
        <f>ROUND(L17,2)</f>
        <v/>
      </c>
    </row>
    <row r="18" ht="77.25" customHeight="1" s="116">
      <c r="A18" s="120" t="inlineStr">
        <is>
          <t>2026-014</t>
        </is>
      </c>
      <c r="B18" s="135" t="n">
        <v>46229</v>
      </c>
      <c r="C18" s="120" t="inlineStr">
        <is>
          <t>100191208015</t>
        </is>
      </c>
      <c r="D18" s="120" t="inlineStr">
        <is>
          <t>08.07.–07.08.2026 (IONOS Mail Basic 5)</t>
        </is>
      </c>
      <c r="E18" s="120" t="inlineStr">
        <is>
          <t>IONOS SE</t>
        </is>
      </c>
      <c r="F18" s="120" t="inlineStr">
        <is>
          <t>Deutschland</t>
        </is>
      </c>
      <c r="G18" s="120" t="inlineStr">
        <is>
          <t>Domain sofortangebot.app</t>
        </is>
      </c>
      <c r="H18" s="120" t="inlineStr">
        <is>
          <t>Sandra Holm, Wielandstr. 11, 12159 Berlin</t>
        </is>
      </c>
      <c r="I18" s="120" t="inlineStr">
        <is>
          <t>EUR</t>
        </is>
      </c>
      <c r="J18" s="127" t="n">
        <v>2.1</v>
      </c>
      <c r="K18" s="136" t="n">
        <v>0.19</v>
      </c>
      <c r="L18" s="127" t="n">
        <v>0.4</v>
      </c>
      <c r="M18" s="127" t="n">
        <v>2.5</v>
      </c>
      <c r="N18" s="127" t="n">
        <v>2.5</v>
      </c>
      <c r="O18" s="120" t="inlineStr">
        <is>
          <t>USt. (19%) direkt von IONOS ausgewiesen, kein Reverse Charge.</t>
        </is>
      </c>
      <c r="P18" s="137">
        <f>M18</f>
        <v/>
      </c>
      <c r="Q18" s="120" t="inlineStr">
        <is>
          <t>PayPal</t>
        </is>
      </c>
      <c r="R18" s="120" t="inlineStr">
        <is>
          <t>IONOS Rechnung 2026-07-26 - RG_100191208015.pdf</t>
        </is>
      </c>
      <c r="S18" s="138" t="inlineStr">
        <is>
          <t>Nur Position 'IONOS Mail Basic 5' (2,50 €) — dasselbe Postfach wie in 2026-013. Sandy hat am 02.09.2026 bestätigt, dass es zu sofortangebot.app gehört. Neu entdeckt: Update 2026-09-02, Zuordnung bestätigt 2026-09-02.</t>
        </is>
      </c>
      <c r="T18" s="138">
        <f>ROUND(L18,2)</f>
        <v/>
      </c>
    </row>
    <row r="19" ht="64.5" customHeight="1" s="116">
      <c r="A19" s="120" t="inlineStr">
        <is>
          <t>2026-015</t>
        </is>
      </c>
      <c r="B19" s="135" t="n">
        <v>46256</v>
      </c>
      <c r="C19" s="120" t="inlineStr">
        <is>
          <t>TT0BDQ8S-0005</t>
        </is>
      </c>
      <c r="D19" s="120" t="inlineStr">
        <is>
          <t>22.08.–21.09.2026</t>
        </is>
      </c>
      <c r="E19" s="120" t="inlineStr">
        <is>
          <t>Vercel Inc.</t>
        </is>
      </c>
      <c r="F19" s="120" t="inlineStr">
        <is>
          <t>USA</t>
        </is>
      </c>
      <c r="G19" s="120" t="inlineStr">
        <is>
          <t>Vercel</t>
        </is>
      </c>
      <c r="H19" s="120" t="inlineStr">
        <is>
          <t>einfachanfrage's projects, Wielandstraße 11, 12159 Berlin (einfachanfrage@outlook.com)</t>
        </is>
      </c>
      <c r="I19" s="120" t="inlineStr">
        <is>
          <t>USD</t>
        </is>
      </c>
      <c r="J19" s="123" t="n">
        <v>20</v>
      </c>
      <c r="K19" s="136" t="n">
        <v>0.19</v>
      </c>
      <c r="L19" s="123" t="n">
        <v>3.8</v>
      </c>
      <c r="M19" s="123" t="n">
        <v>23.8</v>
      </c>
      <c r="N19" s="123" t="n">
        <v>23.8</v>
      </c>
      <c r="O19" s="120" t="inlineStr">
        <is>
          <t>USt. (19%) direkt von Vercel ausgewiesen (EU VAT EU056329113), kein Reverse Charge.</t>
        </is>
      </c>
      <c r="P19" s="137">
        <f>M19/$B$42</f>
        <v/>
      </c>
      <c r="Q19" s="120" t="inlineStr">
        <is>
          <t>Kreditkarte Visa •••3991</t>
        </is>
      </c>
      <c r="R19" s="120" t="inlineStr">
        <is>
          <t>Invoice-TT0BDQ8S-0005.pdf / Receipt-2017-0960.pdf</t>
        </is>
      </c>
      <c r="S19" s="138" t="inlineStr">
        <is>
          <t>Weiterhin 'Observability Plus' Position mit $0,00. Zahlungsart über Zahlungsbeleg bestätigt: Visa-Karte endet auf 3991 (gilt rückwirkend auch für 2026-002/005/007, dort ergänzt).</t>
        </is>
      </c>
      <c r="T19" s="138">
        <f>ROUND(L19/$B$42,2)</f>
        <v/>
      </c>
    </row>
    <row r="20" ht="178.5" customHeight="1" s="116">
      <c r="A20" s="120" t="inlineStr">
        <is>
          <t>2026-016</t>
        </is>
      </c>
      <c r="B20" s="135" t="n">
        <v>46257</v>
      </c>
      <c r="C20" s="120" t="inlineStr">
        <is>
          <t>MVGOOM-00007</t>
        </is>
      </c>
      <c r="D20" s="120" t="inlineStr">
        <is>
          <t>23.07.–22.08.2026 (Nutzung) + 23.08.–22.09.2026 (Pro Plan)</t>
        </is>
      </c>
      <c r="E20" s="120" t="inlineStr">
        <is>
          <t>Supabase Pte. Ltd.</t>
        </is>
      </c>
      <c r="F20" s="120" t="inlineStr">
        <is>
          <t>Singapur</t>
        </is>
      </c>
      <c r="G20" s="120" t="inlineStr">
        <is>
          <t>Supabase</t>
        </is>
      </c>
      <c r="H20" s="120" t="inlineStr">
        <is>
          <t>Sandra Holm, Wielandstraße 11, Berlin (einfachanfrage@outlook.com)</t>
        </is>
      </c>
      <c r="I20" s="120" t="inlineStr">
        <is>
          <t>USD</t>
        </is>
      </c>
      <c r="J20" s="123" t="n">
        <v>53.83</v>
      </c>
      <c r="K20" s="120" t="inlineStr">
        <is>
          <t>Reverse Charge</t>
        </is>
      </c>
      <c r="L20" s="123" t="n">
        <v>0</v>
      </c>
      <c r="M20" s="123" t="n">
        <v>53.83</v>
      </c>
      <c r="N20" s="123" t="n">
        <v>53.83</v>
      </c>
      <c r="O20" s="120" t="inlineStr">
        <is>
          <t>Reverse Charge — Supabase weist keine USt aus. Sandy startet als Kleinunternehmerin nach §19 UStG (bestätigt 19.08.2026), Gewerbe aber noch nicht angemeldet. Nach Kleinunternehmerregelung i. d. R. keine Vorsteuer ziehbar, aber die USt-Pflicht auf reverse-charge-Leistungen aus dem Ausland (§13b UStG) kann trotzdem bestehen bleiben — das ist keine verbindliche Auskunft von mir, bitte mit Steuerberater final klären, sobald einer feststeht.</t>
        </is>
      </c>
      <c r="P20" s="137">
        <f>M20/$B$42</f>
        <v/>
      </c>
      <c r="Q20" s="120" t="inlineStr">
        <is>
          <t>unbekannt</t>
        </is>
      </c>
      <c r="R20" s="120" t="inlineStr">
        <is>
          <t>Invoice-MVGOOM-00007.pdf / Receipt-MVGOOM-00007.pdf</t>
        </is>
      </c>
      <c r="S20" s="138" t="inlineStr">
        <is>
          <t>Nutzungsgebühren leicht gesunken ggü. Juli ($54,30 → $53,83). Positiv aufgefallen: nur noch 4 Projekt-Referenzen in den Positionen sichtbar (bkldyddstovvkkhpiqiy, ezgyklsigzaowrrpqtpv, qsdbnckgzllyypmkmzhc, yqlledouhfovytifeekd) — die fünfte aus den Vormonaten ('ytvysmwepajatcdhkgup') taucht hier nicht mehr auf. Könnte bedeuten, dass ein ungenutztes Projekt zwischenzeitlich entfernt wurde (siehe offener Punkt '5 vs. 2 dokumentierte Projekte').</t>
        </is>
      </c>
      <c r="T20" s="138" t="inlineStr">
        <is>
          <t>0,00 (durchlaufend)</t>
        </is>
      </c>
    </row>
    <row r="21" ht="51.75" customHeight="1" s="116">
      <c r="A21" s="120" t="inlineStr">
        <is>
          <t>2026-017</t>
        </is>
      </c>
      <c r="B21" s="135" t="n">
        <v>46260</v>
      </c>
      <c r="C21" s="120" t="inlineStr">
        <is>
          <t>100192688572</t>
        </is>
      </c>
      <c r="D21" s="120" t="inlineStr">
        <is>
          <t>08.08.–07.09.2026 (IONOS Mail Basic 5)</t>
        </is>
      </c>
      <c r="E21" s="120" t="inlineStr">
        <is>
          <t>IONOS SE</t>
        </is>
      </c>
      <c r="F21" s="120" t="inlineStr">
        <is>
          <t>Deutschland</t>
        </is>
      </c>
      <c r="G21" s="120" t="inlineStr">
        <is>
          <t>Domain sofortangebot.app</t>
        </is>
      </c>
      <c r="H21" s="120" t="inlineStr">
        <is>
          <t>Sandra Holm, Wielandstr. 11, 12159 Berlin</t>
        </is>
      </c>
      <c r="I21" s="120" t="inlineStr">
        <is>
          <t>EUR</t>
        </is>
      </c>
      <c r="J21" s="127" t="n">
        <v>2.1</v>
      </c>
      <c r="K21" s="136" t="n">
        <v>0.19</v>
      </c>
      <c r="L21" s="127" t="n">
        <v>0.4</v>
      </c>
      <c r="M21" s="127" t="n">
        <v>2.5</v>
      </c>
      <c r="N21" s="127" t="n">
        <v>2.5</v>
      </c>
      <c r="O21" s="120" t="inlineStr">
        <is>
          <t>USt. (19%) direkt von IONOS ausgewiesen, kein Reverse Charge.</t>
        </is>
      </c>
      <c r="P21" s="137">
        <f>M21</f>
        <v/>
      </c>
      <c r="Q21" s="120" t="inlineStr">
        <is>
          <t>PayPal</t>
        </is>
      </c>
      <c r="R21" s="120" t="inlineStr">
        <is>
          <t>IONOS Rechnung 2026-08-26 - RG_100192688572.pdf</t>
        </is>
      </c>
      <c r="S21" s="138" t="inlineStr">
        <is>
          <t>Wie Juli: nur 'IONOS Mail Basic 5' (2,50 €). Sandy hat am 02.09.2026 bestätigt, dass es zu sofortangebot.app gehört (siehe 2026-013/014).</t>
        </is>
      </c>
      <c r="T21" s="138">
        <f>ROUND(L21,2)</f>
        <v/>
      </c>
    </row>
    <row r="22" ht="51.75" customHeight="1" s="116">
      <c r="A22" s="120" t="inlineStr">
        <is>
          <t>2026-018</t>
        </is>
      </c>
      <c r="B22" s="135" t="n">
        <v>46269</v>
      </c>
      <c r="C22" s="120" t="inlineStr">
        <is>
          <t>B6818653</t>
        </is>
      </c>
      <c r="D22" s="120" t="inlineStr">
        <is>
          <t>Leistung/Lieferung 04.09.2026 (Download), Bestellung 02.09.2026</t>
        </is>
      </c>
      <c r="E22" s="120" t="inlineStr">
        <is>
          <t>DIN Media GmbH</t>
        </is>
      </c>
      <c r="F22" s="120" t="inlineStr">
        <is>
          <t>Deutschland</t>
        </is>
      </c>
      <c r="G22" s="120" t="inlineStr">
        <is>
          <t>Fachliteratur — VOB Gesamtausgabe 2019, Teil A/B/C (E-Book)</t>
        </is>
      </c>
      <c r="H22" s="120" t="inlineStr">
        <is>
          <t>Sandra Holm, Wielandstr. 11, 12159 Berlin</t>
        </is>
      </c>
      <c r="I22" s="120" t="inlineStr">
        <is>
          <t>EUR</t>
        </is>
      </c>
      <c r="J22" s="127" t="n">
        <v>50.47</v>
      </c>
      <c r="K22" s="136" t="n">
        <v>0.07000000000000001</v>
      </c>
      <c r="L22" s="127" t="n">
        <v>3.53</v>
      </c>
      <c r="M22" s="127" t="n">
        <v>54</v>
      </c>
      <c r="N22" s="127" t="n">
        <v>54</v>
      </c>
      <c r="O22" s="120" t="inlineStr">
        <is>
          <t>USt. (7 % ermaessigt, § 12 Abs. 2 Nr. 14 UStG — E-Book) direkt von DIN Media ausgewiesen, USt-IdNr. DE811236989. Inlandsrechnung, kein Reverse Charge.</t>
        </is>
      </c>
      <c r="P22" s="137">
        <f>M22</f>
        <v/>
      </c>
      <c r="Q22" s="120" t="inlineStr">
        <is>
          <t>Vorkasse, bezahlt 03.09.2026 (Auftrag 11964539), Rechnung weist 54,00 EUR als bereits gezahlt aus</t>
        </is>
      </c>
      <c r="R22" s="120" t="inlineStr">
        <is>
          <t>406270316_ZUGFeRD.pdf</t>
        </is>
      </c>
      <c r="S22" s="138" t="inlineStr">
        <is>
          <t>ERSTE ECHTE E-RECHNUNG IM EINGANG. ZUGFeRD/Factur-X, Profil EXTENDED, EN-16931-konform, TestIndicator=false; strukturierter Teil factur-x.xml im PDF/A-3 eingebettet. 11-Punkte-Pruefung nach § 14 UStG vollstaendig bestanden, Sicht- und XML-Teil stimmen ueberein. Einmalige Anschaffung — bewusst NICHT im Blatt Kostenuebersicht/Monatsverlauf, die nur laufende Kosten fuehren. Bestellt ueber die Privatadresse sk-holm@hotmail.de, kuenftig rechnung@sofortangebot.app verwenden.</t>
        </is>
      </c>
      <c r="T22" s="138">
        <f>ROUND(L22,2)</f>
        <v/>
      </c>
    </row>
    <row r="23" ht="15" customHeight="1" s="116">
      <c r="A23" s="139" t="n"/>
      <c r="B23" s="139" t="n"/>
      <c r="C23" s="139" t="n"/>
      <c r="D23" s="139" t="n"/>
      <c r="E23" s="139" t="n"/>
      <c r="F23" s="139" t="n"/>
      <c r="G23" s="139" t="n"/>
      <c r="H23" s="139" t="n"/>
      <c r="I23" s="139" t="n"/>
      <c r="J23" s="139" t="n"/>
      <c r="K23" s="139" t="n"/>
      <c r="L23" s="139" t="n"/>
      <c r="M23" s="139" t="n"/>
      <c r="N23" s="139" t="n"/>
      <c r="O23" s="139" t="n"/>
      <c r="P23" s="139" t="n"/>
      <c r="Q23" s="139" t="n"/>
      <c r="R23" s="139" t="n"/>
      <c r="S23" s="119" t="inlineStr">
        <is>
          <t>Summe erfasste Vorsteuer 2026 (Reverse Charge steht mit 0, weil durchlaufend) →</t>
        </is>
      </c>
      <c r="T23" s="119">
        <f>ROUND(SUM(T5:T22),2)</f>
        <v/>
      </c>
    </row>
    <row r="24" ht="15" customHeight="1" s="116">
      <c r="A24" s="140" t="n"/>
      <c r="B24" s="139" t="n"/>
      <c r="C24" s="139" t="n"/>
      <c r="D24" s="139" t="n"/>
      <c r="E24" s="139" t="n"/>
      <c r="F24" s="139" t="n"/>
      <c r="G24" s="139" t="n"/>
      <c r="H24" s="139" t="n"/>
      <c r="I24" s="139" t="n"/>
      <c r="J24" s="139" t="n"/>
      <c r="K24" s="139" t="n"/>
      <c r="L24" s="139" t="n"/>
      <c r="M24" s="139" t="n"/>
      <c r="N24" s="139" t="n"/>
      <c r="O24" s="139" t="n"/>
      <c r="P24" s="139" t="n"/>
      <c r="Q24" s="139" t="n"/>
      <c r="R24" s="139" t="n"/>
      <c r="S24" s="119" t="inlineStr">
        <is>
          <t>davon noch OFFEN — aus zwei verschiedenen Gruenden (Belege 2026-001, -009, -012) →</t>
        </is>
      </c>
      <c r="T24" s="119">
        <f>ROUND(T5+T13+T16,2)</f>
        <v/>
      </c>
    </row>
    <row r="25" ht="15" customHeight="1" s="116">
      <c r="A25" s="141" t="n"/>
      <c r="B25" s="141" t="n"/>
      <c r="C25" s="139" t="n"/>
      <c r="D25" s="139" t="n"/>
      <c r="E25" s="139" t="n"/>
      <c r="F25" s="139" t="n"/>
      <c r="G25" s="139" t="n"/>
      <c r="H25" s="139" t="n"/>
      <c r="I25" s="139" t="n"/>
      <c r="J25" s="139" t="n"/>
      <c r="K25" s="139" t="n"/>
      <c r="L25" s="139" t="n"/>
      <c r="M25" s="139" t="n"/>
      <c r="N25" s="139" t="n"/>
      <c r="O25" s="139" t="n"/>
      <c r="P25" s="139" t="n"/>
      <c r="Q25" s="139" t="n"/>
      <c r="R25" s="139" t="n"/>
      <c r="S25" s="119" t="inlineStr">
        <is>
          <t>unstrittig abziehbar →</t>
        </is>
      </c>
      <c r="T25" s="119">
        <f>ROUND(T23-T24,2)</f>
        <v/>
      </c>
    </row>
    <row r="26" ht="15" customHeight="1" s="116">
      <c r="A26" s="139" t="n"/>
      <c r="B26" s="142" t="n"/>
      <c r="C26" s="139" t="n"/>
      <c r="D26" s="139" t="n"/>
      <c r="E26" s="139" t="n"/>
      <c r="F26" s="139" t="n"/>
      <c r="G26" s="139" t="n"/>
      <c r="H26" s="139" t="n"/>
      <c r="I26" s="139" t="n"/>
      <c r="J26" s="139" t="n"/>
      <c r="K26" s="139" t="n"/>
      <c r="L26" s="139" t="n"/>
      <c r="M26" s="139" t="n"/>
      <c r="N26" s="139" t="n"/>
      <c r="O26" s="139" t="n"/>
      <c r="P26" s="139" t="n"/>
      <c r="Q26" s="139" t="n"/>
      <c r="R26" s="139" t="n"/>
      <c r="S26" s="139" t="inlineStr">
        <is>
          <t>KORREKTUR 17.09.2026 (Head of Finance), nach einem berechtigten Einwand von Sandy: Die erste Fassung dieser Zeilen hat 14,76 EUR als strittig gefuehrt und dabei die KLEINBETRAGSREGELUNG uebersehen. Nach § 33 UStDV braucht eine Rechnung bis 250 EUR brutto WEDER Namen NOCH Anschrift des Leistungsempfaengers — nur Lieferant, Datum, Leistung, Bruttobetrag und Steuersatz. Damit ist Beleg 2026-004 (OpenAI, "Hugo", 15,50 EUR brutto) vollstaendig abzugsfaehig, und bei den Apple-Belegen ist die abweichende Anschrift ebenfalls unschaedlich. Fast alle Belege dieses Betriebs liegen unter 250 EUR. ES BLEIBEN ZWEI ECHTE PUNKTE, beide KEINE Formfehler: (1) 2026-001 und 2026-009, Claude Pro ueber Apple, zusammen 7,02 EUR — offen ist die BETRIEBLICHE VERANLASSUNG (geschaeftlich oder privat genutzt), seit 02.09. vermerkt. (2) 2026-012, IONOS, 5,27 EUR — die Rechnung betrifft drei fremde Domains, Sofortangebot-Anteil 0,00 EUR, also insoweit keine betriebliche Veranlassung. Ausnahme von § 33 UStDV, die hier nicht greift: bei Reverse-Charge-Umsaetzen (§ 13b) gilt die Erleichterung NICHT — die Supabase-Belege brauchen weiter volle Angaben.</t>
        </is>
      </c>
    </row>
    <row r="27" ht="15" customHeight="1" s="116">
      <c r="A27" s="139" t="n"/>
      <c r="B27" s="142" t="n"/>
      <c r="C27" s="139" t="n"/>
      <c r="D27" s="139" t="n"/>
      <c r="E27" s="139" t="n"/>
      <c r="F27" s="139" t="n"/>
      <c r="G27" s="139" t="n"/>
      <c r="H27" s="139" t="n"/>
      <c r="I27" s="139" t="n"/>
      <c r="J27" s="139" t="n"/>
      <c r="K27" s="139" t="n"/>
      <c r="L27" s="139" t="n"/>
      <c r="M27" s="139" t="n"/>
      <c r="N27" s="139" t="n"/>
      <c r="O27" s="139" t="n"/>
      <c r="P27" s="139" t="n"/>
      <c r="Q27" s="139" t="n"/>
      <c r="R27" s="139" t="n"/>
      <c r="S27" s="139" t="n"/>
    </row>
    <row r="28" ht="15" customHeight="1" s="116">
      <c r="A28" s="139" t="n"/>
      <c r="B28" s="142" t="n"/>
      <c r="C28" s="139" t="n"/>
      <c r="D28" s="139" t="n"/>
      <c r="E28" s="139" t="n"/>
      <c r="F28" s="139" t="n"/>
      <c r="G28" s="139" t="n"/>
      <c r="H28" s="139" t="n"/>
      <c r="I28" s="139" t="n"/>
      <c r="J28" s="139" t="n"/>
      <c r="K28" s="139" t="n"/>
      <c r="L28" s="139" t="n"/>
      <c r="M28" s="139" t="n"/>
      <c r="N28" s="139" t="n"/>
      <c r="O28" s="139" t="n"/>
      <c r="P28" s="139" t="n"/>
      <c r="Q28" s="139" t="n"/>
      <c r="R28" s="139" t="n"/>
      <c r="S28" s="139" t="n"/>
    </row>
    <row r="29" ht="15" customHeight="1" s="116">
      <c r="A29" s="139" t="n"/>
      <c r="B29" s="142" t="n"/>
      <c r="C29" s="139" t="n"/>
      <c r="D29" s="139" t="n"/>
      <c r="E29" s="139" t="n"/>
      <c r="F29" s="139" t="n"/>
      <c r="G29" s="139" t="n"/>
      <c r="H29" s="139" t="n"/>
      <c r="I29" s="139" t="n"/>
      <c r="J29" s="139" t="n"/>
      <c r="K29" s="139" t="n"/>
      <c r="L29" s="139" t="n"/>
      <c r="M29" s="139" t="n"/>
      <c r="N29" s="139" t="n"/>
      <c r="O29" s="139" t="n"/>
      <c r="P29" s="139" t="n"/>
      <c r="Q29" s="139" t="n"/>
      <c r="R29" s="139" t="n"/>
      <c r="S29" s="139" t="n"/>
    </row>
    <row r="30" ht="15" customHeight="1" s="116">
      <c r="A30" s="139" t="n"/>
      <c r="B30" s="139" t="n"/>
      <c r="C30" s="139" t="n"/>
      <c r="D30" s="139" t="n"/>
      <c r="E30" s="139" t="n"/>
      <c r="F30" s="139" t="n"/>
      <c r="G30" s="139" t="n"/>
      <c r="H30" s="139" t="n"/>
      <c r="I30" s="139" t="n"/>
      <c r="J30" s="139" t="n"/>
      <c r="K30" s="139" t="n"/>
      <c r="L30" s="139" t="n"/>
      <c r="M30" s="139" t="n"/>
      <c r="N30" s="139" t="n"/>
      <c r="O30" s="139" t="n"/>
      <c r="P30" s="139" t="n"/>
      <c r="Q30" s="139" t="n"/>
      <c r="R30" s="139" t="n"/>
      <c r="S30" s="139" t="n"/>
    </row>
    <row r="31" ht="15" customHeight="1" s="116">
      <c r="A31" s="139" t="n"/>
      <c r="B31" s="139" t="n"/>
      <c r="C31" s="139" t="n"/>
      <c r="D31" s="139" t="n"/>
      <c r="E31" s="139" t="n"/>
      <c r="F31" s="139" t="n"/>
      <c r="G31" s="139" t="n"/>
      <c r="H31" s="139" t="n"/>
      <c r="I31" s="139" t="n"/>
      <c r="J31" s="139" t="n"/>
      <c r="K31" s="139" t="n"/>
      <c r="L31" s="139" t="n"/>
      <c r="M31" s="139" t="n"/>
      <c r="N31" s="139" t="n"/>
      <c r="O31" s="139" t="n"/>
      <c r="P31" s="139" t="n"/>
      <c r="Q31" s="139" t="n"/>
      <c r="R31" s="139" t="n"/>
      <c r="S31" s="139" t="n"/>
    </row>
    <row r="32" ht="15" customHeight="1" s="116">
      <c r="A32" s="139" t="n"/>
      <c r="B32" s="139" t="n"/>
      <c r="C32" s="139" t="n"/>
      <c r="D32" s="139" t="n"/>
      <c r="E32" s="139" t="n"/>
      <c r="F32" s="139" t="n"/>
      <c r="G32" s="139" t="n"/>
      <c r="H32" s="139" t="n"/>
      <c r="I32" s="139" t="n"/>
      <c r="J32" s="139" t="n"/>
      <c r="K32" s="139" t="n"/>
      <c r="L32" s="139" t="n"/>
      <c r="M32" s="139" t="n"/>
      <c r="N32" s="139" t="n"/>
      <c r="O32" s="139" t="n"/>
      <c r="P32" s="139" t="n"/>
      <c r="Q32" s="139" t="n"/>
      <c r="R32" s="139" t="n"/>
      <c r="S32" s="139" t="n"/>
    </row>
    <row r="33" ht="15" customHeight="1" s="116">
      <c r="A33" s="139" t="n"/>
      <c r="B33" s="139" t="n"/>
      <c r="C33" s="139" t="n"/>
      <c r="D33" s="139" t="n"/>
      <c r="E33" s="139" t="n"/>
      <c r="F33" s="139" t="n"/>
      <c r="G33" s="139" t="n"/>
      <c r="H33" s="139" t="n"/>
      <c r="I33" s="139" t="n"/>
      <c r="J33" s="139" t="n"/>
      <c r="K33" s="139" t="n"/>
      <c r="L33" s="139" t="n"/>
      <c r="M33" s="139" t="n"/>
      <c r="N33" s="139" t="n"/>
      <c r="O33" s="139" t="n"/>
      <c r="P33" s="139" t="n"/>
      <c r="Q33" s="139" t="n"/>
      <c r="R33" s="139" t="n"/>
      <c r="S33" s="139" t="n"/>
    </row>
    <row r="34" ht="15" customHeight="1" s="116">
      <c r="A34" s="139" t="n"/>
      <c r="B34" s="139" t="n"/>
      <c r="C34" s="139" t="n"/>
      <c r="D34" s="139" t="n"/>
      <c r="E34" s="139" t="n"/>
      <c r="F34" s="139" t="n"/>
      <c r="G34" s="139" t="n"/>
      <c r="H34" s="139" t="n"/>
      <c r="I34" s="139" t="n"/>
      <c r="J34" s="139" t="n"/>
      <c r="K34" s="139" t="n"/>
      <c r="L34" s="139" t="n"/>
      <c r="M34" s="139" t="n"/>
      <c r="N34" s="139" t="n"/>
      <c r="O34" s="139" t="n"/>
      <c r="P34" s="139" t="n"/>
      <c r="Q34" s="139" t="n"/>
      <c r="R34" s="139" t="n"/>
      <c r="S34" s="139" t="n"/>
    </row>
    <row r="37" ht="15" customHeight="1" s="116">
      <c r="A37" s="143" t="inlineStr">
        <is>
          <t>Umrechnung USD → EUR — BMF-Umsatzsteuer-Umrechnungskurse (§ 16 Abs. 6 UStG)</t>
        </is>
      </c>
    </row>
    <row r="38" ht="15" customHeight="1" s="116">
      <c r="A38" s="144" t="inlineStr">
        <is>
          <t>Monat 2026</t>
        </is>
      </c>
      <c r="B38" s="144" t="inlineStr">
        <is>
          <t>Kurs (USD je 1 EUR)</t>
        </is>
      </c>
    </row>
    <row r="39" ht="15" customHeight="1" s="116">
      <c r="A39" s="213" t="inlineStr">
        <is>
          <t>Mai</t>
        </is>
      </c>
      <c r="B39" s="145" t="n">
        <v>1.1673</v>
      </c>
    </row>
    <row r="40" ht="15" customHeight="1" s="116">
      <c r="A40" s="213" t="inlineStr">
        <is>
          <t>Juni</t>
        </is>
      </c>
      <c r="B40" s="145" t="n">
        <v>1.1518</v>
      </c>
    </row>
    <row r="41" ht="15" customHeight="1" s="116">
      <c r="A41" s="213" t="inlineStr">
        <is>
          <t>Juli</t>
        </is>
      </c>
      <c r="B41" s="145" t="n">
        <v>1.1417</v>
      </c>
    </row>
    <row r="42" ht="15" customHeight="1" s="116">
      <c r="A42" s="213" t="inlineStr">
        <is>
          <t>August</t>
        </is>
      </c>
      <c r="B42" s="145" t="n">
        <v>1.1593</v>
      </c>
    </row>
    <row r="44" ht="15" customHeight="1" s="116">
      <c r="A44" s="213" t="inlineStr">
        <is>
          <t>Maßgeblich ist der Monat des Rechnungsdatums (bei Supabase zugleich der Monat, in dem die Dauerleistung endet und die Steuer nach § 13b UStG entsteht). Quelle: BMF-Schreiben vom 01.09.2026, Gz. III C 3 - S 7329/00014/008/112, monatlich fortgeschriebene Übersicht 2026. Neuen Monat hier ergänzen — Spalte P rechnet dann von selbst. Für EUR-Belege verweist Spalte P unverändert auf den Bruttobetrag.</t>
        </is>
      </c>
    </row>
  </sheetData>
  <mergeCells count="2">
    <mergeCell ref="A2:S2"/>
    <mergeCell ref="A1:S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J17"/>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30" customWidth="1" style="213" min="1" max="1"/>
    <col width="13" customWidth="1" style="213" min="2" max="9"/>
    <col width="16" customWidth="1" style="213" min="10" max="10"/>
  </cols>
  <sheetData>
    <row r="1" ht="17.25" customHeight="1" s="116">
      <c r="A1" s="117" t="inlineStr">
        <is>
          <t>Monatsverlauf laufende Kosten</t>
        </is>
      </c>
    </row>
    <row r="2" ht="15" customHeight="1" s="116">
      <c r="A2" s="118" t="inlineStr">
        <is>
          <t>Werte werden per Formel aus dem 'Rechnungsjournal' gezogen (nach Rechnungsmonat, Dienst und Währung) — beim Ergänzen neuer Belege im Journal aktualisiert sich diese Ansicht automatisch. Leere Zelle = noch kein Beleg für diesen Monat gefunden.</t>
        </is>
      </c>
    </row>
    <row r="4" ht="26.25" customHeight="1" s="116">
      <c r="A4" s="146" t="inlineStr">
        <is>
          <t>Dienst</t>
        </is>
      </c>
      <c r="B4" s="147" t="inlineStr">
        <is>
          <t>Mai 2026</t>
        </is>
      </c>
      <c r="C4" s="147" t="inlineStr">
        <is>
          <t>Jun 2026</t>
        </is>
      </c>
      <c r="D4" s="147" t="inlineStr">
        <is>
          <t>Jul 2026</t>
        </is>
      </c>
      <c r="E4" s="147" t="inlineStr">
        <is>
          <t>Aug 2026</t>
        </is>
      </c>
      <c r="F4" s="147" t="inlineStr">
        <is>
          <t>Sep 2026</t>
        </is>
      </c>
      <c r="G4" s="147" t="inlineStr">
        <is>
          <t>Okt 2026</t>
        </is>
      </c>
      <c r="H4" s="147" t="inlineStr">
        <is>
          <t>Nov 2026</t>
        </is>
      </c>
      <c r="I4" s="147" t="inlineStr">
        <is>
          <t>Dez 2026</t>
        </is>
      </c>
      <c r="J4" s="148" t="inlineStr">
        <is>
          <t>Gesamt (Zeitraum)</t>
        </is>
      </c>
    </row>
    <row r="5" ht="15" customHeight="1" s="116">
      <c r="A5" s="149" t="inlineStr">
        <is>
          <t>Supabase</t>
        </is>
      </c>
      <c r="B5" s="150">
        <f>IF(COUNTIFS(Rechnungsjournal!$G$5:$G$34,$A5,Rechnungsjournal!$B$5:$B$34,"&gt;="&amp;DATE(2026,5,1),Rechnungsjournal!$B$5:$B$34,"&lt;"&amp;DATE(2026,6,1))=0,"",SUMIFS(Rechnungsjournal!$N$5:$N$34,Rechnungsjournal!$G$5:$G$34,$A5,Rechnungsjournal!$B$5:$B$34,"&gt;="&amp;DATE(2026,5,1),Rechnungsjournal!$B$5:$B$34,"&lt;"&amp;DATE(2026,6,1)))</f>
        <v/>
      </c>
      <c r="C5" s="150">
        <f>IF(COUNTIFS(Rechnungsjournal!$G$5:$G$34,$A5,Rechnungsjournal!$B$5:$B$34,"&gt;="&amp;DATE(2026,6,1),Rechnungsjournal!$B$5:$B$34,"&lt;"&amp;DATE(2026,7,1))=0,"",SUMIFS(Rechnungsjournal!$N$5:$N$34,Rechnungsjournal!$G$5:$G$34,$A5,Rechnungsjournal!$B$5:$B$34,"&gt;="&amp;DATE(2026,6,1),Rechnungsjournal!$B$5:$B$34,"&lt;"&amp;DATE(2026,7,1)))</f>
        <v/>
      </c>
      <c r="D5" s="150">
        <f>IF(COUNTIFS(Rechnungsjournal!$G$5:$G$34,$A5,Rechnungsjournal!$B$5:$B$34,"&gt;="&amp;DATE(2026,7,1),Rechnungsjournal!$B$5:$B$34,"&lt;"&amp;DATE(2026,8,1))=0,"",SUMIFS(Rechnungsjournal!$N$5:$N$34,Rechnungsjournal!$G$5:$G$34,$A5,Rechnungsjournal!$B$5:$B$34,"&gt;="&amp;DATE(2026,7,1),Rechnungsjournal!$B$5:$B$34,"&lt;"&amp;DATE(2026,8,1)))</f>
        <v/>
      </c>
      <c r="E5" s="150">
        <f>IF(COUNTIFS(Rechnungsjournal!$G$5:$G$34,$A5,Rechnungsjournal!$B$5:$B$34,"&gt;="&amp;DATE(2026,8,1),Rechnungsjournal!$B$5:$B$34,"&lt;"&amp;DATE(2026,9,1))=0,"",SUMIFS(Rechnungsjournal!$N$5:$N$34,Rechnungsjournal!$G$5:$G$34,$A5,Rechnungsjournal!$B$5:$B$34,"&gt;="&amp;DATE(2026,8,1),Rechnungsjournal!$B$5:$B$34,"&lt;"&amp;DATE(2026,9,1)))</f>
        <v/>
      </c>
      <c r="F5" s="150">
        <f>IF(COUNTIFS(Rechnungsjournal!$G$5:$G$34,$A5,Rechnungsjournal!$B$5:$B$34,"&gt;="&amp;DATE(2026,9,1),Rechnungsjournal!$B$5:$B$34,"&lt;"&amp;DATE(2026,10,1))=0,"",SUMIFS(Rechnungsjournal!$N$5:$N$34,Rechnungsjournal!$G$5:$G$34,$A5,Rechnungsjournal!$B$5:$B$34,"&gt;="&amp;DATE(2026,9,1),Rechnungsjournal!$B$5:$B$34,"&lt;"&amp;DATE(2026,10,1)))</f>
        <v/>
      </c>
      <c r="G5" s="150">
        <f>IF(COUNTIFS(Rechnungsjournal!$G$5:$G$34,$A5,Rechnungsjournal!$B$5:$B$34,"&gt;="&amp;DATE(2026,10,1),Rechnungsjournal!$B$5:$B$34,"&lt;"&amp;DATE(2026,11,1))=0,"",SUMIFS(Rechnungsjournal!$N$5:$N$34,Rechnungsjournal!$G$5:$G$34,$A5,Rechnungsjournal!$B$5:$B$34,"&gt;="&amp;DATE(2026,10,1),Rechnungsjournal!$B$5:$B$34,"&lt;"&amp;DATE(2026,11,1)))</f>
        <v/>
      </c>
      <c r="H5" s="150">
        <f>IF(COUNTIFS(Rechnungsjournal!$G$5:$G$34,$A5,Rechnungsjournal!$B$5:$B$34,"&gt;="&amp;DATE(2026,11,1),Rechnungsjournal!$B$5:$B$34,"&lt;"&amp;DATE(2026,12,1))=0,"",SUMIFS(Rechnungsjournal!$N$5:$N$34,Rechnungsjournal!$G$5:$G$34,$A5,Rechnungsjournal!$B$5:$B$34,"&gt;="&amp;DATE(2026,11,1),Rechnungsjournal!$B$5:$B$34,"&lt;"&amp;DATE(2026,12,1)))</f>
        <v/>
      </c>
      <c r="I5" s="150">
        <f>IF(COUNTIFS(Rechnungsjournal!$G$5:$G$34,$A5,Rechnungsjournal!$B$5:$B$34,"&gt;="&amp;DATE(2026,12,1),Rechnungsjournal!$B$5:$B$34,"&lt;"&amp;DATE(2027,1,1))=0,"",SUMIFS(Rechnungsjournal!$N$5:$N$34,Rechnungsjournal!$G$5:$G$34,$A5,Rechnungsjournal!$B$5:$B$34,"&gt;="&amp;DATE(2026,12,1),Rechnungsjournal!$B$5:$B$34,"&lt;"&amp;DATE(2027,1,1)))</f>
        <v/>
      </c>
      <c r="J5" s="151">
        <f>SUM(B5:I5)</f>
        <v/>
      </c>
    </row>
    <row r="6" ht="15" customHeight="1" s="116">
      <c r="A6" s="149" t="inlineStr">
        <is>
          <t>Vercel</t>
        </is>
      </c>
      <c r="B6" s="150">
        <f>IF(COUNTIFS(Rechnungsjournal!$G$5:$G$34,$A6,Rechnungsjournal!$B$5:$B$34,"&gt;="&amp;DATE(2026,5,1),Rechnungsjournal!$B$5:$B$34,"&lt;"&amp;DATE(2026,6,1))=0,"",SUMIFS(Rechnungsjournal!$N$5:$N$34,Rechnungsjournal!$G$5:$G$34,$A6,Rechnungsjournal!$B$5:$B$34,"&gt;="&amp;DATE(2026,5,1),Rechnungsjournal!$B$5:$B$34,"&lt;"&amp;DATE(2026,6,1)))</f>
        <v/>
      </c>
      <c r="C6" s="150">
        <f>IF(COUNTIFS(Rechnungsjournal!$G$5:$G$34,$A6,Rechnungsjournal!$B$5:$B$34,"&gt;="&amp;DATE(2026,6,1),Rechnungsjournal!$B$5:$B$34,"&lt;"&amp;DATE(2026,7,1))=0,"",SUMIFS(Rechnungsjournal!$N$5:$N$34,Rechnungsjournal!$G$5:$G$34,$A6,Rechnungsjournal!$B$5:$B$34,"&gt;="&amp;DATE(2026,6,1),Rechnungsjournal!$B$5:$B$34,"&lt;"&amp;DATE(2026,7,1)))</f>
        <v/>
      </c>
      <c r="D6" s="150">
        <f>IF(COUNTIFS(Rechnungsjournal!$G$5:$G$34,$A6,Rechnungsjournal!$B$5:$B$34,"&gt;="&amp;DATE(2026,7,1),Rechnungsjournal!$B$5:$B$34,"&lt;"&amp;DATE(2026,8,1))=0,"",SUMIFS(Rechnungsjournal!$N$5:$N$34,Rechnungsjournal!$G$5:$G$34,$A6,Rechnungsjournal!$B$5:$B$34,"&gt;="&amp;DATE(2026,7,1),Rechnungsjournal!$B$5:$B$34,"&lt;"&amp;DATE(2026,8,1)))</f>
        <v/>
      </c>
      <c r="E6" s="150">
        <f>IF(COUNTIFS(Rechnungsjournal!$G$5:$G$34,$A6,Rechnungsjournal!$B$5:$B$34,"&gt;="&amp;DATE(2026,8,1),Rechnungsjournal!$B$5:$B$34,"&lt;"&amp;DATE(2026,9,1))=0,"",SUMIFS(Rechnungsjournal!$N$5:$N$34,Rechnungsjournal!$G$5:$G$34,$A6,Rechnungsjournal!$B$5:$B$34,"&gt;="&amp;DATE(2026,8,1),Rechnungsjournal!$B$5:$B$34,"&lt;"&amp;DATE(2026,9,1)))</f>
        <v/>
      </c>
      <c r="F6" s="150">
        <f>IF(COUNTIFS(Rechnungsjournal!$G$5:$G$34,$A6,Rechnungsjournal!$B$5:$B$34,"&gt;="&amp;DATE(2026,9,1),Rechnungsjournal!$B$5:$B$34,"&lt;"&amp;DATE(2026,10,1))=0,"",SUMIFS(Rechnungsjournal!$N$5:$N$34,Rechnungsjournal!$G$5:$G$34,$A6,Rechnungsjournal!$B$5:$B$34,"&gt;="&amp;DATE(2026,9,1),Rechnungsjournal!$B$5:$B$34,"&lt;"&amp;DATE(2026,10,1)))</f>
        <v/>
      </c>
      <c r="G6" s="150">
        <f>IF(COUNTIFS(Rechnungsjournal!$G$5:$G$34,$A6,Rechnungsjournal!$B$5:$B$34,"&gt;="&amp;DATE(2026,10,1),Rechnungsjournal!$B$5:$B$34,"&lt;"&amp;DATE(2026,11,1))=0,"",SUMIFS(Rechnungsjournal!$N$5:$N$34,Rechnungsjournal!$G$5:$G$34,$A6,Rechnungsjournal!$B$5:$B$34,"&gt;="&amp;DATE(2026,10,1),Rechnungsjournal!$B$5:$B$34,"&lt;"&amp;DATE(2026,11,1)))</f>
        <v/>
      </c>
      <c r="H6" s="150">
        <f>IF(COUNTIFS(Rechnungsjournal!$G$5:$G$34,$A6,Rechnungsjournal!$B$5:$B$34,"&gt;="&amp;DATE(2026,11,1),Rechnungsjournal!$B$5:$B$34,"&lt;"&amp;DATE(2026,12,1))=0,"",SUMIFS(Rechnungsjournal!$N$5:$N$34,Rechnungsjournal!$G$5:$G$34,$A6,Rechnungsjournal!$B$5:$B$34,"&gt;="&amp;DATE(2026,11,1),Rechnungsjournal!$B$5:$B$34,"&lt;"&amp;DATE(2026,12,1)))</f>
        <v/>
      </c>
      <c r="I6" s="150">
        <f>IF(COUNTIFS(Rechnungsjournal!$G$5:$G$34,$A6,Rechnungsjournal!$B$5:$B$34,"&gt;="&amp;DATE(2026,12,1),Rechnungsjournal!$B$5:$B$34,"&lt;"&amp;DATE(2027,1,1))=0,"",SUMIFS(Rechnungsjournal!$N$5:$N$34,Rechnungsjournal!$G$5:$G$34,$A6,Rechnungsjournal!$B$5:$B$34,"&gt;="&amp;DATE(2026,12,1),Rechnungsjournal!$B$5:$B$34,"&lt;"&amp;DATE(2027,1,1)))</f>
        <v/>
      </c>
      <c r="J6" s="151">
        <f>SUM(B6:I6)</f>
        <v/>
      </c>
    </row>
    <row r="7" ht="15" customHeight="1" s="116">
      <c r="A7" s="149" t="inlineStr">
        <is>
          <t>Anthropic — direkt</t>
        </is>
      </c>
      <c r="B7" s="150">
        <f>IF(COUNTIFS(Rechnungsjournal!$G$5:$G$34,$A7,Rechnungsjournal!$B$5:$B$34,"&gt;="&amp;DATE(2026,5,1),Rechnungsjournal!$B$5:$B$34,"&lt;"&amp;DATE(2026,6,1))=0,"",SUMIFS(Rechnungsjournal!$N$5:$N$34,Rechnungsjournal!$G$5:$G$34,$A7,Rechnungsjournal!$B$5:$B$34,"&gt;="&amp;DATE(2026,5,1),Rechnungsjournal!$B$5:$B$34,"&lt;"&amp;DATE(2026,6,1)))</f>
        <v/>
      </c>
      <c r="C7" s="150">
        <f>IF(COUNTIFS(Rechnungsjournal!$G$5:$G$34,$A7,Rechnungsjournal!$B$5:$B$34,"&gt;="&amp;DATE(2026,6,1),Rechnungsjournal!$B$5:$B$34,"&lt;"&amp;DATE(2026,7,1))=0,"",SUMIFS(Rechnungsjournal!$N$5:$N$34,Rechnungsjournal!$G$5:$G$34,$A7,Rechnungsjournal!$B$5:$B$34,"&gt;="&amp;DATE(2026,6,1),Rechnungsjournal!$B$5:$B$34,"&lt;"&amp;DATE(2026,7,1)))</f>
        <v/>
      </c>
      <c r="D7" s="150">
        <f>IF(COUNTIFS(Rechnungsjournal!$G$5:$G$34,$A7,Rechnungsjournal!$B$5:$B$34,"&gt;="&amp;DATE(2026,7,1),Rechnungsjournal!$B$5:$B$34,"&lt;"&amp;DATE(2026,8,1))=0,"",SUMIFS(Rechnungsjournal!$N$5:$N$34,Rechnungsjournal!$G$5:$G$34,$A7,Rechnungsjournal!$B$5:$B$34,"&gt;="&amp;DATE(2026,7,1),Rechnungsjournal!$B$5:$B$34,"&lt;"&amp;DATE(2026,8,1)))</f>
        <v/>
      </c>
      <c r="E7" s="150">
        <f>IF(COUNTIFS(Rechnungsjournal!$G$5:$G$34,$A7,Rechnungsjournal!$B$5:$B$34,"&gt;="&amp;DATE(2026,8,1),Rechnungsjournal!$B$5:$B$34,"&lt;"&amp;DATE(2026,9,1))=0,"",SUMIFS(Rechnungsjournal!$N$5:$N$34,Rechnungsjournal!$G$5:$G$34,$A7,Rechnungsjournal!$B$5:$B$34,"&gt;="&amp;DATE(2026,8,1),Rechnungsjournal!$B$5:$B$34,"&lt;"&amp;DATE(2026,9,1)))</f>
        <v/>
      </c>
      <c r="F7" s="150">
        <f>IF(COUNTIFS(Rechnungsjournal!$G$5:$G$34,$A7,Rechnungsjournal!$B$5:$B$34,"&gt;="&amp;DATE(2026,9,1),Rechnungsjournal!$B$5:$B$34,"&lt;"&amp;DATE(2026,10,1))=0,"",SUMIFS(Rechnungsjournal!$N$5:$N$34,Rechnungsjournal!$G$5:$G$34,$A7,Rechnungsjournal!$B$5:$B$34,"&gt;="&amp;DATE(2026,9,1),Rechnungsjournal!$B$5:$B$34,"&lt;"&amp;DATE(2026,10,1)))</f>
        <v/>
      </c>
      <c r="G7" s="150">
        <f>IF(COUNTIFS(Rechnungsjournal!$G$5:$G$34,$A7,Rechnungsjournal!$B$5:$B$34,"&gt;="&amp;DATE(2026,10,1),Rechnungsjournal!$B$5:$B$34,"&lt;"&amp;DATE(2026,11,1))=0,"",SUMIFS(Rechnungsjournal!$N$5:$N$34,Rechnungsjournal!$G$5:$G$34,$A7,Rechnungsjournal!$B$5:$B$34,"&gt;="&amp;DATE(2026,10,1),Rechnungsjournal!$B$5:$B$34,"&lt;"&amp;DATE(2026,11,1)))</f>
        <v/>
      </c>
      <c r="H7" s="150">
        <f>IF(COUNTIFS(Rechnungsjournal!$G$5:$G$34,$A7,Rechnungsjournal!$B$5:$B$34,"&gt;="&amp;DATE(2026,11,1),Rechnungsjournal!$B$5:$B$34,"&lt;"&amp;DATE(2026,12,1))=0,"",SUMIFS(Rechnungsjournal!$N$5:$N$34,Rechnungsjournal!$G$5:$G$34,$A7,Rechnungsjournal!$B$5:$B$34,"&gt;="&amp;DATE(2026,11,1),Rechnungsjournal!$B$5:$B$34,"&lt;"&amp;DATE(2026,12,1)))</f>
        <v/>
      </c>
      <c r="I7" s="150">
        <f>IF(COUNTIFS(Rechnungsjournal!$G$5:$G$34,$A7,Rechnungsjournal!$B$5:$B$34,"&gt;="&amp;DATE(2026,12,1),Rechnungsjournal!$B$5:$B$34,"&lt;"&amp;DATE(2027,1,1))=0,"",SUMIFS(Rechnungsjournal!$N$5:$N$34,Rechnungsjournal!$G$5:$G$34,$A7,Rechnungsjournal!$B$5:$B$34,"&gt;="&amp;DATE(2026,12,1),Rechnungsjournal!$B$5:$B$34,"&lt;"&amp;DATE(2027,1,1)))</f>
        <v/>
      </c>
      <c r="J7" s="151">
        <f>SUM(B7:I7)</f>
        <v/>
      </c>
    </row>
    <row r="8" ht="15" customHeight="1" s="116">
      <c r="A8" s="149" t="inlineStr">
        <is>
          <t>Claude Pro (Apple/iTunes)</t>
        </is>
      </c>
      <c r="B8" s="152">
        <f>IF(COUNTIFS(Rechnungsjournal!$G$5:$G$34,$A8,Rechnungsjournal!$B$5:$B$34,"&gt;="&amp;DATE(2026,5,1),Rechnungsjournal!$B$5:$B$34,"&lt;"&amp;DATE(2026,6,1))=0,"",SUMIFS(Rechnungsjournal!$N$5:$N$34,Rechnungsjournal!$G$5:$G$34,$A8,Rechnungsjournal!$B$5:$B$34,"&gt;="&amp;DATE(2026,5,1),Rechnungsjournal!$B$5:$B$34,"&lt;"&amp;DATE(2026,6,1)))</f>
        <v/>
      </c>
      <c r="C8" s="152">
        <f>IF(COUNTIFS(Rechnungsjournal!$G$5:$G$34,$A8,Rechnungsjournal!$B$5:$B$34,"&gt;="&amp;DATE(2026,6,1),Rechnungsjournal!$B$5:$B$34,"&lt;"&amp;DATE(2026,7,1))=0,"",SUMIFS(Rechnungsjournal!$N$5:$N$34,Rechnungsjournal!$G$5:$G$34,$A8,Rechnungsjournal!$B$5:$B$34,"&gt;="&amp;DATE(2026,6,1),Rechnungsjournal!$B$5:$B$34,"&lt;"&amp;DATE(2026,7,1)))</f>
        <v/>
      </c>
      <c r="D8" s="152">
        <f>IF(COUNTIFS(Rechnungsjournal!$G$5:$G$34,$A8,Rechnungsjournal!$B$5:$B$34,"&gt;="&amp;DATE(2026,7,1),Rechnungsjournal!$B$5:$B$34,"&lt;"&amp;DATE(2026,8,1))=0,"",SUMIFS(Rechnungsjournal!$N$5:$N$34,Rechnungsjournal!$G$5:$G$34,$A8,Rechnungsjournal!$B$5:$B$34,"&gt;="&amp;DATE(2026,7,1),Rechnungsjournal!$B$5:$B$34,"&lt;"&amp;DATE(2026,8,1)))</f>
        <v/>
      </c>
      <c r="E8" s="152">
        <f>IF(COUNTIFS(Rechnungsjournal!$G$5:$G$34,$A8,Rechnungsjournal!$B$5:$B$34,"&gt;="&amp;DATE(2026,8,1),Rechnungsjournal!$B$5:$B$34,"&lt;"&amp;DATE(2026,9,1))=0,"",SUMIFS(Rechnungsjournal!$N$5:$N$34,Rechnungsjournal!$G$5:$G$34,$A8,Rechnungsjournal!$B$5:$B$34,"&gt;="&amp;DATE(2026,8,1),Rechnungsjournal!$B$5:$B$34,"&lt;"&amp;DATE(2026,9,1)))</f>
        <v/>
      </c>
      <c r="F8" s="152">
        <f>IF(COUNTIFS(Rechnungsjournal!$G$5:$G$34,$A8,Rechnungsjournal!$B$5:$B$34,"&gt;="&amp;DATE(2026,9,1),Rechnungsjournal!$B$5:$B$34,"&lt;"&amp;DATE(2026,10,1))=0,"",SUMIFS(Rechnungsjournal!$N$5:$N$34,Rechnungsjournal!$G$5:$G$34,$A8,Rechnungsjournal!$B$5:$B$34,"&gt;="&amp;DATE(2026,9,1),Rechnungsjournal!$B$5:$B$34,"&lt;"&amp;DATE(2026,10,1)))</f>
        <v/>
      </c>
      <c r="G8" s="152">
        <f>IF(COUNTIFS(Rechnungsjournal!$G$5:$G$34,$A8,Rechnungsjournal!$B$5:$B$34,"&gt;="&amp;DATE(2026,10,1),Rechnungsjournal!$B$5:$B$34,"&lt;"&amp;DATE(2026,11,1))=0,"",SUMIFS(Rechnungsjournal!$N$5:$N$34,Rechnungsjournal!$G$5:$G$34,$A8,Rechnungsjournal!$B$5:$B$34,"&gt;="&amp;DATE(2026,10,1),Rechnungsjournal!$B$5:$B$34,"&lt;"&amp;DATE(2026,11,1)))</f>
        <v/>
      </c>
      <c r="H8" s="152">
        <f>IF(COUNTIFS(Rechnungsjournal!$G$5:$G$34,$A8,Rechnungsjournal!$B$5:$B$34,"&gt;="&amp;DATE(2026,11,1),Rechnungsjournal!$B$5:$B$34,"&lt;"&amp;DATE(2026,12,1))=0,"",SUMIFS(Rechnungsjournal!$N$5:$N$34,Rechnungsjournal!$G$5:$G$34,$A8,Rechnungsjournal!$B$5:$B$34,"&gt;="&amp;DATE(2026,11,1),Rechnungsjournal!$B$5:$B$34,"&lt;"&amp;DATE(2026,12,1)))</f>
        <v/>
      </c>
      <c r="I8" s="152">
        <f>IF(COUNTIFS(Rechnungsjournal!$G$5:$G$34,$A8,Rechnungsjournal!$B$5:$B$34,"&gt;="&amp;DATE(2026,12,1),Rechnungsjournal!$B$5:$B$34,"&lt;"&amp;DATE(2027,1,1))=0,"",SUMIFS(Rechnungsjournal!$N$5:$N$34,Rechnungsjournal!$G$5:$G$34,$A8,Rechnungsjournal!$B$5:$B$34,"&gt;="&amp;DATE(2026,12,1),Rechnungsjournal!$B$5:$B$34,"&lt;"&amp;DATE(2027,1,1)))</f>
        <v/>
      </c>
      <c r="J8" s="153">
        <f>SUM(B8:I8)</f>
        <v/>
      </c>
    </row>
    <row r="9" ht="15" customHeight="1" s="116">
      <c r="A9" s="149" t="inlineStr">
        <is>
          <t>OpenAI</t>
        </is>
      </c>
      <c r="B9" s="150">
        <f>IF(COUNTIFS(Rechnungsjournal!$G$5:$G$34,$A9,Rechnungsjournal!$B$5:$B$34,"&gt;="&amp;DATE(2026,5,1),Rechnungsjournal!$B$5:$B$34,"&lt;"&amp;DATE(2026,6,1))=0,"",SUMIFS(Rechnungsjournal!$N$5:$N$34,Rechnungsjournal!$G$5:$G$34,$A9,Rechnungsjournal!$B$5:$B$34,"&gt;="&amp;DATE(2026,5,1),Rechnungsjournal!$B$5:$B$34,"&lt;"&amp;DATE(2026,6,1)))</f>
        <v/>
      </c>
      <c r="C9" s="150">
        <f>IF(COUNTIFS(Rechnungsjournal!$G$5:$G$34,$A9,Rechnungsjournal!$B$5:$B$34,"&gt;="&amp;DATE(2026,6,1),Rechnungsjournal!$B$5:$B$34,"&lt;"&amp;DATE(2026,7,1))=0,"",SUMIFS(Rechnungsjournal!$N$5:$N$34,Rechnungsjournal!$G$5:$G$34,$A9,Rechnungsjournal!$B$5:$B$34,"&gt;="&amp;DATE(2026,6,1),Rechnungsjournal!$B$5:$B$34,"&lt;"&amp;DATE(2026,7,1)))</f>
        <v/>
      </c>
      <c r="D9" s="150">
        <f>IF(COUNTIFS(Rechnungsjournal!$G$5:$G$34,$A9,Rechnungsjournal!$B$5:$B$34,"&gt;="&amp;DATE(2026,7,1),Rechnungsjournal!$B$5:$B$34,"&lt;"&amp;DATE(2026,8,1))=0,"",SUMIFS(Rechnungsjournal!$N$5:$N$34,Rechnungsjournal!$G$5:$G$34,$A9,Rechnungsjournal!$B$5:$B$34,"&gt;="&amp;DATE(2026,7,1),Rechnungsjournal!$B$5:$B$34,"&lt;"&amp;DATE(2026,8,1)))</f>
        <v/>
      </c>
      <c r="E9" s="150">
        <f>IF(COUNTIFS(Rechnungsjournal!$G$5:$G$34,$A9,Rechnungsjournal!$B$5:$B$34,"&gt;="&amp;DATE(2026,8,1),Rechnungsjournal!$B$5:$B$34,"&lt;"&amp;DATE(2026,9,1))=0,"",SUMIFS(Rechnungsjournal!$N$5:$N$34,Rechnungsjournal!$G$5:$G$34,$A9,Rechnungsjournal!$B$5:$B$34,"&gt;="&amp;DATE(2026,8,1),Rechnungsjournal!$B$5:$B$34,"&lt;"&amp;DATE(2026,9,1)))</f>
        <v/>
      </c>
      <c r="F9" s="150">
        <f>IF(COUNTIFS(Rechnungsjournal!$G$5:$G$34,$A9,Rechnungsjournal!$B$5:$B$34,"&gt;="&amp;DATE(2026,9,1),Rechnungsjournal!$B$5:$B$34,"&lt;"&amp;DATE(2026,10,1))=0,"",SUMIFS(Rechnungsjournal!$N$5:$N$34,Rechnungsjournal!$G$5:$G$34,$A9,Rechnungsjournal!$B$5:$B$34,"&gt;="&amp;DATE(2026,9,1),Rechnungsjournal!$B$5:$B$34,"&lt;"&amp;DATE(2026,10,1)))</f>
        <v/>
      </c>
      <c r="G9" s="150">
        <f>IF(COUNTIFS(Rechnungsjournal!$G$5:$G$34,$A9,Rechnungsjournal!$B$5:$B$34,"&gt;="&amp;DATE(2026,10,1),Rechnungsjournal!$B$5:$B$34,"&lt;"&amp;DATE(2026,11,1))=0,"",SUMIFS(Rechnungsjournal!$N$5:$N$34,Rechnungsjournal!$G$5:$G$34,$A9,Rechnungsjournal!$B$5:$B$34,"&gt;="&amp;DATE(2026,10,1),Rechnungsjournal!$B$5:$B$34,"&lt;"&amp;DATE(2026,11,1)))</f>
        <v/>
      </c>
      <c r="H9" s="150">
        <f>IF(COUNTIFS(Rechnungsjournal!$G$5:$G$34,$A9,Rechnungsjournal!$B$5:$B$34,"&gt;="&amp;DATE(2026,11,1),Rechnungsjournal!$B$5:$B$34,"&lt;"&amp;DATE(2026,12,1))=0,"",SUMIFS(Rechnungsjournal!$N$5:$N$34,Rechnungsjournal!$G$5:$G$34,$A9,Rechnungsjournal!$B$5:$B$34,"&gt;="&amp;DATE(2026,11,1),Rechnungsjournal!$B$5:$B$34,"&lt;"&amp;DATE(2026,12,1)))</f>
        <v/>
      </c>
      <c r="I9" s="150">
        <f>IF(COUNTIFS(Rechnungsjournal!$G$5:$G$34,$A9,Rechnungsjournal!$B$5:$B$34,"&gt;="&amp;DATE(2026,12,1),Rechnungsjournal!$B$5:$B$34,"&lt;"&amp;DATE(2027,1,1))=0,"",SUMIFS(Rechnungsjournal!$N$5:$N$34,Rechnungsjournal!$G$5:$G$34,$A9,Rechnungsjournal!$B$5:$B$34,"&gt;="&amp;DATE(2026,12,1),Rechnungsjournal!$B$5:$B$34,"&lt;"&amp;DATE(2027,1,1)))</f>
        <v/>
      </c>
      <c r="J9" s="151">
        <f>SUM(B9:I9)</f>
        <v/>
      </c>
    </row>
    <row r="10" ht="15" customHeight="1" s="116">
      <c r="A10" s="149" t="inlineStr">
        <is>
          <t>Resend</t>
        </is>
      </c>
      <c r="B10" s="154" t="n"/>
      <c r="C10" s="154" t="n"/>
      <c r="D10" s="154" t="n"/>
      <c r="E10" s="154" t="n"/>
      <c r="F10" s="154" t="n"/>
      <c r="G10" s="154" t="n"/>
      <c r="H10" s="154" t="n"/>
      <c r="I10" s="154" t="n"/>
      <c r="J10" s="155">
        <f>SUM(B10:I10)</f>
        <v/>
      </c>
    </row>
    <row r="11" ht="15" customHeight="1" s="116">
      <c r="A11" s="149" t="inlineStr">
        <is>
          <t>Domain sofortangebot.app</t>
        </is>
      </c>
      <c r="B11" s="152">
        <f>IF(COUNTIFS(Rechnungsjournal!$G$5:$G$34,$A11,Rechnungsjournal!$B$5:$B$34,"&gt;="&amp;DATE(2026,5,1),Rechnungsjournal!$B$5:$B$34,"&lt;"&amp;DATE(2026,6,1))=0,"",SUMIFS(Rechnungsjournal!$N$5:$N$34,Rechnungsjournal!$G$5:$G$34,$A11,Rechnungsjournal!$B$5:$B$34,"&gt;="&amp;DATE(2026,5,1),Rechnungsjournal!$B$5:$B$34,"&lt;"&amp;DATE(2026,6,1)))</f>
        <v/>
      </c>
      <c r="C11" s="152">
        <f>IF(COUNTIFS(Rechnungsjournal!$G$5:$G$34,$A11,Rechnungsjournal!$B$5:$B$34,"&gt;="&amp;DATE(2026,6,1),Rechnungsjournal!$B$5:$B$34,"&lt;"&amp;DATE(2026,7,1))=0,"",SUMIFS(Rechnungsjournal!$N$5:$N$34,Rechnungsjournal!$G$5:$G$34,$A11,Rechnungsjournal!$B$5:$B$34,"&gt;="&amp;DATE(2026,6,1),Rechnungsjournal!$B$5:$B$34,"&lt;"&amp;DATE(2026,7,1)))</f>
        <v/>
      </c>
      <c r="D11" s="152">
        <f>IF(COUNTIFS(Rechnungsjournal!$G$5:$G$34,$A11,Rechnungsjournal!$B$5:$B$34,"&gt;="&amp;DATE(2026,7,1),Rechnungsjournal!$B$5:$B$34,"&lt;"&amp;DATE(2026,8,1))=0,"",SUMIFS(Rechnungsjournal!$N$5:$N$34,Rechnungsjournal!$G$5:$G$34,$A11,Rechnungsjournal!$B$5:$B$34,"&gt;="&amp;DATE(2026,7,1),Rechnungsjournal!$B$5:$B$34,"&lt;"&amp;DATE(2026,8,1)))</f>
        <v/>
      </c>
      <c r="E11" s="152">
        <f>IF(COUNTIFS(Rechnungsjournal!$G$5:$G$34,$A11,Rechnungsjournal!$B$5:$B$34,"&gt;="&amp;DATE(2026,8,1),Rechnungsjournal!$B$5:$B$34,"&lt;"&amp;DATE(2026,9,1))=0,"",SUMIFS(Rechnungsjournal!$N$5:$N$34,Rechnungsjournal!$G$5:$G$34,$A11,Rechnungsjournal!$B$5:$B$34,"&gt;="&amp;DATE(2026,8,1),Rechnungsjournal!$B$5:$B$34,"&lt;"&amp;DATE(2026,9,1)))</f>
        <v/>
      </c>
      <c r="F11" s="152">
        <f>IF(COUNTIFS(Rechnungsjournal!$G$5:$G$34,$A11,Rechnungsjournal!$B$5:$B$34,"&gt;="&amp;DATE(2026,9,1),Rechnungsjournal!$B$5:$B$34,"&lt;"&amp;DATE(2026,10,1))=0,"",SUMIFS(Rechnungsjournal!$N$5:$N$34,Rechnungsjournal!$G$5:$G$34,$A11,Rechnungsjournal!$B$5:$B$34,"&gt;="&amp;DATE(2026,9,1),Rechnungsjournal!$B$5:$B$34,"&lt;"&amp;DATE(2026,10,1)))</f>
        <v/>
      </c>
      <c r="G11" s="152">
        <f>IF(COUNTIFS(Rechnungsjournal!$G$5:$G$34,$A11,Rechnungsjournal!$B$5:$B$34,"&gt;="&amp;DATE(2026,10,1),Rechnungsjournal!$B$5:$B$34,"&lt;"&amp;DATE(2026,11,1))=0,"",SUMIFS(Rechnungsjournal!$N$5:$N$34,Rechnungsjournal!$G$5:$G$34,$A11,Rechnungsjournal!$B$5:$B$34,"&gt;="&amp;DATE(2026,10,1),Rechnungsjournal!$B$5:$B$34,"&lt;"&amp;DATE(2026,11,1)))</f>
        <v/>
      </c>
      <c r="H11" s="152">
        <f>IF(COUNTIFS(Rechnungsjournal!$G$5:$G$34,$A11,Rechnungsjournal!$B$5:$B$34,"&gt;="&amp;DATE(2026,11,1),Rechnungsjournal!$B$5:$B$34,"&lt;"&amp;DATE(2026,12,1))=0,"",SUMIFS(Rechnungsjournal!$N$5:$N$34,Rechnungsjournal!$G$5:$G$34,$A11,Rechnungsjournal!$B$5:$B$34,"&gt;="&amp;DATE(2026,11,1),Rechnungsjournal!$B$5:$B$34,"&lt;"&amp;DATE(2026,12,1)))</f>
        <v/>
      </c>
      <c r="I11" s="152">
        <f>IF(COUNTIFS(Rechnungsjournal!$G$5:$G$34,$A11,Rechnungsjournal!$B$5:$B$34,"&gt;="&amp;DATE(2026,12,1),Rechnungsjournal!$B$5:$B$34,"&lt;"&amp;DATE(2027,1,1))=0,"",SUMIFS(Rechnungsjournal!$N$5:$N$34,Rechnungsjournal!$G$5:$G$34,$A11,Rechnungsjournal!$B$5:$B$34,"&gt;="&amp;DATE(2026,12,1),Rechnungsjournal!$B$5:$B$34,"&lt;"&amp;DATE(2027,1,1)))</f>
        <v/>
      </c>
      <c r="J11" s="153">
        <f>SUM(B11:I11)</f>
        <v/>
      </c>
    </row>
    <row r="12" ht="15" customHeight="1" s="116">
      <c r="A12" s="149" t="inlineStr">
        <is>
          <t>Sentry</t>
        </is>
      </c>
      <c r="B12" s="154" t="n"/>
      <c r="C12" s="154" t="n"/>
      <c r="D12" s="154" t="n"/>
      <c r="E12" s="154" t="n"/>
      <c r="F12" s="154" t="n"/>
      <c r="G12" s="154" t="n"/>
      <c r="H12" s="154" t="n"/>
      <c r="I12" s="154" t="n"/>
      <c r="J12" s="155">
        <f>SUM(B12:I12)</f>
        <v/>
      </c>
    </row>
    <row r="13" ht="15" customHeight="1" s="116">
      <c r="A13" s="149" t="inlineStr">
        <is>
          <t>Stripe</t>
        </is>
      </c>
      <c r="B13" s="154" t="n"/>
      <c r="C13" s="154" t="n"/>
      <c r="D13" s="154" t="n"/>
      <c r="E13" s="154" t="n"/>
      <c r="F13" s="154" t="n"/>
      <c r="G13" s="154" t="n"/>
      <c r="H13" s="154" t="n"/>
      <c r="I13" s="154" t="n"/>
      <c r="J13" s="155">
        <f>SUM(B13:I13)</f>
        <v/>
      </c>
    </row>
    <row r="14" ht="15" customHeight="1" s="116">
      <c r="A14" s="149" t="inlineStr">
        <is>
          <t>GitHub Actions (Backup-Artefakte)</t>
        </is>
      </c>
      <c r="B14" s="154" t="n"/>
      <c r="C14" s="154" t="n"/>
      <c r="D14" s="154" t="n"/>
      <c r="E14" s="154" t="n"/>
      <c r="F14" s="154" t="n"/>
      <c r="G14" s="154" t="n"/>
      <c r="H14" s="154" t="n"/>
      <c r="I14" s="154" t="n"/>
      <c r="J14" s="155">
        <f>SUM(B14:I14)</f>
        <v/>
      </c>
    </row>
    <row r="16" ht="15" customHeight="1" s="116">
      <c r="A16" s="129" t="inlineStr">
        <is>
          <t>Monatssumme USD</t>
        </is>
      </c>
      <c r="B16" s="131">
        <f>IF(B5="",0,B5)+IF(B6="",0,B6)+IF(B7="",0,B7)+IF(B9="",0,B9)</f>
        <v/>
      </c>
      <c r="C16" s="131">
        <f>IF(C5="",0,C5)+IF(C6="",0,C6)+IF(C7="",0,C7)+IF(C9="",0,C9)</f>
        <v/>
      </c>
      <c r="D16" s="131">
        <f>IF(D5="",0,D5)+IF(D6="",0,D6)+IF(D7="",0,D7)+IF(D9="",0,D9)</f>
        <v/>
      </c>
      <c r="E16" s="131">
        <f>IF(E5="",0,E5)+IF(E6="",0,E6)+IF(E7="",0,E7)+IF(E9="",0,E9)</f>
        <v/>
      </c>
      <c r="F16" s="131">
        <f>IF(F5="",0,F5)+IF(F6="",0,F6)+IF(F7="",0,F7)+IF(F9="",0,F9)</f>
        <v/>
      </c>
      <c r="G16" s="131">
        <f>IF(G5="",0,G5)+IF(G6="",0,G6)+IF(G7="",0,G7)+IF(G9="",0,G9)</f>
        <v/>
      </c>
      <c r="H16" s="131">
        <f>IF(H5="",0,H5)+IF(H6="",0,H6)+IF(H7="",0,H7)+IF(H9="",0,H9)</f>
        <v/>
      </c>
      <c r="I16" s="131">
        <f>IF(I5="",0,I5)+IF(I6="",0,I6)+IF(I7="",0,I7)+IF(I9="",0,I9)</f>
        <v/>
      </c>
      <c r="J16" s="156" t="n"/>
    </row>
    <row r="17" ht="15" customHeight="1" s="116">
      <c r="A17" s="129" t="inlineStr">
        <is>
          <t>Monatssumme EUR</t>
        </is>
      </c>
      <c r="B17" s="132">
        <f>IF(B8="",0,B8)+IF(B11="",0,B11)</f>
        <v/>
      </c>
      <c r="C17" s="132">
        <f>IF(C8="",0,C8)+IF(C11="",0,C11)</f>
        <v/>
      </c>
      <c r="D17" s="132">
        <f>IF(D8="",0,D8)+IF(D11="",0,D11)</f>
        <v/>
      </c>
      <c r="E17" s="132">
        <f>IF(E8="",0,E8)+IF(E11="",0,E11)</f>
        <v/>
      </c>
      <c r="F17" s="132">
        <f>IF(F8="",0,F8)+IF(F11="",0,F11)</f>
        <v/>
      </c>
      <c r="G17" s="132">
        <f>IF(G8="",0,G8)+IF(G11="",0,G11)</f>
        <v/>
      </c>
      <c r="H17" s="132">
        <f>IF(H8="",0,H8)+IF(H11="",0,H11)</f>
        <v/>
      </c>
      <c r="I17" s="132">
        <f>IF(I8="",0,I8)+IF(I11="",0,I11)</f>
        <v/>
      </c>
      <c r="J17" s="156" t="n"/>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88"/>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0" customWidth="1" style="213" min="1" max="1"/>
    <col width="20" customWidth="1" style="213" min="2" max="4"/>
    <col width="18" customWidth="1" style="213" min="5" max="7"/>
  </cols>
  <sheetData>
    <row r="1" ht="17.25" customHeight="1" s="116">
      <c r="A1" s="117" t="inlineStr">
        <is>
          <t>Finanzplan Sofortangebot — Deckblatt (Fassung 2, 03.09.2026)</t>
        </is>
      </c>
    </row>
    <row r="2" ht="15" customHeight="1" s="116">
      <c r="A2" s="157" t="inlineStr">
        <is>
          <t>Die Zahlen, die Sandy braucht, je Szenario. Alles Weitere ist Beleg: 'Plan-Annahmen' (alle Eingaben, gelb) · 'Plan-Kunden' (Kanalmodell und Zeitbudget) · 'Plan-Kosten' (Vollständigkeits-Katalog A–H) · 'Plan-24M' (Monatsraster) · 'Plan-Phase B' (Ausstiegsstufen). Diese Fassung rechnet mit der Rechtsform-Entscheidung vom Abend des 03.09.2026: Einzelunternehmen ab Oktober 2026, UG erst bei rund 20 zahlenden Betrieben. Die erste Fassung (UG ab Monat 1) ist ersetzt — der Vergleich steht unten, die Begründung in docs/chief-of-staff-finance-todos.md.</t>
        </is>
      </c>
    </row>
    <row r="3" ht="15" customHeight="1" s="116"/>
    <row r="4" ht="15" customHeight="1" s="116"/>
    <row r="6" ht="26.25" customHeight="1" s="116">
      <c r="A6" s="158" t="inlineStr">
        <is>
          <t>Was der Plan jetzt kostet statt vorher: 15 € Gründung statt rund 1.700 € (Notar, Handelsregister, Stammkapital) und 800 €/Jahr Buchhaltung statt 3.000 €/Jahr — solange Sandy Einzelunternehmerin ist. Gewerbesteuer und IHK-Beitrag fallen im ganzen Horizont weg (Freibetrag § 11 GewStG, Gründerbefreiung § 3 Abs. 3 IHKG). — Nachtrag 17.09.2026: Mit der Regelbesteuerung sinken die laufenden Kosten um rund 17 €/Monat (Vorsteuer auf Lexware, Vercel, Anthropic, Claude Pro, IONOS). Das verschiebt den Break-even im realistischen Szenario NICHT (weiter Monat 11), verbessert aber den Tiefpunkt der Liquiditaet um rund 300 € und im vorsichtigen Szenario den ersten profitablen Monat von 23 auf 21.</t>
        </is>
      </c>
    </row>
    <row r="8" ht="15" customHeight="1" s="116">
      <c r="A8" s="119" t="inlineStr">
        <is>
          <t>Szenario</t>
        </is>
      </c>
      <c r="B8" s="119" t="inlineStr">
        <is>
          <t>Vorsichtig</t>
        </is>
      </c>
      <c r="C8" s="119" t="inlineStr">
        <is>
          <t>Realistisch</t>
        </is>
      </c>
      <c r="D8" s="119" t="inlineStr">
        <is>
          <t>Optimistisch</t>
        </is>
      </c>
    </row>
    <row r="9" ht="15" customHeight="1" s="116">
      <c r="A9" s="149" t="inlineStr">
        <is>
          <t>Neukunden aus dem Kanalplan (Σ 24 Monate, Marketing)</t>
        </is>
      </c>
      <c r="B9" s="159">
        <f>'Plan-Kunden'!$C$32</f>
        <v/>
      </c>
      <c r="C9" s="159">
        <f>'Plan-Kunden'!$C$61</f>
        <v/>
      </c>
      <c r="D9" s="159">
        <f>'Plan-Kunden'!$C$90</f>
        <v/>
      </c>
    </row>
    <row r="10" ht="15" customHeight="1" s="116">
      <c r="A10" s="149" t="inlineStr">
        <is>
          <t>davon zusätzlich durch Mundpropaganda</t>
        </is>
      </c>
      <c r="B10" s="159">
        <f>'Plan-Kunden'!$D$32</f>
        <v/>
      </c>
      <c r="C10" s="159">
        <f>'Plan-Kunden'!$D$61</f>
        <v/>
      </c>
      <c r="D10" s="159">
        <f>'Plan-Kunden'!$D$90</f>
        <v/>
      </c>
    </row>
    <row r="11" ht="15" customHeight="1" s="116">
      <c r="A11" s="149" t="inlineStr">
        <is>
          <t>Abwanderung Standardkunden pro Monat (Annahme)</t>
        </is>
      </c>
      <c r="B11" s="160">
        <f>'Plan-Annahmen'!$B$44</f>
        <v/>
      </c>
      <c r="C11" s="160">
        <f>'Plan-Annahmen'!$B$45</f>
        <v/>
      </c>
      <c r="D11" s="160">
        <f>'Plan-Annahmen'!$B$46</f>
        <v/>
      </c>
    </row>
    <row r="12" ht="15" customHeight="1" s="116">
      <c r="A12" s="129" t="inlineStr">
        <is>
          <t>Zahlende Betriebe am Ende (Monat 24)</t>
        </is>
      </c>
      <c r="B12" s="161">
        <f>'Plan-Kunden'!$K$32</f>
        <v/>
      </c>
      <c r="C12" s="161">
        <f>'Plan-Kunden'!$K$61</f>
        <v/>
      </c>
      <c r="D12" s="161">
        <f>'Plan-Kunden'!$K$90</f>
        <v/>
      </c>
    </row>
    <row r="14" ht="15" customHeight="1" s="116">
      <c r="A14" s="133" t="inlineStr">
        <is>
          <t>1) Wann trägt es sich?</t>
        </is>
      </c>
    </row>
    <row r="15" ht="15" customHeight="1" s="116">
      <c r="A15" s="129" t="inlineStr">
        <is>
          <t>Erster Monat mit positivem Monatsergebnis — NEUE Fassung</t>
        </is>
      </c>
      <c r="B15" s="162">
        <f>IFERROR(INDEX('Plan-24M'!$A$8:$A$31,MATCH(1,'Plan-24M'!$X$8:$X$31,0)),"&gt; 24 Monate")</f>
        <v/>
      </c>
      <c r="C15" s="162">
        <f>IFERROR(INDEX('Plan-24M'!$A$37:$A$60,MATCH(1,'Plan-24M'!$X$37:$X$60,0)),"&gt; 24 Monate")</f>
        <v/>
      </c>
      <c r="D15" s="162">
        <f>IFERROR(INDEX('Plan-24M'!$A$66:$A$89,MATCH(1,'Plan-24M'!$X$66:$X$89,0)),"&gt; 24 Monate")</f>
        <v/>
      </c>
    </row>
    <row r="16" ht="15" customHeight="1" s="116">
      <c r="A16" s="163" t="inlineStr">
        <is>
          <t>… alte Fassung (UG ab Monat 1)</t>
        </is>
      </c>
      <c r="B16" s="164" t="inlineStr">
        <is>
          <t>&gt; 24 Monate</t>
        </is>
      </c>
      <c r="C16" s="164" t="n">
        <v>15</v>
      </c>
      <c r="D16" s="164" t="n">
        <v>11</v>
      </c>
    </row>
    <row r="17" ht="15" customHeight="1" s="116">
      <c r="A17" s="149" t="inlineStr">
        <is>
          <t>… Kalendermonat</t>
        </is>
      </c>
      <c r="B17" s="165">
        <f>IFERROR(INDEX('Plan-24M'!$B$8:$B$31,MATCH(1,'Plan-24M'!$X$8:$X$31,0)),"&gt; 24 Monate")</f>
        <v/>
      </c>
      <c r="C17" s="165">
        <f>IFERROR(INDEX('Plan-24M'!$B$37:$B$60,MATCH(1,'Plan-24M'!$X$37:$X$60,0)),"&gt; 24 Monate")</f>
        <v/>
      </c>
      <c r="D17" s="165">
        <f>IFERROR(INDEX('Plan-24M'!$B$66:$B$89,MATCH(1,'Plan-24M'!$X$66:$X$89,0)),"&gt; 24 Monate")</f>
        <v/>
      </c>
    </row>
    <row r="18" ht="15" customHeight="1" s="116">
      <c r="A18" s="149" t="inlineStr">
        <is>
          <t>… zahlende Betriebe in diesem Monat</t>
        </is>
      </c>
      <c r="B18" s="159">
        <f>IFERROR(INDEX('Plan-24M'!$D$8:$D$31,MATCH(1,'Plan-24M'!$X$8:$X$31,0)),"&gt; 24 Monate")</f>
        <v/>
      </c>
      <c r="C18" s="159">
        <f>IFERROR(INDEX('Plan-24M'!$D$37:$D$60,MATCH(1,'Plan-24M'!$X$37:$X$60,0)),"&gt; 24 Monate")</f>
        <v/>
      </c>
      <c r="D18" s="159">
        <f>IFERROR(INDEX('Plan-24M'!$D$66:$D$89,MATCH(1,'Plan-24M'!$X$66:$X$89,0)),"&gt; 24 Monate")</f>
        <v/>
      </c>
    </row>
    <row r="19" ht="15" customHeight="1" s="116">
      <c r="A19" s="149" t="inlineStr">
        <is>
          <t>Umsatz Monat 24 (netto)</t>
        </is>
      </c>
      <c r="B19" s="166">
        <f>'Plan-24M'!$H$31</f>
        <v/>
      </c>
      <c r="C19" s="166">
        <f>'Plan-24M'!$H$60</f>
        <v/>
      </c>
      <c r="D19" s="166">
        <f>'Plan-24M'!$H$89</f>
        <v/>
      </c>
    </row>
    <row r="20" ht="15" customHeight="1" s="116">
      <c r="A20" s="149" t="inlineStr">
        <is>
          <t>Umsatz Jahr 1 (Sep 26 – Aug 27)</t>
        </is>
      </c>
      <c r="B20" s="166">
        <f>SUM('Plan-24M'!$H$8:$H$19)</f>
        <v/>
      </c>
      <c r="C20" s="166">
        <f>SUM('Plan-24M'!$H$37:$H$48)</f>
        <v/>
      </c>
      <c r="D20" s="166">
        <f>SUM('Plan-24M'!$H$66:$H$77)</f>
        <v/>
      </c>
    </row>
    <row r="21" ht="15" customHeight="1" s="116">
      <c r="A21" s="149" t="inlineStr">
        <is>
          <t>Umsatz Jahr 2 (Sep 27 – Aug 28)</t>
        </is>
      </c>
      <c r="B21" s="166">
        <f>SUM('Plan-24M'!$H$20:$H$31)</f>
        <v/>
      </c>
      <c r="C21" s="166">
        <f>SUM('Plan-24M'!$H$49:$H$60)</f>
        <v/>
      </c>
      <c r="D21" s="166">
        <f>SUM('Plan-24M'!$H$78:$H$89)</f>
        <v/>
      </c>
    </row>
    <row r="23" ht="15" customHeight="1" s="116">
      <c r="A23" s="133" t="inlineStr">
        <is>
          <t>2) Wie viel muss Sandy vorstrecken? (mit Vorher/Nachher)</t>
        </is>
      </c>
    </row>
    <row r="24" ht="15" customHeight="1" s="116">
      <c r="A24" s="129" t="inlineStr">
        <is>
          <t>Tiefpunkt der Liquidität — NEUE Fassung (Einzelunternehmen)</t>
        </is>
      </c>
      <c r="B24" s="167">
        <f>MIN(0,MIN('Plan-24M'!$W$8:$W$31))</f>
        <v/>
      </c>
      <c r="C24" s="167">
        <f>MIN(0,MIN('Plan-24M'!$W$37:$W$60))</f>
        <v/>
      </c>
      <c r="D24" s="167">
        <f>MIN(0,MIN('Plan-24M'!$W$66:$W$89))</f>
        <v/>
      </c>
    </row>
    <row r="25" ht="15" customHeight="1" s="116">
      <c r="A25" s="149" t="inlineStr">
        <is>
          <t>Tiefpunkt der Liquidität — alte Fassung (UG ab Monat 1)</t>
        </is>
      </c>
      <c r="B25" s="168" t="n">
        <v>-14260</v>
      </c>
      <c r="C25" s="168" t="n">
        <v>-9280</v>
      </c>
      <c r="D25" s="168" t="n">
        <v>-7860</v>
      </c>
    </row>
    <row r="26" ht="15" customHeight="1" s="116">
      <c r="A26" s="129" t="inlineStr">
        <is>
          <t>Ersparnis gegenüber der alten Fassung</t>
        </is>
      </c>
      <c r="B26" s="167">
        <f>B24-B25</f>
        <v/>
      </c>
      <c r="C26" s="167">
        <f>C24-C25</f>
        <v/>
      </c>
      <c r="D26" s="167">
        <f>D24-D25</f>
        <v/>
      </c>
    </row>
    <row r="27" ht="15" customHeight="1" s="116">
      <c r="A27" s="149" t="inlineStr">
        <is>
          <t>… davon Reserven, die Vermögen bleiben</t>
        </is>
      </c>
      <c r="B27" s="166">
        <f>'Plan-24M'!$V$31</f>
        <v/>
      </c>
      <c r="C27" s="166">
        <f>'Plan-24M'!$V$60</f>
        <v/>
      </c>
      <c r="D27" s="166">
        <f>'Plan-24M'!$V$89</f>
        <v/>
      </c>
    </row>
    <row r="28" ht="15" customHeight="1" s="116">
      <c r="A28" s="149" t="inlineStr">
        <is>
          <t>… Monat des Tiefpunkts</t>
        </is>
      </c>
      <c r="B28" s="169">
        <f>MATCH(MIN('Plan-24M'!$W$8:$W$31),'Plan-24M'!$W$8:$W$31,0)</f>
        <v/>
      </c>
      <c r="C28" s="169">
        <f>MATCH(MIN('Plan-24M'!$W$37:$W$60),'Plan-24M'!$W$37:$W$60,0)</f>
        <v/>
      </c>
      <c r="D28" s="169">
        <f>MATCH(MIN('Plan-24M'!$W$66:$W$89),'Plan-24M'!$W$66:$W$89,0)</f>
        <v/>
      </c>
    </row>
    <row r="29" ht="15" customHeight="1" s="116">
      <c r="A29" s="149" t="inlineStr">
        <is>
          <t>Erster Monat mit dauerhaft positiver Liquidität</t>
        </is>
      </c>
      <c r="B29" s="169">
        <f>IFERROR(INDEX('Plan-24M'!$A$8:$A$31,MATCH(1,'Plan-24M'!$AD$8:$AD$31,0)),"&gt; 24 Monate")</f>
        <v/>
      </c>
      <c r="C29" s="169">
        <f>IFERROR(INDEX('Plan-24M'!$A$37:$A$60,MATCH(1,'Plan-24M'!$AD$37:$AD$60,0)),"&gt; 24 Monate")</f>
        <v/>
      </c>
      <c r="D29" s="169">
        <f>IFERROR(INDEX('Plan-24M'!$A$66:$A$89,MATCH(1,'Plan-24M'!$AD$66:$AD$89,0)),"&gt; 24 Monate")</f>
        <v/>
      </c>
    </row>
    <row r="30" ht="15" customHeight="1" s="116">
      <c r="A30" s="149" t="inlineStr">
        <is>
          <t>Kumuliertes Ergebnis nach Steuerrücklage, Monat 24</t>
        </is>
      </c>
      <c r="B30" s="166">
        <f>'Plan-24M'!$U$31</f>
        <v/>
      </c>
      <c r="C30" s="166">
        <f>'Plan-24M'!$U$60</f>
        <v/>
      </c>
      <c r="D30" s="166">
        <f>'Plan-24M'!$U$89</f>
        <v/>
      </c>
    </row>
    <row r="32" ht="15" customHeight="1" s="116">
      <c r="A32" s="133" t="inlineStr">
        <is>
          <t>3) Wann wird aus dem Einzelunternehmen eine UG?</t>
        </is>
      </c>
    </row>
    <row r="33" ht="15" customHeight="1" s="116">
      <c r="A33" s="129" t="inlineStr">
        <is>
          <t>UG-Monat (erste 20 aktive Betriebe)</t>
        </is>
      </c>
      <c r="B33" s="162">
        <f>IF('Plan-24M'!$O$6=999,"&gt; 24 Monate",'Plan-24M'!$O$6)</f>
        <v/>
      </c>
      <c r="C33" s="162">
        <f>IF('Plan-24M'!$O$35=999,"&gt; 24 Monate",'Plan-24M'!$O$35)</f>
        <v/>
      </c>
      <c r="D33" s="162">
        <f>IF('Plan-24M'!$O$64=999,"&gt; 24 Monate",'Plan-24M'!$O$64)</f>
        <v/>
      </c>
    </row>
    <row r="34" ht="15" customHeight="1" s="116">
      <c r="A34" s="149" t="inlineStr">
        <is>
          <t>… Kalendermonat</t>
        </is>
      </c>
      <c r="B34" s="165">
        <f>IF('Plan-24M'!$O$6=999,"&gt; 24 Monate",EDATE('Plan-Annahmen'!$B$8,'Plan-24M'!$O$6-1))</f>
        <v/>
      </c>
      <c r="C34" s="165">
        <f>IF('Plan-24M'!$O$35=999,"&gt; 24 Monate",EDATE('Plan-Annahmen'!$B$8,'Plan-24M'!$O$35-1))</f>
        <v/>
      </c>
      <c r="D34" s="165">
        <f>IF('Plan-24M'!$O$64=999,"&gt; 24 Monate",EDATE('Plan-Annahmen'!$B$8,'Plan-24M'!$O$64-1))</f>
        <v/>
      </c>
    </row>
    <row r="35" ht="15" customHeight="1" s="116">
      <c r="A35" s="149" t="inlineStr">
        <is>
          <t>… Notartermin spätestens im Monat (4–6 Wochen Vorlauf)</t>
        </is>
      </c>
      <c r="B35" s="169">
        <f>IF('Plan-24M'!$O$6=999,"&gt; 24 Monate",'Plan-24M'!$O$6-1)</f>
        <v/>
      </c>
      <c r="C35" s="169">
        <f>IF('Plan-24M'!$O$35=999,"&gt; 24 Monate",'Plan-24M'!$O$35-1)</f>
        <v/>
      </c>
      <c r="D35" s="169">
        <f>IF('Plan-24M'!$O$64=999,"&gt; 24 Monate",'Plan-24M'!$O$64-1)</f>
        <v/>
      </c>
    </row>
    <row r="36" ht="15" customHeight="1" s="116">
      <c r="A36" s="149" t="inlineStr">
        <is>
          <t>Zusätzliche Kosten ab diesem Monat (€/Monat)</t>
        </is>
      </c>
      <c r="B36" s="166">
        <f>IF('Plan-24M'!$O$6=999,0,'Plan-Kosten'!$F$71)</f>
        <v/>
      </c>
      <c r="C36" s="166">
        <f>IF('Plan-24M'!$O$35=999,0,'Plan-Kosten'!$F$71)</f>
        <v/>
      </c>
      <c r="D36" s="166">
        <f>IF('Plan-24M'!$O$64=999,0,'Plan-Kosten'!$F$71)</f>
        <v/>
      </c>
    </row>
    <row r="37" ht="15" customHeight="1" s="116">
      <c r="A37" s="149" t="inlineStr">
        <is>
          <t>Einmalig im UG-Monat (Notar, Eröffnungsbilanz)</t>
        </is>
      </c>
      <c r="B37" s="166">
        <f>IF('Plan-24M'!$O$6=999,0,'Plan-Kosten'!$F$72)</f>
        <v/>
      </c>
      <c r="C37" s="166">
        <f>IF('Plan-24M'!$O$35=999,0,'Plan-Kosten'!$F$72)</f>
        <v/>
      </c>
      <c r="D37" s="166">
        <f>IF('Plan-24M'!$O$64=999,0,'Plan-Kosten'!$F$72)</f>
        <v/>
      </c>
    </row>
    <row r="38" ht="15" customHeight="1" s="116">
      <c r="A38" s="149" t="inlineStr">
        <is>
          <t>Zusätzlich gebunden: Stammkapital</t>
        </is>
      </c>
      <c r="B38" s="166">
        <f>IF('Plan-24M'!$O$6=999,0,'Plan-Kosten'!$F$73)</f>
        <v/>
      </c>
      <c r="C38" s="166">
        <f>IF('Plan-24M'!$O$35=999,0,'Plan-Kosten'!$F$73)</f>
        <v/>
      </c>
      <c r="D38" s="166">
        <f>IF('Plan-24M'!$O$64=999,0,'Plan-Kosten'!$F$73)</f>
        <v/>
      </c>
    </row>
    <row r="40" ht="39" customHeight="1" s="116">
      <c r="A40" s="157" t="inlineStr">
        <is>
          <t>Ab dem UG-Monat gilt mein Vorbehalt zur Besteuerung wieder: Das Raster rechnet die Steuer wie beim Einzelunternehmen (Gewinn oben auf Sandys Gehalt). Für die Einzelunternehmens-Phase ist das korrekt; ab der UG kämen Körperschaft- und Gewerbesteuer auf Gesellschaftsebene und danach Gehalt oder Ausschüttung — eine Steuerberater-Rechnung. Im vorsichtigen Szenario wird die UG im Horizont gar nicht erreicht, dort ist der Vorbehalt gegenstandslos.</t>
        </is>
      </c>
    </row>
    <row r="42" ht="15" customHeight="1" s="116">
      <c r="A42" s="133" t="inlineStr">
        <is>
          <t>4) Ab wann kann Sandy reduzieren — und ganz aufhören?</t>
        </is>
      </c>
    </row>
    <row r="43" ht="26.25" customHeight="1" s="116">
      <c r="A43" s="157" t="inlineStr">
        <is>
          <t>Der Ausstieg ist eine Treppe: In Stufe B1 läuft das Teilzeitgehalt weiter und die Krankenversicherung bleibt beim Arbeitgeber — Sofortangebot muss nur die Lücke zu 2.500 € netto schließen. Erst in B2 kommt alles zusammen.</t>
        </is>
      </c>
    </row>
    <row r="45" ht="51.75" customHeight="1" s="116">
      <c r="A45" s="170" t="inlineStr">
        <is>
          <t>WICHTIG, und anders als erwartet: Die Ausstiegs-Treppe bewegt sich durch die Rechtsform-Entscheidung NICHT — die Zahlen der alten und der neuen Fassung sind identisch. Der Grund: Jede Ausstiegsstufe verlangt mindestens 37 zahlende Betriebe und liegt damit weit über dem UG-Auslöser von rund 20. An dem Punkt, an dem Sandy reduzieren könnte, gibt es die UG längst — also gelten dort auch wieder die vollen UG-Kosten. Die Ersparnis der Einzelunternehmens-Phase wirkt ausschließlich in der Anlaufzeit davor: früherer Break-even und ein deutlich flacherer Liquiditäts-Tiefpunkt (Abschnitte 1 und 2).</t>
        </is>
      </c>
    </row>
    <row r="47" ht="39" customHeight="1" s="116">
      <c r="A47" s="119" t="inlineStr">
        <is>
          <t>Stufe</t>
        </is>
      </c>
      <c r="B47" s="119" t="inlineStr">
        <is>
          <t>Nötige Betriebe (neu)</t>
        </is>
      </c>
      <c r="C47" s="119" t="inlineStr">
        <is>
          <t>Nötiger Umsatz/Monat (neu)</t>
        </is>
      </c>
      <c r="D47" s="119" t="inlineStr">
        <is>
          <t>Nötige Betriebe (alt)</t>
        </is>
      </c>
    </row>
    <row r="48" ht="15" customHeight="1" s="116">
      <c r="A48" s="129" t="inlineStr">
        <is>
          <t>Stufe B1 — 30 Std./Woche</t>
        </is>
      </c>
      <c r="B48" s="171">
        <f>'Plan-Phase B'!$C$22</f>
        <v/>
      </c>
      <c r="C48" s="132">
        <f>'Plan-Phase B'!$C$23</f>
        <v/>
      </c>
      <c r="D48" s="172" t="n">
        <v>37</v>
      </c>
    </row>
    <row r="49" ht="15" customHeight="1" s="116">
      <c r="A49" s="129" t="inlineStr">
        <is>
          <t>Stufe B1 — 25 Std./Woche</t>
        </is>
      </c>
      <c r="B49" s="171">
        <f>'Plan-Phase B'!$D$22</f>
        <v/>
      </c>
      <c r="C49" s="132">
        <f>'Plan-Phase B'!$D$23</f>
        <v/>
      </c>
      <c r="D49" s="172" t="n">
        <v>45</v>
      </c>
    </row>
    <row r="50" ht="15" customHeight="1" s="116">
      <c r="A50" s="129" t="inlineStr">
        <is>
          <t>Stufe B2 — Anstellung fällt weg</t>
        </is>
      </c>
      <c r="B50" s="171">
        <f>'Plan-Phase B'!$E$22</f>
        <v/>
      </c>
      <c r="C50" s="132">
        <f>'Plan-Phase B'!$E$23</f>
        <v/>
      </c>
      <c r="D50" s="172" t="n">
        <v>107</v>
      </c>
    </row>
    <row r="52" ht="15" customHeight="1" s="116">
      <c r="A52" s="119" t="inlineStr">
        <is>
          <t>Erreicht in Monat …</t>
        </is>
      </c>
      <c r="B52" s="119" t="inlineStr">
        <is>
          <t>Vorsichtig</t>
        </is>
      </c>
      <c r="C52" s="119" t="inlineStr">
        <is>
          <t>Realistisch</t>
        </is>
      </c>
      <c r="D52" s="119" t="inlineStr">
        <is>
          <t>Optimistisch</t>
        </is>
      </c>
    </row>
    <row r="53" ht="15" customHeight="1" s="116">
      <c r="A53" s="129" t="inlineStr">
        <is>
          <t>Stufe B1 (30 Std.) — neue Fassung</t>
        </is>
      </c>
      <c r="B53" s="162">
        <f>IFERROR(INDEX('Plan-24M'!$A$8:$A$31,MATCH(1,'Plan-24M'!$AA$8:$AA$31,0)),"&gt; 24 Monate")</f>
        <v/>
      </c>
      <c r="C53" s="162">
        <f>IFERROR(INDEX('Plan-24M'!$A$37:$A$60,MATCH(1,'Plan-24M'!$AA$37:$AA$60,0)),"&gt; 24 Monate")</f>
        <v/>
      </c>
      <c r="D53" s="162">
        <f>IFERROR(INDEX('Plan-24M'!$A$66:$A$89,MATCH(1,'Plan-24M'!$AA$66:$AA$89,0)),"&gt; 24 Monate")</f>
        <v/>
      </c>
    </row>
    <row r="54" ht="15" customHeight="1" s="116">
      <c r="A54" s="163" t="inlineStr">
        <is>
          <t>Stufe B1 (30 Std.) — alte Fassung (UG ab Monat 1)</t>
        </is>
      </c>
      <c r="B54" s="164" t="inlineStr">
        <is>
          <t>&gt; 24 Monate</t>
        </is>
      </c>
      <c r="C54" s="164" t="n">
        <v>21</v>
      </c>
      <c r="D54" s="164" t="n">
        <v>14</v>
      </c>
    </row>
    <row r="55" ht="15" customHeight="1" s="116">
      <c r="A55" s="129" t="inlineStr">
        <is>
          <t>Stufe B1 (25 Std.) — neue Fassung</t>
        </is>
      </c>
      <c r="B55" s="162">
        <f>IFERROR(INDEX('Plan-24M'!$A$8:$A$31,MATCH(1,'Plan-24M'!$AB$8:$AB$31,0)),"&gt; 24 Monate")</f>
        <v/>
      </c>
      <c r="C55" s="162">
        <f>IFERROR(INDEX('Plan-24M'!$A$37:$A$60,MATCH(1,'Plan-24M'!$AB$37:$AB$60,0)),"&gt; 24 Monate")</f>
        <v/>
      </c>
      <c r="D55" s="162">
        <f>IFERROR(INDEX('Plan-24M'!$A$66:$A$89,MATCH(1,'Plan-24M'!$AB$66:$AB$89,0)),"&gt; 24 Monate")</f>
        <v/>
      </c>
    </row>
    <row r="56" ht="15" customHeight="1" s="116">
      <c r="A56" s="163" t="inlineStr">
        <is>
          <t>Stufe B1 (25 Std.) — alte Fassung (UG ab Monat 1)</t>
        </is>
      </c>
      <c r="B56" s="164" t="inlineStr">
        <is>
          <t>&gt; 24 Monate</t>
        </is>
      </c>
      <c r="C56" s="164" t="n">
        <v>24</v>
      </c>
      <c r="D56" s="164" t="n">
        <v>16</v>
      </c>
    </row>
    <row r="57" ht="15" customHeight="1" s="116">
      <c r="A57" s="129" t="inlineStr">
        <is>
          <t>Stufe B2 — neue Fassung</t>
        </is>
      </c>
      <c r="B57" s="162">
        <f>IFERROR(INDEX('Plan-24M'!$A$8:$A$31,MATCH(1,'Plan-24M'!$AC$8:$AC$31,0)),"&gt; 24 Monate")</f>
        <v/>
      </c>
      <c r="C57" s="162">
        <f>IFERROR(INDEX('Plan-24M'!$A$37:$A$60,MATCH(1,'Plan-24M'!$AC$37:$AC$60,0)),"&gt; 24 Monate")</f>
        <v/>
      </c>
      <c r="D57" s="162">
        <f>IFERROR(INDEX('Plan-24M'!$A$66:$A$89,MATCH(1,'Plan-24M'!$AC$66:$AC$89,0)),"&gt; 24 Monate")</f>
        <v/>
      </c>
    </row>
    <row r="58" ht="15" customHeight="1" s="116">
      <c r="A58" s="163" t="inlineStr">
        <is>
          <t>Stufe B2 — alte Fassung (UG ab Monat 1)</t>
        </is>
      </c>
      <c r="B58" s="164" t="inlineStr">
        <is>
          <t>&gt; 24 Monate</t>
        </is>
      </c>
      <c r="C58" s="164" t="inlineStr">
        <is>
          <t>&gt; 24 Monate</t>
        </is>
      </c>
      <c r="D58" s="164" t="inlineStr">
        <is>
          <t>&gt; 24 Monate</t>
        </is>
      </c>
    </row>
    <row r="59" ht="15" customHeight="1" s="116">
      <c r="A59" s="149" t="inlineStr">
        <is>
          <t>Teilzeitantrag (30 Std.) spätestens im Monat — 3 Monate Vorlauf, § 8/§ 9a TzBfG</t>
        </is>
      </c>
      <c r="B59" s="169">
        <f>IFERROR(INDEX('Plan-24M'!$A$8:$A$31,MATCH(1,'Plan-24M'!$AA$8:$AA$31,0))-'Plan-Annahmen'!$B$93,"&gt; 24 Monate")</f>
        <v/>
      </c>
      <c r="C59" s="169">
        <f>IFERROR(INDEX('Plan-24M'!$A$37:$A$60,MATCH(1,'Plan-24M'!$AA$37:$AA$60,0))-'Plan-Annahmen'!$B$93,"&gt; 24 Monate")</f>
        <v/>
      </c>
      <c r="D59" s="169">
        <f>IFERROR(INDEX('Plan-24M'!$A$66:$A$89,MATCH(1,'Plan-24M'!$AA$66:$AA$89,0))-'Plan-Annahmen'!$B$93,"&gt; 24 Monate")</f>
        <v/>
      </c>
    </row>
    <row r="61" ht="15" customHeight="1" s="116">
      <c r="A61" s="133" t="inlineStr">
        <is>
          <t>5) Umsatzsteuer — Regelbesteuerung (Verzicht nach § 19 Abs. 2 UStG, entschieden 17.09.2026)</t>
        </is>
      </c>
    </row>
    <row r="62" ht="15" customHeight="1" s="116">
      <c r="A62" s="119" t="inlineStr">
        <is>
          <t>Kalenderjahr (Umsatz netto)</t>
        </is>
      </c>
      <c r="B62" s="119" t="inlineStr">
        <is>
          <t>Vorsichtig</t>
        </is>
      </c>
      <c r="C62" s="119" t="inlineStr">
        <is>
          <t>Realistisch</t>
        </is>
      </c>
      <c r="D62" s="119" t="inlineStr">
        <is>
          <t>Optimistisch</t>
        </is>
      </c>
    </row>
    <row r="63" ht="15" customHeight="1" s="116">
      <c r="A63" s="149" t="inlineStr">
        <is>
          <t>2026 (Sep–Dez)</t>
        </is>
      </c>
      <c r="B63" s="166">
        <f>SUM('Plan-24M'!$H$8:$H$11)</f>
        <v/>
      </c>
      <c r="C63" s="166">
        <f>SUM('Plan-24M'!$H$37:$H$40)</f>
        <v/>
      </c>
      <c r="D63" s="166">
        <f>SUM('Plan-24M'!$H$66:$H$69)</f>
        <v/>
      </c>
    </row>
    <row r="64" ht="15" customHeight="1" s="116">
      <c r="A64" s="149" t="inlineStr">
        <is>
          <t>2027 (Jan–Dez)</t>
        </is>
      </c>
      <c r="B64" s="166">
        <f>SUM('Plan-24M'!$H$12:$H$23)</f>
        <v/>
      </c>
      <c r="C64" s="166">
        <f>SUM('Plan-24M'!$H$41:$H$52)</f>
        <v/>
      </c>
      <c r="D64" s="166">
        <f>SUM('Plan-24M'!$H$70:$H$81)</f>
        <v/>
      </c>
    </row>
    <row r="65" ht="15" customHeight="1" s="116">
      <c r="A65" s="149" t="inlineStr">
        <is>
          <t>2028 (Jan–Aug, angeschnitten)</t>
        </is>
      </c>
      <c r="B65" s="166">
        <f>SUM('Plan-24M'!$H$24:$H$31)</f>
        <v/>
      </c>
      <c r="C65" s="166">
        <f>SUM('Plan-24M'!$H$53:$H$60)</f>
        <v/>
      </c>
      <c r="D65" s="166">
        <f>SUM('Plan-24M'!$H$82:$H$89)</f>
        <v/>
      </c>
    </row>
    <row r="66" ht="15" customHeight="1" s="116">
      <c r="A66" s="129" t="inlineStr">
        <is>
          <t>Höchster Jahreswert über 25.000 €?</t>
        </is>
      </c>
      <c r="B66" s="162">
        <f>IF(MAX(SUM('Plan-24M'!$H$8:$H$11),SUM('Plan-24M'!$H$12:$H$23),SUM('Plan-24M'!$H$24:$H$31))&gt;'Plan-Annahmen'!$B$63,"ja","nein")</f>
        <v/>
      </c>
      <c r="C66" s="162">
        <f>IF(MAX(SUM('Plan-24M'!$H$37:$H$40),SUM('Plan-24M'!$H$41:$H$52),SUM('Plan-24M'!$H$53:$H$60))&gt;'Plan-Annahmen'!$B$63,"ja","nein")</f>
        <v/>
      </c>
      <c r="D66" s="162">
        <f>IF(MAX(SUM('Plan-24M'!$H$66:$H$69),SUM('Plan-24M'!$H$70:$H$81),SUM('Plan-24M'!$H$82:$H$89))&gt;'Plan-Annahmen'!$B$63,"ja","nein")</f>
        <v/>
      </c>
    </row>
    <row r="68" ht="39" customHeight="1" s="116">
      <c r="A68" s="157" t="inlineStr">
        <is>
          <t>GEAENDERT 17.09.2026 (Head of Finance): Sandy hat sich fuer den freiwilligen Verzicht auf die Kleinunternehmerregelung entschieden (docs/preismodell.md). Der Schalter 'Regelbesteuerung' auf 'Plan-Annahmen' steht damit auf 1. Die Werte unten sind KEINE Entscheidungsgrundlage mehr, sondern Beobachtung: Der Verzicht bindet fuenf Jahre (bis 2031), die 25.000-€-Grenze ist bis dahin ohne Bedeutung. Erklaert wird der Verzicht erst im Fragebogen zur steuerlichen Erfassung nach der Gewerbeanmeldung in KW 41 — bis dahin ist nichts beim Finanzamt.</t>
        </is>
      </c>
    </row>
    <row r="70" ht="15" customHeight="1" s="116">
      <c r="A70" s="133" t="inlineStr">
        <is>
          <t>6) Der Engpass: Zeit, nicht Geld</t>
        </is>
      </c>
    </row>
    <row r="71" ht="15" customHeight="1" s="116">
      <c r="A71" s="149" t="inlineStr">
        <is>
          <t>Benötigte Stunden im Monat 24</t>
        </is>
      </c>
      <c r="B71" s="159">
        <f>'Plan-Kunden'!$P$31</f>
        <v/>
      </c>
      <c r="C71" s="159">
        <f>'Plan-Kunden'!$P$60</f>
        <v/>
      </c>
      <c r="D71" s="159">
        <f>'Plan-Kunden'!$P$89</f>
        <v/>
      </c>
    </row>
    <row r="72" ht="15" customHeight="1" s="116">
      <c r="A72" s="129" t="inlineStr">
        <is>
          <t>Monate über der Dauerlinie (65 Std.) von 24</t>
        </is>
      </c>
      <c r="B72" s="173">
        <f>'Plan-Kunden'!$Q$32</f>
        <v/>
      </c>
      <c r="C72" s="173">
        <f>'Plan-Kunden'!$Q$61</f>
        <v/>
      </c>
      <c r="D72" s="173">
        <f>'Plan-Kunden'!$Q$90</f>
        <v/>
      </c>
    </row>
    <row r="73" ht="15" customHeight="1" s="116">
      <c r="A73" s="129" t="inlineStr">
        <is>
          <t>Monate über der Sprintlinie (86 Std.) von 24</t>
        </is>
      </c>
      <c r="B73" s="173">
        <f>'Plan-Kunden'!$R$32</f>
        <v/>
      </c>
      <c r="C73" s="173">
        <f>'Plan-Kunden'!$R$61</f>
        <v/>
      </c>
      <c r="D73" s="173">
        <f>'Plan-Kunden'!$R$90</f>
        <v/>
      </c>
    </row>
    <row r="74" ht="15" customHeight="1" s="116">
      <c r="A74" s="149" t="inlineStr">
        <is>
          <t>Erster Monat über der Dauerlinie</t>
        </is>
      </c>
      <c r="B74" s="169">
        <f>IFERROR(INDEX('Plan-Kunden'!$A$8:$A$31,MATCH(1,'Plan-Kunden'!$Q$8:$Q$31,0)),"&gt; 24 Monate")</f>
        <v/>
      </c>
      <c r="C74" s="169">
        <f>IFERROR(INDEX('Plan-Kunden'!$A$37:$A$60,MATCH(1,'Plan-Kunden'!$Q$37:$Q$60,0)),"&gt; 24 Monate")</f>
        <v/>
      </c>
      <c r="D74" s="169">
        <f>IFERROR(INDEX('Plan-Kunden'!$A$66:$A$89,MATCH(1,'Plan-Kunden'!$Q$66:$Q$89,0)),"&gt; 24 Monate")</f>
        <v/>
      </c>
    </row>
    <row r="76" ht="39" customHeight="1" s="116">
      <c r="A76" s="157" t="inlineStr">
        <is>
          <t>Die Kapazitätsgrenze kommt vor der Rentabilitätsgrenze: Solange Sandy Vollzeit angestellt ist, begrenzt nicht die Nachfrage das Wachstum, sondern ihre Zeit. Stufe B1 ist der Mechanismus, der diese Grenze anhebt (43 bzw. 65 Stunden mehr im Monat), bevor die Einnahmen sie tragen müssten. Die Rechnung hängt an zwei Annahmen von mir: 18 Minuten Support je Betrieb und Monat und 25 Stunden Grundlast — beide gelb auf 'Plan-Annahmen'.</t>
        </is>
      </c>
    </row>
    <row r="78" ht="39" customHeight="1" s="116">
      <c r="A78" s="157" t="inlineStr">
        <is>
          <t>Offene Zahlen, die den Plan verschieben (alle gelb): Sandys echtes Bruttogehalt · Beitrag der IT-Haftpflicht · das Steuerberater-Honorar (800 €/Jahr gilt nur, wenn Sandy die Buchhaltung selbst macht — bei voller Abgabe eher 1.500 €) · die Abwanderungsrate · Support- und Grundlast-Stunden · Anthropic-Direktrechnung einmalig oder wiederkehrend · Empfehlungs-Anreiz ein/aus.</t>
        </is>
      </c>
    </row>
    <row r="80" ht="26.25" customHeight="1" s="116">
      <c r="A80" s="157" t="inlineStr">
        <is>
          <t>Bewusst vorsichtig gerechnet: keine Verlustverrechnung mit dem Gehalt, frei werdende Gruenderplaetze werden nicht neu vergeben, Steuer sofort zurueckgelegt, September 2026 als Monat 1 voll gezaehlt. Die Vorsteuer ist seit dem 17.09.2026 eingerechnet — je Kostenzeile (Plan-Kosten, Spalte AL), nicht pauschal, und nur dort, wo der eingetragene Betrag nachweislich brutto ist. Versicherungen, Stripe, Amtsgebuehren und die Supabase-Reverse-Charge-Rechnungen bringen keine Vorsteuer; wo eine Betragsangabe netto gemeint ist, wird nichts abgezogen. Die Umsatzsteuer auf den Umsatz ist ein durchlaufender Posten und steht deshalb nicht im Raster — der Zeitversatz zwischen Vereinnahmen und Abfuehren (Liquiditaets-vorteil) ist ebenfalls nicht angesetzt. Was diese Vorsicht bei der Verlustverrechnung wert ist, steht seit dem 21.09.2026 beziffert in Abschnitt 7.</t>
        </is>
      </c>
    </row>
    <row r="82" ht="15" customHeight="1" s="116">
      <c r="A82" s="133" t="inlineStr">
        <is>
          <t>7) Was der Plan bewusst nicht einrechnet: die Verlustverrechnung mit dem Gehalt (ergänzt 21.09.2026)</t>
        </is>
      </c>
    </row>
    <row r="83" ht="15" customHeight="1" s="116">
      <c r="A83" s="119" t="inlineStr">
        <is>
          <t>Reserve — im Plan NICHT enthalten</t>
        </is>
      </c>
      <c r="B83" s="119" t="inlineStr">
        <is>
          <t>Vorsichtig</t>
        </is>
      </c>
      <c r="C83" s="119" t="inlineStr">
        <is>
          <t>Realistisch</t>
        </is>
      </c>
      <c r="D83" s="119" t="inlineStr">
        <is>
          <t>Optimistisch</t>
        </is>
      </c>
    </row>
    <row r="84" ht="15" customHeight="1" s="116">
      <c r="A84" s="149" t="inlineStr">
        <is>
          <t>Summe der negativen Monatsergebnisse (Monat 2–24, vor Steuer)</t>
        </is>
      </c>
      <c r="B84" s="166">
        <f>SUMIF('Plan-24M'!$R$9:$R$31,"&lt;0")</f>
        <v/>
      </c>
      <c r="C84" s="166">
        <f>SUMIF('Plan-24M'!$R$38:$R$60,"&lt;0")</f>
        <v/>
      </c>
      <c r="D84" s="166">
        <f>SUMIF('Plan-24M'!$R$67:$R$89,"&lt;0")</f>
        <v/>
      </c>
    </row>
    <row r="85" ht="15" customHeight="1" s="116">
      <c r="A85" s="149" t="inlineStr">
        <is>
          <t>Grenzsteuersatz auf Sandys Gehalt (Plan-Annahmen, Zeile 82)</t>
        </is>
      </c>
      <c r="B85" s="174">
        <f>'Plan-Annahmen'!$B$82</f>
        <v/>
      </c>
      <c r="C85" s="174">
        <f>'Plan-Annahmen'!$B$82</f>
        <v/>
      </c>
      <c r="D85" s="174">
        <f>'Plan-Annahmen'!$B$82</f>
        <v/>
      </c>
    </row>
    <row r="86" ht="15" customHeight="1" s="116">
      <c r="A86" s="129" t="inlineStr">
        <is>
          <t>Steuererstattung daraus über 24 Monate — die Reserve</t>
        </is>
      </c>
      <c r="B86" s="167">
        <f>-B84*'Plan-Annahmen'!$B$82</f>
        <v/>
      </c>
      <c r="C86" s="167">
        <f>-C84*'Plan-Annahmen'!$B$82</f>
        <v/>
      </c>
      <c r="D86" s="167">
        <f>-D84*'Plan-Annahmen'!$B$82</f>
        <v/>
      </c>
    </row>
    <row r="88" ht="90" customHeight="1" s="116">
      <c r="A88" s="157" t="inlineStr">
        <is>
          <t>So ist die Zeile zu lesen: Der Plan legt auf positive Monatsergebnisse Steuer zurück (Spalte „Steuerrücklage" auf Plan-24M), schreibt für negative aber nichts gut. Tatsächlich mindert der Verlust aus dem Gewerbe das zu versteuernde Einkommen — auch das aus Sandys Gehalt, von dem die Lohnsteuer längst abgeführt ist (§ 2 Abs. 3 EStG). Der Betrag kommt als Einkommensteuer-Erstattung zurück, nicht monatlich, sondern nach der jeweiligen Steuererklärung — deshalb steht er hier und nicht in den Szenarien. Bemerkenswert ist die Richtung: Der Vorteil ist im VORSICHTIGEN Szenario am größten und wirkt damit genau dort, wo es eng wird — am Liquiditäts-Tiefpunkt. Monat 1 (September 2026) bleibt außen vor, weil die Belege bis einschließlich September bereits in der getrennt gerechneten Wirkung der Altbelege stecken (18 Belege, rund 150 €); zählte man ihn mit, wären es rund 80 € mehr je Szenario. Rechenweg und Quellen: docs/chief-of-staff-finance-todos.md, Eintrag vom 21.09.2026.</t>
        </is>
      </c>
    </row>
  </sheetData>
  <mergeCells count="10">
    <mergeCell ref="A88:G88"/>
    <mergeCell ref="A80:G80"/>
    <mergeCell ref="A40:G40"/>
    <mergeCell ref="A6:G6"/>
    <mergeCell ref="A2:G4"/>
    <mergeCell ref="A78:G78"/>
    <mergeCell ref="A43:G43"/>
    <mergeCell ref="A76:G76"/>
    <mergeCell ref="A68:G68"/>
    <mergeCell ref="A45:G4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04"/>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4" customWidth="1" style="213" min="1" max="1"/>
    <col width="14" customWidth="1" style="213" min="2" max="2"/>
    <col width="16" customWidth="1" style="213" min="3" max="3"/>
    <col width="20" customWidth="1" style="213" min="4" max="6"/>
    <col width="26" customWidth="1" style="213" min="7" max="7"/>
  </cols>
  <sheetData>
    <row r="1" ht="17.25" customHeight="1" s="116">
      <c r="A1" s="117" t="inlineStr">
        <is>
          <t>Plan-Annahmen — Finanzplan CoS-F-003 (Fassung 2, 03.09.2026)</t>
        </is>
      </c>
    </row>
    <row r="2" ht="15" customHeight="1" s="116">
      <c r="A2" s="157" t="inlineStr">
        <is>
          <t>Alle Eingaben des Plans an einer Stelle. Gelb = Annahme, bitte nur hier aendern. Jede Zeile nennt ihre Quelle. Horizont September 2026 bis August 2028. Rechtsform in dieser Fassung: Einzelunternehmen / Kleingewerbe, UMSATZSTEUERLICH AB 17.09.2026: Regelbesteuerung (Verzicht nach § 19 Abs. 2 UStG, Entscheidung Sandy, docs/preismodell.md) — Schalter Zeile 61 steht auf 1. UG erst ab rund 20 aktiven Betrieben.</t>
        </is>
      </c>
    </row>
    <row r="3" ht="15" customHeight="1" s="116"/>
    <row r="4" ht="15" customHeight="1" s="116"/>
    <row r="6" ht="15" customHeight="1" s="116">
      <c r="A6" s="133" t="inlineStr">
        <is>
          <t>1) Zeitrahmen</t>
        </is>
      </c>
    </row>
    <row r="7" ht="15" customHeight="1" s="116">
      <c r="A7" s="119" t="inlineStr">
        <is>
          <t>Bezeichnung</t>
        </is>
      </c>
      <c r="B7" s="119" t="inlineStr">
        <is>
          <t>Wert</t>
        </is>
      </c>
      <c r="C7" s="119" t="inlineStr">
        <is>
          <t>Einheit</t>
        </is>
      </c>
      <c r="D7" s="119" t="inlineStr">
        <is>
          <t>Quelle / Kommentar</t>
        </is>
      </c>
      <c r="E7" s="175" t="n"/>
      <c r="F7" s="175" t="n"/>
      <c r="G7" s="176" t="n"/>
    </row>
    <row r="8" ht="15" customHeight="1" s="116">
      <c r="A8" s="149" t="inlineStr">
        <is>
          <t>Startmonat des Plans (Monat 1)</t>
        </is>
      </c>
      <c r="B8" s="177" t="n">
        <v>46266</v>
      </c>
      <c r="C8" s="149" t="inlineStr">
        <is>
          <t>Datum</t>
        </is>
      </c>
      <c r="D8" s="178" t="inlineStr">
        <is>
          <t>Horizont Sep 2026 – Aug 2028 (24 Monate), Auftrag CoS-F-003.</t>
        </is>
      </c>
      <c r="E8" s="175" t="n"/>
      <c r="F8" s="175" t="n"/>
      <c r="G8" s="175" t="n"/>
    </row>
    <row r="9" ht="39" customHeight="1" s="116">
      <c r="A9" s="149" t="inlineStr">
        <is>
          <t>Gate 1 — begleitete Testnutzer ab Monat</t>
        </is>
      </c>
      <c r="B9" s="179" t="n">
        <v>4</v>
      </c>
      <c r="C9" s="149" t="inlineStr">
        <is>
          <t>Monat-Nr.</t>
        </is>
      </c>
      <c r="D9" s="178" t="inlineStr">
        <is>
          <t>Nachtrag 6: Gate 1 Anfang Dezember 2026 = Monat 4. September bis November sind reine Kosten-Monate (Oktober Vorbereitung, 02.11.–03.12. Thailand, docs/kalender.md) — bewusst nicht mit Einnahmen geglättet.</t>
        </is>
      </c>
      <c r="E9" s="175" t="n"/>
      <c r="F9" s="175" t="n"/>
      <c r="G9" s="175" t="n"/>
    </row>
    <row r="10" ht="15" customHeight="1" s="116">
      <c r="A10" s="149" t="inlineStr">
        <is>
          <t>Öffentlicher Launch ab Monat</t>
        </is>
      </c>
      <c r="B10" s="179" t="n">
        <v>5</v>
      </c>
      <c r="C10" s="149" t="inlineStr">
        <is>
          <t>Monat-Nr.</t>
        </is>
      </c>
      <c r="D10" s="178" t="inlineStr">
        <is>
          <t>Nachtrag 6: Januar 2027 = Monat 5.</t>
        </is>
      </c>
      <c r="E10" s="175" t="n"/>
      <c r="F10" s="175" t="n"/>
      <c r="G10" s="175" t="n"/>
    </row>
    <row r="12" ht="15" customHeight="1" s="116">
      <c r="A12" s="133" t="inlineStr">
        <is>
          <t>2) Preise und Stückkosten (vormals Blatt 'Marge &amp; Tragfähigkeit')</t>
        </is>
      </c>
    </row>
    <row r="13" ht="15" customHeight="1" s="116">
      <c r="A13" s="119" t="inlineStr">
        <is>
          <t>Bezeichnung</t>
        </is>
      </c>
      <c r="B13" s="119" t="inlineStr">
        <is>
          <t>Wert</t>
        </is>
      </c>
      <c r="C13" s="119" t="inlineStr">
        <is>
          <t>Einheit</t>
        </is>
      </c>
      <c r="D13" s="119" t="inlineStr">
        <is>
          <t>Quelle / Kommentar</t>
        </is>
      </c>
      <c r="E13" s="175" t="n"/>
      <c r="F13" s="175" t="n"/>
      <c r="G13" s="176" t="n"/>
    </row>
    <row r="14" ht="26.25" customHeight="1" s="116">
      <c r="A14" s="149" t="inlineStr">
        <is>
          <t>Gründerpreis</t>
        </is>
      </c>
      <c r="B14" s="179" t="n">
        <v>29</v>
      </c>
      <c r="C14" s="149" t="inlineStr">
        <is>
          <t>€/Monat</t>
        </is>
      </c>
      <c r="D14" s="178" t="inlineStr">
        <is>
          <t>docs/preismodell.md, entschieden 03.09.2026: dauerhaft für die ersten 25 zahlenden Betriebe, kein Hochlaufen auf 49 €.</t>
        </is>
      </c>
      <c r="E14" s="175" t="n"/>
      <c r="F14" s="175" t="n"/>
      <c r="G14" s="175" t="n"/>
    </row>
    <row r="15" ht="15" customHeight="1" s="116">
      <c r="A15" s="149" t="inlineStr">
        <is>
          <t>Standardpreis</t>
        </is>
      </c>
      <c r="B15" s="179" t="n">
        <v>49</v>
      </c>
      <c r="C15" s="149" t="inlineStr">
        <is>
          <t>€/Monat</t>
        </is>
      </c>
      <c r="D15" s="178" t="inlineStr">
        <is>
          <t>docs/preismodell.md, entschieden 03.09.2026.</t>
        </is>
      </c>
      <c r="E15" s="175" t="n"/>
      <c r="F15" s="175" t="n"/>
      <c r="G15" s="175" t="n"/>
    </row>
    <row r="16" ht="26.25" customHeight="1" s="116">
      <c r="A16" s="149" t="inlineStr">
        <is>
          <t>Gründerpreis-Plätze</t>
        </is>
      </c>
      <c r="B16" s="179" t="n">
        <v>25</v>
      </c>
      <c r="C16" s="149" t="inlineStr">
        <is>
          <t>Kunden</t>
        </is>
      </c>
      <c r="D16" s="178" t="inlineStr">
        <is>
          <t>docs/preismodell.md. Der Preisknick bei Kunde 26 ist im Kundenmodell explizit abgebildet, nicht mit einem Mischpreis geglättet (Nachtrag 3).</t>
        </is>
      </c>
      <c r="E16" s="175" t="n"/>
      <c r="F16" s="175" t="n"/>
      <c r="G16" s="175" t="n"/>
    </row>
    <row r="17" ht="51.75" customHeight="1" s="116">
      <c r="A17" s="149" t="inlineStr">
        <is>
          <t>KI-Kosten je Angebot (konservativ)</t>
        </is>
      </c>
      <c r="B17" s="179" t="n">
        <v>2.5</v>
      </c>
      <c r="C17" s="149" t="inlineStr">
        <is>
          <t>Cent</t>
        </is>
      </c>
      <c r="D17" s="178" t="inlineStr">
        <is>
          <t>Messung Head of Product Engineering (chief-of-staff-finance-todos.md, 'Rohdaten für CoS-F-002'): gemessen 2,2 Cent (Whisper $0,0060 + Chip-Vorschau $0,0002 + volle Extraktion $0,0172). Konservative Variante 2,5 Cent, weil die Aufnahmedauer nie gemessen wurde — ausdrückliche Vorgabe Chief of Staff, diesen Wert zu verwenden.</t>
        </is>
      </c>
      <c r="E17" s="175" t="n"/>
      <c r="F17" s="175" t="n"/>
      <c r="G17" s="175" t="n"/>
    </row>
    <row r="18" ht="39" customHeight="1" s="116">
      <c r="A18" s="149" t="inlineStr">
        <is>
          <t>Stripe-Gebühr variabel (EU-Karten)</t>
        </is>
      </c>
      <c r="B18" s="180" t="n">
        <v>0.015</v>
      </c>
      <c r="C18" s="149" t="inlineStr">
        <is>
          <t>% (Dezimal)</t>
        </is>
      </c>
      <c r="D18" s="178" t="inlineStr">
        <is>
          <t>kosten.org, Stripe-Gebührenrechner (Abruf 03.09.2026): 1,5 % + 0,25 € für europäische Karten. stripe.com/pricing lieferte beim ersten Abruf einen US-Wert (2,9 % + 30 ¢) — verworfen.</t>
        </is>
      </c>
      <c r="E18" s="175" t="n"/>
      <c r="F18" s="175" t="n"/>
      <c r="G18" s="175" t="n"/>
    </row>
    <row r="19" ht="15" customHeight="1" s="116">
      <c r="A19" s="149" t="inlineStr">
        <is>
          <t>Stripe-Gebühr fix je Zahlung</t>
        </is>
      </c>
      <c r="B19" s="179" t="n">
        <v>0.25</v>
      </c>
      <c r="C19" s="149" t="inlineStr">
        <is>
          <t>€</t>
        </is>
      </c>
      <c r="D19" s="178" t="inlineStr">
        <is>
          <t>Gleiche Quelle wie Zeile oben.</t>
        </is>
      </c>
      <c r="E19" s="175" t="n"/>
      <c r="F19" s="175" t="n"/>
      <c r="G19" s="175" t="n"/>
    </row>
    <row r="20" ht="26.25" customHeight="1" s="116">
      <c r="A20" s="149" t="inlineStr">
        <is>
          <t>USD/EUR-Kurs</t>
        </is>
      </c>
      <c r="B20" s="179" t="n">
        <v>0.86</v>
      </c>
      <c r="C20" s="149" t="inlineStr">
        <is>
          <t>EUR je USD</t>
        </is>
      </c>
      <c r="D20" s="178" t="inlineStr">
        <is>
          <t>exchange-rates.org: 01.09.2026 = 0,8626, 02.09.2026 = 0,8631, YTD-Ø 0,8603. Supabase, Vercel, OpenAI und Anthropic rechnen in US-Dollar — der Kurs steht deshalb sichtbar hier. Nachgeprüft 17.09.2026 (Head of Finance): Der amtliche BMF-Umsatzsteuer-Umrechnungskurs für August 2026 beträgt 1,1593 USD je EUR = 0,8626 EUR je USD und bestätigt diesen Planwert (Abweichung 0,3 %, rund 0,33 € im Monat). Bewusst zwei verschiedene Kurse mit zwei verschiedenen Aufgaben: hier ein Planungskurs für künftige Monate, im Blatt Rechnungsjournal der amtliche Monatskurs für die Buchung bereits vorliegender Belege (§ 16 Abs. 6 UStG). Bitte nicht angleichen.</t>
        </is>
      </c>
      <c r="E20" s="175" t="n"/>
      <c r="F20" s="175" t="n"/>
      <c r="G20" s="175" t="n"/>
    </row>
    <row r="21" ht="26.25" customHeight="1" s="116">
      <c r="A21" s="149" t="inlineStr">
        <is>
          <t>Angebote je Kunde und Monat</t>
        </is>
      </c>
      <c r="B21" s="179" t="n">
        <v>8</v>
      </c>
      <c r="C21" s="149" t="inlineStr">
        <is>
          <t>Angebote</t>
        </is>
      </c>
      <c r="D21" s="178" t="inlineStr">
        <is>
          <t>Stützpunkt CoS-P-008 (Platform). Liegt über dem typischen Kunden (5 Angebote) — für die Kostenseite konservativ.</t>
        </is>
      </c>
      <c r="E21" s="175" t="n"/>
      <c r="F21" s="175" t="n"/>
      <c r="G21" s="175" t="n"/>
    </row>
    <row r="23" ht="15" customHeight="1" s="116">
      <c r="A23" s="133" t="inlineStr">
        <is>
          <t>3) Deckungsbeitrag je Kunde (Antwort auf CoS-F-002, hierher übernommen)</t>
        </is>
      </c>
    </row>
    <row r="24" ht="26.25" customHeight="1" s="116">
      <c r="A24" s="157" t="inlineStr">
        <is>
          <t>Deckungsbeitrag = Preis − KI-Kosten (Angebote × Kosten je Angebot) − Stripe-Gebühr (Preis × variable Gebühr + fixe Gebühr). Der Vielnutzer-Fall mit 40 Angebten im Monat beantwortet die Frage, ob 'unbegrenzt Angebote' trägt.</t>
        </is>
      </c>
    </row>
    <row r="25" ht="26.25" customHeight="1" s="116">
      <c r="A25" s="119" t="inlineStr">
        <is>
          <t>Angebote / Monat</t>
        </is>
      </c>
      <c r="B25" s="119" t="inlineStr">
        <is>
          <t>KI-Kosten gesamt</t>
        </is>
      </c>
      <c r="C25" s="119" t="inlineStr">
        <is>
          <t>Stripe-Gebühr</t>
        </is>
      </c>
      <c r="D25" s="119" t="inlineStr">
        <is>
          <t>Deckungsbeitrag @29€</t>
        </is>
      </c>
      <c r="E25" s="119" t="inlineStr">
        <is>
          <t>Deckungsbeitrag @49€</t>
        </is>
      </c>
      <c r="F25" s="119" t="inlineStr">
        <is>
          <t>Hinweis</t>
        </is>
      </c>
      <c r="G25" s="176" t="n"/>
    </row>
    <row r="26" ht="15" customHeight="1" s="116">
      <c r="A26" s="181" t="n">
        <v>3</v>
      </c>
      <c r="B26" s="182">
        <f>A26*$B$17/100</f>
        <v/>
      </c>
      <c r="C26" s="182">
        <f>$B$15*$B$18+$B$19</f>
        <v/>
      </c>
      <c r="D26" s="153">
        <f>$B$14-B26-($B$14*$B$18+$B$19)</f>
        <v/>
      </c>
      <c r="E26" s="153">
        <f>$B$15-B26-C26</f>
        <v/>
      </c>
      <c r="F26" s="183" t="inlineStr">
        <is>
          <t>Leichtnutzer</t>
        </is>
      </c>
      <c r="G26" s="175" t="n"/>
    </row>
    <row r="27" ht="15" customHeight="1" s="116">
      <c r="A27" s="181" t="n">
        <v>5</v>
      </c>
      <c r="B27" s="182">
        <f>A27*$B$17/100</f>
        <v/>
      </c>
      <c r="C27" s="182">
        <f>$B$15*$B$18+$B$19</f>
        <v/>
      </c>
      <c r="D27" s="153">
        <f>$B$14-B27-($B$14*$B$18+$B$19)</f>
        <v/>
      </c>
      <c r="E27" s="153">
        <f>$B$15-B27-C27</f>
        <v/>
      </c>
      <c r="F27" s="183" t="inlineStr">
        <is>
          <t>typischer Kunde</t>
        </is>
      </c>
      <c r="G27" s="175" t="n"/>
    </row>
    <row r="28" ht="15" customHeight="1" s="116">
      <c r="A28" s="181" t="n">
        <v>8</v>
      </c>
      <c r="B28" s="182">
        <f>A28*$B$17/100</f>
        <v/>
      </c>
      <c r="C28" s="182">
        <f>$B$15*$B$18+$B$19</f>
        <v/>
      </c>
      <c r="D28" s="153">
        <f>$B$14-B28-($B$14*$B$18+$B$19)</f>
        <v/>
      </c>
      <c r="E28" s="153">
        <f>$B$15-B28-C28</f>
        <v/>
      </c>
      <c r="F28" s="183" t="inlineStr">
        <is>
          <t>Planannahme dieses Modells</t>
        </is>
      </c>
      <c r="G28" s="175" t="n"/>
    </row>
    <row r="29" ht="15" customHeight="1" s="116">
      <c r="A29" s="181" t="n">
        <v>40</v>
      </c>
      <c r="B29" s="182">
        <f>A29*$B$17/100</f>
        <v/>
      </c>
      <c r="C29" s="182">
        <f>$B$15*$B$18+$B$19</f>
        <v/>
      </c>
      <c r="D29" s="153">
        <f>$B$14-B29-($B$14*$B$18+$B$19)</f>
        <v/>
      </c>
      <c r="E29" s="153">
        <f>$B$15-B29-C29</f>
        <v/>
      </c>
      <c r="F29" s="183" t="inlineStr">
        <is>
          <t>Vielnutzer-Fall — testet 'unbegrenzt Angebote'</t>
        </is>
      </c>
      <c r="G29" s="175" t="n"/>
    </row>
    <row r="30" ht="26.25" customHeight="1" s="116">
      <c r="A30" s="157" t="inlineStr">
        <is>
          <t>Ergebnis (CoS-F-002): Auch im Vielnutzer-Fall bleiben beide Deckungsbeiträge klar positiv — 40 Angebote kosten nur 1,00 € an KI. 'Unbegrenzt Angebote' ist bei diesen Preisen finanziell unkritisch. Der Plan rechnet durchgehend mit 8 Angeboten je Kunde und Monat.</t>
        </is>
      </c>
    </row>
    <row r="32" ht="15" customHeight="1" s="116">
      <c r="A32" s="133" t="inlineStr">
        <is>
          <t>4) Kundenmodell (Kanalplan CoS-M-007 + Mundpropaganda + Abwanderung)</t>
        </is>
      </c>
    </row>
    <row r="33" ht="15" customHeight="1" s="116">
      <c r="A33" s="119" t="inlineStr">
        <is>
          <t>Bezeichnung</t>
        </is>
      </c>
      <c r="B33" s="119" t="inlineStr">
        <is>
          <t>Wert</t>
        </is>
      </c>
      <c r="C33" s="119" t="inlineStr">
        <is>
          <t>Einheit</t>
        </is>
      </c>
      <c r="D33" s="119" t="inlineStr">
        <is>
          <t>Quelle / Kommentar</t>
        </is>
      </c>
      <c r="E33" s="175" t="n"/>
      <c r="F33" s="175" t="n"/>
      <c r="G33" s="176" t="n"/>
    </row>
    <row r="34" ht="51.75" customHeight="1" s="116">
      <c r="A34" s="149" t="inlineStr">
        <is>
          <t>Neukunden je Kanal und Monat</t>
        </is>
      </c>
      <c r="B34" s="184" t="inlineStr">
        <is>
          <t>siehe Blatt 'Plan-Kunden'</t>
        </is>
      </c>
      <c r="C34" s="149" t="inlineStr">
        <is>
          <t>—</t>
        </is>
      </c>
      <c r="D34" s="178" t="inlineStr">
        <is>
          <t>Zulieferung Head of Marketing, docs/gtm-kanalplan.xlsx, Blatt 'Kanal x Monat' (CoS-M-007): sechs Kanäle, drei Szenarien, 24 Monate. Summen ohne Mundpropaganda und Abwanderung: 16,5 / 52,25 / 103,5 Betriebe. Werte blau auf 'Plan-Kunden' — die Bewertung des Vertriebs liegt bei Marketing, die Rechnung bei mir.</t>
        </is>
      </c>
      <c r="E34" s="175" t="n"/>
      <c r="F34" s="175" t="n"/>
      <c r="G34" s="175" t="n"/>
    </row>
    <row r="35" ht="26.25" customHeight="1" s="116">
      <c r="A35" s="149" t="inlineStr">
        <is>
          <t>Mundpropaganda: Empfehlungen pro Jahr je aktivem Betrieb — Vorsichtig</t>
        </is>
      </c>
      <c r="B35" s="180" t="n">
        <v>0.1</v>
      </c>
      <c r="C35" s="149" t="inlineStr">
        <is>
          <t>% pro Jahr</t>
        </is>
      </c>
      <c r="D35" s="178" t="inlineStr">
        <is>
          <t>gtm-kanalplan.xlsx, Blatt 'Mundpropaganda' (Parameter von Marketing, Anwendung auf die aktive Basis bei mir).</t>
        </is>
      </c>
      <c r="E35" s="175" t="n"/>
      <c r="F35" s="175" t="n"/>
      <c r="G35" s="175" t="n"/>
    </row>
    <row r="36" ht="26.25" customHeight="1" s="116">
      <c r="A36" s="149" t="inlineStr">
        <is>
          <t>Mundpropaganda: Empfehlungen pro Jahr je aktivem Betrieb — Realistisch</t>
        </is>
      </c>
      <c r="B36" s="180" t="n">
        <v>0.2</v>
      </c>
      <c r="C36" s="149" t="inlineStr">
        <is>
          <t>% pro Jahr</t>
        </is>
      </c>
      <c r="D36" s="178" t="inlineStr">
        <is>
          <t>gtm-kanalplan.xlsx, Blatt 'Mundpropaganda' (Parameter von Marketing, Anwendung auf die aktive Basis bei mir).</t>
        </is>
      </c>
      <c r="E36" s="175" t="n"/>
      <c r="F36" s="175" t="n"/>
      <c r="G36" s="175" t="n"/>
    </row>
    <row r="37" ht="26.25" customHeight="1" s="116">
      <c r="A37" s="149" t="inlineStr">
        <is>
          <t>Mundpropaganda: Empfehlungen pro Jahr je aktivem Betrieb — Optimistisch</t>
        </is>
      </c>
      <c r="B37" s="180" t="n">
        <v>0.35</v>
      </c>
      <c r="C37" s="149" t="inlineStr">
        <is>
          <t>% pro Jahr</t>
        </is>
      </c>
      <c r="D37" s="178" t="inlineStr">
        <is>
          <t>gtm-kanalplan.xlsx, Blatt 'Mundpropaganda' (Parameter von Marketing, Anwendung auf die aktive Basis bei mir).</t>
        </is>
      </c>
      <c r="E37" s="175" t="n"/>
      <c r="F37" s="175" t="n"/>
      <c r="G37" s="175" t="n"/>
    </row>
    <row r="38" ht="15" customHeight="1" s="116">
      <c r="A38" s="149" t="inlineStr">
        <is>
          <t>Mundpropaganda: davon zahlend — Vorsichtig</t>
        </is>
      </c>
      <c r="B38" s="180" t="n">
        <v>0.4</v>
      </c>
      <c r="C38" s="149" t="inlineStr">
        <is>
          <t>%</t>
        </is>
      </c>
      <c r="D38" s="178" t="inlineStr">
        <is>
          <t>gtm-kanalplan.xlsx, Blatt 'Mundpropaganda'.</t>
        </is>
      </c>
      <c r="E38" s="175" t="n"/>
      <c r="F38" s="175" t="n"/>
      <c r="G38" s="175" t="n"/>
    </row>
    <row r="39" ht="15" customHeight="1" s="116">
      <c r="A39" s="149" t="inlineStr">
        <is>
          <t>Mundpropaganda: davon zahlend — Realistisch</t>
        </is>
      </c>
      <c r="B39" s="180" t="n">
        <v>0.5</v>
      </c>
      <c r="C39" s="149" t="inlineStr">
        <is>
          <t>%</t>
        </is>
      </c>
      <c r="D39" s="178" t="inlineStr">
        <is>
          <t>gtm-kanalplan.xlsx, Blatt 'Mundpropaganda'.</t>
        </is>
      </c>
      <c r="E39" s="175" t="n"/>
      <c r="F39" s="175" t="n"/>
      <c r="G39" s="175" t="n"/>
    </row>
    <row r="40" ht="15" customHeight="1" s="116">
      <c r="A40" s="149" t="inlineStr">
        <is>
          <t>Mundpropaganda: davon zahlend — Optimistisch</t>
        </is>
      </c>
      <c r="B40" s="180" t="n">
        <v>0.6</v>
      </c>
      <c r="C40" s="149" t="inlineStr">
        <is>
          <t>%</t>
        </is>
      </c>
      <c r="D40" s="178" t="inlineStr">
        <is>
          <t>gtm-kanalplan.xlsx, Blatt 'Mundpropaganda'.</t>
        </is>
      </c>
      <c r="E40" s="175" t="n"/>
      <c r="F40" s="175" t="n"/>
      <c r="G40" s="175" t="n"/>
    </row>
    <row r="41" ht="26.25" customHeight="1" s="116">
      <c r="A41" s="149" t="inlineStr">
        <is>
          <t>Mundpropaganda: Verzögerung bis zur Empfehlung — Vorsichtig</t>
        </is>
      </c>
      <c r="B41" s="179" t="n">
        <v>4</v>
      </c>
      <c r="C41" s="149" t="inlineStr">
        <is>
          <t>Monate</t>
        </is>
      </c>
      <c r="D41" s="178" t="inlineStr">
        <is>
          <t>gtm-kanalplan.xlsx: ein Handwerker empfiehlt erst, wenn es sich bewährt hat. Rechenregel: aktive Betriebe (Monat − Verzögerung) × Jahresanteil ÷ 12 × Zahlend-Anteil.</t>
        </is>
      </c>
      <c r="E41" s="175" t="n"/>
      <c r="F41" s="175" t="n"/>
      <c r="G41" s="175" t="n"/>
    </row>
    <row r="42" ht="26.25" customHeight="1" s="116">
      <c r="A42" s="149" t="inlineStr">
        <is>
          <t>Mundpropaganda: Verzögerung bis zur Empfehlung — Realistisch</t>
        </is>
      </c>
      <c r="B42" s="179" t="n">
        <v>3</v>
      </c>
      <c r="C42" s="149" t="inlineStr">
        <is>
          <t>Monate</t>
        </is>
      </c>
      <c r="D42" s="178" t="inlineStr">
        <is>
          <t>gtm-kanalplan.xlsx: ein Handwerker empfiehlt erst, wenn es sich bewährt hat. Rechenregel: aktive Betriebe (Monat − Verzögerung) × Jahresanteil ÷ 12 × Zahlend-Anteil.</t>
        </is>
      </c>
      <c r="E42" s="175" t="n"/>
      <c r="F42" s="175" t="n"/>
      <c r="G42" s="175" t="n"/>
    </row>
    <row r="43" ht="26.25" customHeight="1" s="116">
      <c r="A43" s="149" t="inlineStr">
        <is>
          <t>Mundpropaganda: Verzögerung bis zur Empfehlung — Optimistisch</t>
        </is>
      </c>
      <c r="B43" s="179" t="n">
        <v>2</v>
      </c>
      <c r="C43" s="149" t="inlineStr">
        <is>
          <t>Monate</t>
        </is>
      </c>
      <c r="D43" s="178" t="inlineStr">
        <is>
          <t>gtm-kanalplan.xlsx: ein Handwerker empfiehlt erst, wenn es sich bewährt hat. Rechenregel: aktive Betriebe (Monat − Verzögerung) × Jahresanteil ÷ 12 × Zahlend-Anteil.</t>
        </is>
      </c>
      <c r="E43" s="175" t="n"/>
      <c r="F43" s="175" t="n"/>
      <c r="G43" s="175" t="n"/>
    </row>
    <row r="44" ht="39" customHeight="1" s="116">
      <c r="A44" s="149" t="inlineStr">
        <is>
          <t>Abwanderung Standardkunden pro Monat — Vorsichtig</t>
        </is>
      </c>
      <c r="B44" s="180" t="n">
        <v>0.05</v>
      </c>
      <c r="C44" s="149" t="inlineStr">
        <is>
          <t>% der Kunden</t>
        </is>
      </c>
      <c r="D44" s="178" t="inlineStr">
        <is>
          <t>MEINE Annahme (Abwanderung ist laut Nachtrag 3 Finance-Annahme). Marketing nennt 3–5 % im ersten Jahr als plausibel. Es gibt keinen Erfahrungswert — laut Chief of Staff bleibt diese Zelle gelb bis mindestens März 2027. Sie ist die wirksamste Stellschraube im Modell.</t>
        </is>
      </c>
      <c r="E44" s="175" t="n"/>
      <c r="F44" s="175" t="n"/>
      <c r="G44" s="175" t="n"/>
    </row>
    <row r="45" ht="39" customHeight="1" s="116">
      <c r="A45" s="149" t="inlineStr">
        <is>
          <t>Abwanderung Standardkunden pro Monat — Realistisch</t>
        </is>
      </c>
      <c r="B45" s="180" t="n">
        <v>0.04</v>
      </c>
      <c r="C45" s="149" t="inlineStr">
        <is>
          <t>% der Kunden</t>
        </is>
      </c>
      <c r="D45" s="178" t="inlineStr">
        <is>
          <t>MEINE Annahme (Abwanderung ist laut Nachtrag 3 Finance-Annahme). Marketing nennt 3–5 % im ersten Jahr als plausibel. Es gibt keinen Erfahrungswert — laut Chief of Staff bleibt diese Zelle gelb bis mindestens März 2027. Sie ist die wirksamste Stellschraube im Modell.</t>
        </is>
      </c>
      <c r="E45" s="175" t="n"/>
      <c r="F45" s="175" t="n"/>
      <c r="G45" s="175" t="n"/>
    </row>
    <row r="46" ht="39" customHeight="1" s="116">
      <c r="A46" s="149" t="inlineStr">
        <is>
          <t>Abwanderung Standardkunden pro Monat — Optimistisch</t>
        </is>
      </c>
      <c r="B46" s="180" t="n">
        <v>0.03</v>
      </c>
      <c r="C46" s="149" t="inlineStr">
        <is>
          <t>% der Kunden</t>
        </is>
      </c>
      <c r="D46" s="178" t="inlineStr">
        <is>
          <t>MEINE Annahme (Abwanderung ist laut Nachtrag 3 Finance-Annahme). Marketing nennt 3–5 % im ersten Jahr als plausibel. Es gibt keinen Erfahrungswert — laut Chief of Staff bleibt diese Zelle gelb bis mindestens März 2027. Sie ist die wirksamste Stellschraube im Modell.</t>
        </is>
      </c>
      <c r="E46" s="175" t="n"/>
      <c r="F46" s="175" t="n"/>
      <c r="G46" s="175" t="n"/>
    </row>
    <row r="47" ht="26.25" customHeight="1" s="116">
      <c r="A47" s="149" t="inlineStr">
        <is>
          <t>Abwanderung Gründerkunden pro Monat — Vorsichtig</t>
        </is>
      </c>
      <c r="B47" s="180" t="n">
        <v>0.02</v>
      </c>
      <c r="C47" s="149" t="inlineStr">
        <is>
          <t>% der Kunden</t>
        </is>
      </c>
      <c r="D47" s="178" t="inlineStr">
        <is>
          <t>MEINE Annahme, deutlich unter der Standardrate — Marketing: Gründerkunden binden stärker (Preis dauerhaft 29 €, Feedback-Bindung).</t>
        </is>
      </c>
      <c r="E47" s="175" t="n"/>
      <c r="F47" s="175" t="n"/>
      <c r="G47" s="175" t="n"/>
    </row>
    <row r="48" ht="26.25" customHeight="1" s="116">
      <c r="A48" s="149" t="inlineStr">
        <is>
          <t>Abwanderung Gründerkunden pro Monat — Realistisch</t>
        </is>
      </c>
      <c r="B48" s="180" t="n">
        <v>0.015</v>
      </c>
      <c r="C48" s="149" t="inlineStr">
        <is>
          <t>% der Kunden</t>
        </is>
      </c>
      <c r="D48" s="178" t="inlineStr">
        <is>
          <t>MEINE Annahme, deutlich unter der Standardrate — Marketing: Gründerkunden binden stärker (Preis dauerhaft 29 €, Feedback-Bindung).</t>
        </is>
      </c>
      <c r="E48" s="175" t="n"/>
      <c r="F48" s="175" t="n"/>
      <c r="G48" s="175" t="n"/>
    </row>
    <row r="49" ht="26.25" customHeight="1" s="116">
      <c r="A49" s="149" t="inlineStr">
        <is>
          <t>Abwanderung Gründerkunden pro Monat — Optimistisch</t>
        </is>
      </c>
      <c r="B49" s="180" t="n">
        <v>0.01</v>
      </c>
      <c r="C49" s="149" t="inlineStr">
        <is>
          <t>% der Kunden</t>
        </is>
      </c>
      <c r="D49" s="178" t="inlineStr">
        <is>
          <t>MEINE Annahme, deutlich unter der Standardrate — Marketing: Gründerkunden binden stärker (Preis dauerhaft 29 €, Feedback-Bindung).</t>
        </is>
      </c>
      <c r="E49" s="175" t="n"/>
      <c r="F49" s="175" t="n"/>
      <c r="G49" s="175" t="n"/>
    </row>
    <row r="50" ht="39" customHeight="1" s="116">
      <c r="A50" s="149" t="inlineStr">
        <is>
          <t>Empfehlungs-Anreiz aktiv? (1 = ja, 0 = nein)</t>
        </is>
      </c>
      <c r="B50" s="179" t="n">
        <v>0</v>
      </c>
      <c r="C50" s="149" t="inlineStr">
        <is>
          <t>Schalter</t>
        </is>
      </c>
      <c r="D50" s="178" t="inlineStr">
        <is>
          <t>'Ein Kollege, ein Monat geschenkt' — von Marketing vorgeschlagen, SANDY ENTSCHEIDET. Deshalb Schalter, standardmäßig aus. Bei 1 kostet jede Empfehlung einmalig 49 € Umsatz.</t>
        </is>
      </c>
      <c r="E50" s="175" t="n"/>
      <c r="F50" s="175" t="n"/>
      <c r="G50" s="175" t="n"/>
    </row>
    <row r="51" ht="26.25" customHeight="1" s="116">
      <c r="A51" s="149" t="inlineStr">
        <is>
          <t>… erwarteter Aufschlag auf die Empfehlungsquote</t>
        </is>
      </c>
      <c r="B51" s="180" t="n">
        <v>0</v>
      </c>
      <c r="C51" s="149" t="inlineStr">
        <is>
          <t>% relativ</t>
        </is>
      </c>
      <c r="D51" s="178" t="inlineStr">
        <is>
          <t>Bewusst 0: Marketing schreibt 'hebt die Quote spürbar', nennt aber keine Zahl — ich erfinde keine. Wer den Effekt sehen will, trägt hier z. B. 25 % ein.</t>
        </is>
      </c>
      <c r="E51" s="175" t="n"/>
      <c r="F51" s="175" t="n"/>
      <c r="G51" s="175" t="n"/>
    </row>
    <row r="52" ht="15" customHeight="1" s="116">
      <c r="A52" s="149" t="inlineStr">
        <is>
          <t>Zahlungsausfälle / Lastschrift-Rückläufer</t>
        </is>
      </c>
      <c r="B52" s="180" t="n">
        <v>0.02</v>
      </c>
      <c r="C52" s="149" t="inlineStr">
        <is>
          <t>% vom Umsatz</t>
        </is>
      </c>
      <c r="D52" s="178" t="inlineStr">
        <is>
          <t>Katalog G, meine Annahme (2 %), keine Erfahrungswerte.</t>
        </is>
      </c>
      <c r="E52" s="175" t="n"/>
      <c r="F52" s="175" t="n"/>
      <c r="G52" s="175" t="n"/>
    </row>
    <row r="53" ht="15" customHeight="1" s="116">
      <c r="A53" s="149" t="inlineStr">
        <is>
          <t>Kulanz / Erstattungen</t>
        </is>
      </c>
      <c r="B53" s="180" t="n">
        <v>0.01</v>
      </c>
      <c r="C53" s="149" t="inlineStr">
        <is>
          <t>% vom Umsatz</t>
        </is>
      </c>
      <c r="D53" s="178" t="inlineStr">
        <is>
          <t>Katalog G, meine Annahme (1 %).</t>
        </is>
      </c>
      <c r="E53" s="175" t="n"/>
      <c r="F53" s="175" t="n"/>
      <c r="G53" s="175" t="n"/>
    </row>
    <row r="55" ht="15" customHeight="1" s="116">
      <c r="A55" s="133" t="inlineStr">
        <is>
          <t>5) Rechtsform — Einzelunternehmen jetzt, UG ab rund 20 Betrieben</t>
        </is>
      </c>
    </row>
    <row r="56" ht="39" customHeight="1" s="116">
      <c r="A56" s="157" t="inlineStr">
        <is>
          <t>GEÄNDERT gegenüber der ersten Fassung (Nachtrag 8 + 9): Dort war UG ab Monat 1 unterstellt. Sandy hat am Abend des 03.09.2026 anders entschieden — Einzelunternehmen / Kleingewerbe ab Oktober 2026, UG erst bei rund 20 aktiven zahlenden Betrieben. Quelle: entscheidungen-fuer-sandy.md 'S-4, Teil 4', eingeordnet von Head of Legal, freigegeben vom Chief of Staff. Der Auslöser hängt bewusst an der Kundenzahl, nicht an einem Datum — dann verschiebt er sich mit der Kundenkurve mit.</t>
        </is>
      </c>
    </row>
    <row r="57" ht="15" customHeight="1" s="116">
      <c r="A57" s="119" t="inlineStr">
        <is>
          <t>Bezeichnung</t>
        </is>
      </c>
      <c r="B57" s="119" t="inlineStr">
        <is>
          <t>Wert</t>
        </is>
      </c>
      <c r="C57" s="119" t="inlineStr">
        <is>
          <t>Einheit</t>
        </is>
      </c>
      <c r="D57" s="119" t="inlineStr">
        <is>
          <t>Quelle / Kommentar</t>
        </is>
      </c>
      <c r="E57" s="175" t="n"/>
      <c r="F57" s="175" t="n"/>
      <c r="G57" s="176" t="n"/>
    </row>
    <row r="58" ht="26.25" customHeight="1" s="116">
      <c r="A58" s="149" t="inlineStr">
        <is>
          <t>Gewerbeanmeldung (Einzelunternehmen) ab Monat</t>
        </is>
      </c>
      <c r="B58" s="179" t="n">
        <v>2</v>
      </c>
      <c r="C58" s="149" t="inlineStr">
        <is>
          <t>Monat-Nr.</t>
        </is>
      </c>
      <c r="D58" s="178" t="inlineStr">
        <is>
          <t>Oktober 2026 = Monat 2 (Legal, S-4 Teil 4; Terminplan legal-007-plan-fuer-sandy.md). Ab hier laufen die Betriebsausgaben der Einzelunternehmung.</t>
        </is>
      </c>
      <c r="E58" s="175" t="n"/>
      <c r="F58" s="175" t="n"/>
      <c r="G58" s="175" t="n"/>
    </row>
    <row r="59" ht="39" customHeight="1" s="116">
      <c r="A59" s="149" t="inlineStr">
        <is>
          <t>UG-Gründung ab … aktiven zahlenden Betrieben</t>
        </is>
      </c>
      <c r="B59" s="179" t="n">
        <v>20</v>
      </c>
      <c r="C59" s="149" t="inlineStr">
        <is>
          <t>Betriebe</t>
        </is>
      </c>
      <c r="D59" s="178" t="inlineStr">
        <is>
          <t>Sandys Vorgabe (Nachtrag 9): 'nicht 5 Kunden sondern eher 20 oder so'. Der Schalter wirkt je Szenario auf dem Blatt 'Plan-Kunden' und löst im Raster Gründungskosten, den höheren Steuerberatersatz, IHK und das Geschäftskonto aus.</t>
        </is>
      </c>
      <c r="E59" s="175" t="n"/>
      <c r="F59" s="175" t="n"/>
      <c r="G59" s="175" t="n"/>
    </row>
    <row r="60" ht="26.25" customHeight="1" s="116">
      <c r="A60" s="149" t="inlineStr">
        <is>
          <t>Vorlauf für die UG-Gründung (Notartermin bis Eintragung)</t>
        </is>
      </c>
      <c r="B60" s="179" t="n">
        <v>1.25</v>
      </c>
      <c r="C60" s="149" t="inlineStr">
        <is>
          <t>Monate</t>
        </is>
      </c>
      <c r="D60" s="178" t="inlineStr">
        <is>
          <t>Legal: 4–6 Wochen ab Notartermin. Im Deckblatt als 'Notartermin spätestens' ausgewiesen; im Raster fallen die Kosten im Monat der Schwelle an.</t>
        </is>
      </c>
      <c r="E60" s="175" t="n"/>
      <c r="F60" s="175" t="n"/>
      <c r="G60" s="175" t="n"/>
    </row>
    <row r="61" ht="39" customHeight="1" s="116">
      <c r="A61" s="149" t="inlineStr">
        <is>
          <t>Regelbesteuerung statt Kleinunternehmer? (1 = ja, 0 = nein)</t>
        </is>
      </c>
      <c r="B61" s="179" t="n">
        <v>1</v>
      </c>
      <c r="C61" s="149" t="inlineStr">
        <is>
          <t>Schalter</t>
        </is>
      </c>
      <c r="D61" s="178" t="inlineStr">
        <is>
          <t>GESETZT AUF 1 am 17.09.2026 (Head of Finance): Sandy hat am 17.09.2026 Variante B gewaehlt — freiwilliger Verzicht auf die Kleinunternehmerregelung nach § 19 Abs. 2 UStG, Bindung fuenf Jahre (docs/preismodell.md). Scharf geschaltet wird der Verzicht erst im Fragebogen zur steuerlichen Erfassung nach der Gewerbeanmeldung in KW 41 — der Plan rechnet ihn aber ab jetzt. Bei 1 wird die Vorsteuer je Kostenzeile erstattet (Plan-Kosten, Spalte AL), die Preise sind netto und die Umsatzsteuer auf den Umsatz ist ein durchlaufender Posten.</t>
        </is>
      </c>
      <c r="E61" s="175" t="n"/>
      <c r="F61" s="175" t="n"/>
      <c r="G61" s="175" t="n"/>
    </row>
    <row r="62" ht="39" customHeight="1" s="116">
      <c r="A62" s="149" t="inlineStr">
        <is>
          <t>… vorsteuerfaehiger Kostenanteil (Naeherung) — NICHT MEHR VERWENDET</t>
        </is>
      </c>
      <c r="B62" s="180" t="n">
        <v>0</v>
      </c>
      <c r="C62" s="149" t="inlineStr">
        <is>
          <t>Anteil</t>
        </is>
      </c>
      <c r="D62" s="178" t="inlineStr">
        <is>
          <t>ERSETZT am 17.09.2026 (Head of Finance). Bis dahin: pauschal 60 % aller Kosten mit 19/119. Beim Gegenpruefen gegen die 18 echten Belege war die Pauschale in beide Richtungen falsch — Versicherungen, Stripe, Amtsgebuehren und die Supabase-Reverse-Charge-Rechnungen tragen gar keine abziehbare Vorsteuer, Fachliteratur nur 7 %, und einmalige Grossposten (Anwalt, Marke) haetten die Erstattung im Monat ihres Anfalls kuenstlich aufgeblaeht. Die Vorsteuer wird jetzt je Zeile gerechnet: Plan-Kosten, Spalte AL. Diese Zelle bleibt nur als Spur stehen.</t>
        </is>
      </c>
      <c r="E62" s="175" t="n"/>
      <c r="F62" s="175" t="n"/>
      <c r="G62" s="175" t="n"/>
    </row>
    <row r="63" ht="26.25" customHeight="1" s="116">
      <c r="A63" s="149" t="inlineStr">
        <is>
          <t>Kleinunternehmergrenze Vorjahresumsatz</t>
        </is>
      </c>
      <c r="B63" s="179" t="n">
        <v>25000</v>
      </c>
      <c r="C63" s="149" t="inlineStr">
        <is>
          <t>€ netto</t>
        </is>
      </c>
      <c r="D63" s="178" t="inlineStr">
        <is>
          <t>§ 19 UStG, mehrfach webverifiziert am 03.09.2026 (Taxfix, Tide, Finanzamt NRW), deckt sich mit der Angabe des Legal-Teams.</t>
        </is>
      </c>
      <c r="E63" s="175" t="n"/>
      <c r="F63" s="175" t="n"/>
      <c r="G63" s="175" t="n"/>
    </row>
    <row r="64" ht="15" customHeight="1" s="116">
      <c r="A64" s="149" t="inlineStr">
        <is>
          <t>Kleinunternehmergrenze laufendes Jahr</t>
        </is>
      </c>
      <c r="B64" s="179" t="n">
        <v>100000</v>
      </c>
      <c r="C64" s="149" t="inlineStr">
        <is>
          <t>€ netto</t>
        </is>
      </c>
      <c r="D64" s="178" t="inlineStr">
        <is>
          <t>Gleiche Quelle.</t>
        </is>
      </c>
      <c r="E64" s="175" t="n"/>
      <c r="F64" s="175" t="n"/>
      <c r="G64" s="175" t="n"/>
    </row>
    <row r="66" ht="15" customHeight="1" s="116">
      <c r="A66" s="133" t="inlineStr">
        <is>
          <t>6) Zeitbudget (Nachtrag 4 — harte Nebenbedingung)</t>
        </is>
      </c>
    </row>
    <row r="67" ht="15" customHeight="1" s="116">
      <c r="A67" s="119" t="inlineStr">
        <is>
          <t>Bezeichnung</t>
        </is>
      </c>
      <c r="B67" s="119" t="inlineStr">
        <is>
          <t>Wert</t>
        </is>
      </c>
      <c r="C67" s="119" t="inlineStr">
        <is>
          <t>Einheit</t>
        </is>
      </c>
      <c r="D67" s="119" t="inlineStr">
        <is>
          <t>Quelle / Kommentar</t>
        </is>
      </c>
      <c r="E67" s="175" t="n"/>
      <c r="F67" s="175" t="n"/>
      <c r="G67" s="176" t="n"/>
    </row>
    <row r="68" ht="26.25" customHeight="1" s="116">
      <c r="A68" s="149" t="inlineStr">
        <is>
          <t>Kapazitätslinie 1 — Sprint (15–20 Std./Woche)</t>
        </is>
      </c>
      <c r="B68" s="179" t="n">
        <v>86</v>
      </c>
      <c r="C68" s="149" t="inlineStr">
        <is>
          <t>Std./Monat</t>
        </is>
      </c>
      <c r="D68" s="178" t="inlineStr">
        <is>
          <t>Nachtrag 4: Sandy hat 15–20 Std./Woche, seit rund zwei Monaten so gelebt. 20 × 4,33 ≈ 86 Std. im Monat für ALLES: Produkt, Support, Verwaltung, Vertrieb.</t>
        </is>
      </c>
      <c r="E68" s="175" t="n"/>
      <c r="F68" s="175" t="n"/>
      <c r="G68" s="175" t="n"/>
    </row>
    <row r="69" ht="39" customHeight="1" s="116">
      <c r="A69" s="149" t="inlineStr">
        <is>
          <t>Kapazitätslinie 2 — Dauerlinie konservativ (15 Std./Woche)</t>
        </is>
      </c>
      <c r="B69" s="179" t="n">
        <v>65</v>
      </c>
      <c r="C69" s="149" t="inlineStr">
        <is>
          <t>Std./Monat</t>
        </is>
      </c>
      <c r="D69" s="178" t="inlineStr">
        <is>
          <t>Konservative Linie für den Fall, dass sich das Tempo über 24 Monate neben einer Vollzeitstelle nicht halten lässt. Der Abstand zwischen beiden Linien ist selbst die Information.</t>
        </is>
      </c>
      <c r="E69" s="175" t="n"/>
      <c r="F69" s="175" t="n"/>
      <c r="G69" s="175" t="n"/>
    </row>
    <row r="70" ht="39" customHeight="1" s="116">
      <c r="A70" s="149" t="inlineStr">
        <is>
          <t>Grundlast Produkt / Verwaltung / Buchhaltung</t>
        </is>
      </c>
      <c r="B70" s="179" t="n">
        <v>25</v>
      </c>
      <c r="C70" s="149" t="inlineStr">
        <is>
          <t>Std./Monat</t>
        </is>
      </c>
      <c r="D70" s="178" t="inlineStr">
        <is>
          <t>MEINE Annahme. Laut Chief of Staff kann Sandy das aus zwei Monaten Erfahrung besser schätzen — bitte überschreiben. Zusammen mit der Abwanderung die wirksamste Stellschraube.</t>
        </is>
      </c>
      <c r="E70" s="175" t="n"/>
      <c r="F70" s="175" t="n"/>
      <c r="G70" s="175" t="n"/>
    </row>
    <row r="71" ht="15" customHeight="1" s="116">
      <c r="A71" s="149" t="inlineStr">
        <is>
          <t>Support je aktivem Betrieb und Monat</t>
        </is>
      </c>
      <c r="B71" s="179" t="n">
        <v>0.3</v>
      </c>
      <c r="C71" s="149" t="inlineStr">
        <is>
          <t>Std.</t>
        </is>
      </c>
      <c r="D71" s="178" t="inlineStr">
        <is>
          <t>MEINE Annahme (18 Minuten je Kunde und Monat). Support ist Sandys Zeit, nicht Geld.</t>
        </is>
      </c>
      <c r="E71" s="175" t="n"/>
      <c r="F71" s="175" t="n"/>
      <c r="G71" s="175" t="n"/>
    </row>
    <row r="72" ht="15" customHeight="1" s="116">
      <c r="A72" s="149" t="inlineStr">
        <is>
          <t>Onboarding je neuem Betrieb (einmalig)</t>
        </is>
      </c>
      <c r="B72" s="179" t="n">
        <v>1</v>
      </c>
      <c r="C72" s="149" t="inlineStr">
        <is>
          <t>Std.</t>
        </is>
      </c>
      <c r="D72" s="178" t="inlineStr">
        <is>
          <t>MEINE Annahme: Ersteinrichtung und Begleitung des ersten Angebots.</t>
        </is>
      </c>
      <c r="E72" s="175" t="n"/>
      <c r="F72" s="175" t="n"/>
      <c r="G72" s="175" t="n"/>
    </row>
    <row r="73" ht="39" customHeight="1" s="116">
      <c r="A73" s="149" t="inlineStr">
        <is>
          <t>Vertriebsstunden Sandy je Monat</t>
        </is>
      </c>
      <c r="B73" s="184" t="inlineStr">
        <is>
          <t>siehe Blatt 'Plan-Kunden'</t>
        </is>
      </c>
      <c r="C73" s="149" t="inlineStr">
        <is>
          <t>—</t>
        </is>
      </c>
      <c r="D73" s="178" t="inlineStr">
        <is>
          <t>Zulieferung Marketing: 4 / 18 / 5 / 15 / 16 … ≈ 19,5 Std. im Regelbetrieb, Summe 424 Std. über 24 Monate. Marketing führt die Stunden nur einmal, nicht je Szenario — sie gelten deshalb in allen drei Szenarien gleich (im optimistischen eher zu niedrig).</t>
        </is>
      </c>
      <c r="E73" s="175" t="n"/>
      <c r="F73" s="175" t="n"/>
      <c r="G73" s="175" t="n"/>
    </row>
    <row r="75" ht="15" customHeight="1" s="116">
      <c r="A75" s="133" t="inlineStr">
        <is>
          <t>7) Phase A — Sofortangebot neben der Vollzeitstelle</t>
        </is>
      </c>
    </row>
    <row r="76" ht="15" customHeight="1" s="116">
      <c r="A76" s="119" t="inlineStr">
        <is>
          <t>Bezeichnung</t>
        </is>
      </c>
      <c r="B76" s="119" t="inlineStr">
        <is>
          <t>Wert</t>
        </is>
      </c>
      <c r="C76" s="119" t="inlineStr">
        <is>
          <t>Einheit</t>
        </is>
      </c>
      <c r="D76" s="119" t="inlineStr">
        <is>
          <t>Quelle / Kommentar</t>
        </is>
      </c>
      <c r="E76" s="175" t="n"/>
      <c r="F76" s="175" t="n"/>
      <c r="G76" s="176" t="n"/>
    </row>
    <row r="77" ht="51.75" customHeight="1" s="116">
      <c r="A77" s="149" t="inlineStr">
        <is>
          <t>Bruttogehalt Anstellung, Vollzeit 40 Std. (Jahr)</t>
        </is>
      </c>
      <c r="B77" s="179" t="n">
        <v>48000</v>
      </c>
      <c r="C77" s="149" t="inlineStr">
        <is>
          <t>€/Jahr</t>
        </is>
      </c>
      <c r="D77" s="178" t="inlineStr">
        <is>
          <t>ANNAHME, bitte durch Sandys echtes Brutto ersetzen: aus 'mindestens 2.500 € netto' zurückgerechnet — rund 4.000 €/Monat brutto ergeben in Steuerklasse I ohne Kirchensteuer etwa 2.650 € netto. Bestimmt den Grenzsteuersatz, mit dem der Gewinn OBEN auf das Gehalt versteuert wird.</t>
        </is>
      </c>
      <c r="E77" s="175" t="n"/>
      <c r="F77" s="175" t="n"/>
      <c r="G77" s="175" t="n"/>
    </row>
    <row r="78" ht="26.25" customHeight="1" s="116">
      <c r="A78" s="149" t="inlineStr">
        <is>
          <t>Arbeitnehmeranteil Sozialversicherung (Näherung)</t>
        </is>
      </c>
      <c r="B78" s="180" t="n">
        <v>0.205</v>
      </c>
      <c r="C78" s="149" t="inlineStr">
        <is>
          <t>Anteil vom Brutto</t>
        </is>
      </c>
      <c r="D78" s="178" t="inlineStr">
        <is>
          <t>RV 9,3 % + KV 7,3 % + halber Zusatzbeitrag + Pflege + Arbeitslosenversicherung ≈ 20,5 % (Werte 2026).</t>
        </is>
      </c>
      <c r="E78" s="175" t="n"/>
      <c r="F78" s="175" t="n"/>
      <c r="G78" s="175" t="n"/>
    </row>
    <row r="79" ht="15" customHeight="1" s="116">
      <c r="A79" s="149" t="inlineStr">
        <is>
          <t>Werbungskosten-Pauschbetrag</t>
        </is>
      </c>
      <c r="B79" s="179" t="n">
        <v>1230</v>
      </c>
      <c r="C79" s="149" t="inlineStr">
        <is>
          <t>€/Jahr</t>
        </is>
      </c>
      <c r="D79" s="178" t="inlineStr">
        <is>
          <t>§ 9a EStG.</t>
        </is>
      </c>
      <c r="E79" s="175" t="n"/>
      <c r="F79" s="175" t="n"/>
      <c r="G79" s="175" t="n"/>
    </row>
    <row r="80" ht="15" customHeight="1" s="116">
      <c r="A80" s="149" t="inlineStr">
        <is>
          <t>Abzugsfähige Vorsorgeaufwendungen (Anteil vom Brutto)</t>
        </is>
      </c>
      <c r="B80" s="180" t="n">
        <v>0.2</v>
      </c>
      <c r="C80" s="149" t="inlineStr">
        <is>
          <t>Anteil</t>
        </is>
      </c>
      <c r="D80" s="178" t="inlineStr">
        <is>
          <t>Näherung für das zu versteuernde Einkommen. Der Steuerberater rechnet das exakt.</t>
        </is>
      </c>
      <c r="E80" s="175" t="n"/>
      <c r="F80" s="175" t="n"/>
      <c r="G80" s="175" t="n"/>
    </row>
    <row r="81" ht="15" customHeight="1" s="116">
      <c r="A81" s="149" t="inlineStr">
        <is>
          <t>Zu versteuerndes Einkommen aus dem Gehalt (Näherung)</t>
        </is>
      </c>
      <c r="B81" s="185">
        <f>B77-B79-B77*B80-36</f>
        <v/>
      </c>
      <c r="C81" s="149" t="inlineStr">
        <is>
          <t>€/Jahr</t>
        </is>
      </c>
      <c r="D81" s="178" t="inlineStr">
        <is>
          <t>Brutto − Werbungskosten − Vorsorge − Sonderausgaben-Pauschbetrag.</t>
        </is>
      </c>
      <c r="E81" s="175" t="n"/>
      <c r="F81" s="175" t="n"/>
      <c r="G81" s="175" t="n"/>
    </row>
    <row r="82" ht="77.25" customHeight="1" s="116">
      <c r="A82" s="149" t="inlineStr">
        <is>
          <t>Grenzsteuersatz auf den Gewinn (Phase A)</t>
        </is>
      </c>
      <c r="B82" s="186">
        <f>(IF(INT(MAX(0,B81+1000))&lt;=12348,0,IF(INT(MAX(0,B81+1000))&lt;=17799,(914.51*((INT(MAX(0,B81+1000))-12348)/10000)+1400)*((INT(MAX(0,B81+1000))-12348)/10000),IF(INT(MAX(0,B81+1000))&lt;=69878,(173.1*((INT(MAX(0,B81+1000))-17799)/10000)+2397)*((INT(MAX(0,B81+1000))-17799)/10000)+1034.87,IF(INT(MAX(0,B81+1000))&lt;=277825,0.42*INT(MAX(0,B81+1000))-11135.63,0.45*INT(MAX(0,B81+1000))-19470.38))))-IF(INT(MAX(0,B81))&lt;=12348,0,IF(INT(MAX(0,B81))&lt;=17799,(914.51*((INT(MAX(0,B81))-12348)/10000)+1400)*((INT(MAX(0,B81))-12348)/10000),IF(INT(MAX(0,B81))&lt;=69878,(173.1*((INT(MAX(0,B81))-17799)/10000)+2397)*((INT(MAX(0,B81))-17799)/10000)+1034.87,IF(INT(MAX(0,B81))&lt;=277825,0.42*INT(MAX(0,B81))-11135.63,0.45*INT(MAX(0,B81))-19470.38)))))/1000</f>
        <v/>
      </c>
      <c r="C82" s="149" t="inlineStr">
        <is>
          <t>% (Dezimal)</t>
        </is>
      </c>
      <c r="D82" s="178" t="inlineStr">
        <is>
          <t>Einkommensteuertarif 2026 (§ 32a EStG, Fassung ab VZ 2026, lxgesetze.de/estg/32a: Grundfreibetrag 12.348 €, Zonen bis 17.799 / 69.878 / 277.825 €) auf zvE + 1.000 € minus Tarif auf zvE. In der Einzelunternehmens-Phase ist das die RICHTIGE Rechnung: der Gewinn sind gewerbliche Einkünfte, die oben auf das Gehalt kommen. Ohne Solidaritätszuschlag (Freigrenze nicht erreicht) und ohne Kirchensteuer. Verlustverrechnung mit dem Gehalt ist NICHT eingerechnet — vorsichtig gerechnet.</t>
        </is>
      </c>
      <c r="E82" s="175" t="n"/>
      <c r="F82" s="175" t="n"/>
      <c r="G82" s="175" t="n"/>
    </row>
    <row r="84" ht="15" customHeight="1" s="116">
      <c r="A84" s="133" t="inlineStr">
        <is>
          <t>8) Phase B — der Ausstieg als Treppe (Nachtrag 5)</t>
        </is>
      </c>
    </row>
    <row r="85" ht="15" customHeight="1" s="116">
      <c r="A85" s="119" t="inlineStr">
        <is>
          <t>Bezeichnung</t>
        </is>
      </c>
      <c r="B85" s="119" t="inlineStr">
        <is>
          <t>Wert</t>
        </is>
      </c>
      <c r="C85" s="119" t="inlineStr">
        <is>
          <t>Einheit</t>
        </is>
      </c>
      <c r="D85" s="119" t="inlineStr">
        <is>
          <t>Quelle / Kommentar</t>
        </is>
      </c>
      <c r="E85" s="175" t="n"/>
      <c r="F85" s="175" t="n"/>
      <c r="G85" s="176" t="n"/>
    </row>
    <row r="86" ht="26.25" customHeight="1" s="116">
      <c r="A86" s="149" t="inlineStr">
        <is>
          <t>Netto-Bedarf pro Monat (Untergrenze)</t>
        </is>
      </c>
      <c r="B86" s="179" t="n">
        <v>2500</v>
      </c>
      <c r="C86" s="149" t="inlineStr">
        <is>
          <t>€/Monat</t>
        </is>
      </c>
      <c r="D86" s="178" t="inlineStr">
        <is>
          <t>Sandy: 'mein aktuelles netto gehalt … brauch ich mindestens'. Laut Chief of Staff als Untergrenze zu behandeln, nicht als Ziel.</t>
        </is>
      </c>
      <c r="E86" s="175" t="n"/>
      <c r="F86" s="175" t="n"/>
      <c r="G86" s="175" t="n"/>
    </row>
    <row r="87" ht="15" customHeight="1" s="116">
      <c r="A87" s="149" t="inlineStr">
        <is>
          <t>Puffer auf den Netto-Bedarf (realistische Schwelle)</t>
        </is>
      </c>
      <c r="B87" s="180" t="n">
        <v>0.2</v>
      </c>
      <c r="C87" s="149" t="inlineStr">
        <is>
          <t>Anteil</t>
        </is>
      </c>
      <c r="D87" s="178" t="inlineStr">
        <is>
          <t>MEINE Annahme: +20 % für Urlaub, schwache Monate, Rücklage.</t>
        </is>
      </c>
      <c r="E87" s="175" t="n"/>
      <c r="F87" s="175" t="n"/>
      <c r="G87" s="175" t="n"/>
    </row>
    <row r="88" ht="15" customHeight="1" s="116">
      <c r="A88" s="149" t="inlineStr">
        <is>
          <t>Altersvorsorge pro Monat (realistische Schwelle)</t>
        </is>
      </c>
      <c r="B88" s="179" t="n">
        <v>300</v>
      </c>
      <c r="C88" s="149" t="inlineStr">
        <is>
          <t>€/Monat</t>
        </is>
      </c>
      <c r="D88" s="178" t="inlineStr">
        <is>
          <t>MEINE Annahme: als Selbstständige entfällt der Arbeitgeberanteil zur Rente.</t>
        </is>
      </c>
      <c r="E88" s="175" t="n"/>
      <c r="F88" s="175" t="n"/>
      <c r="G88" s="175" t="n"/>
    </row>
    <row r="89" ht="15" customHeight="1" s="116">
      <c r="A89" s="149" t="inlineStr">
        <is>
          <t>Teilzeit-Variante 1</t>
        </is>
      </c>
      <c r="B89" s="179" t="n">
        <v>30</v>
      </c>
      <c r="C89" s="149" t="inlineStr">
        <is>
          <t>Std./Woche</t>
        </is>
      </c>
      <c r="D89" s="178" t="inlineStr">
        <is>
          <t>Nachtrag 5: Sandy erwägt 30 oder 25 Stunden.</t>
        </is>
      </c>
      <c r="E89" s="175" t="n"/>
      <c r="F89" s="175" t="n"/>
      <c r="G89" s="175" t="n"/>
    </row>
    <row r="90" ht="15" customHeight="1" s="116">
      <c r="A90" s="149" t="inlineStr">
        <is>
          <t>Teilzeit-Variante 2</t>
        </is>
      </c>
      <c r="B90" s="179" t="n">
        <v>25</v>
      </c>
      <c r="C90" s="149" t="inlineStr">
        <is>
          <t>Std./Woche</t>
        </is>
      </c>
      <c r="D90" s="178" t="inlineStr">
        <is>
          <t>Nachtrag 5.</t>
        </is>
      </c>
      <c r="E90" s="175" t="n"/>
      <c r="F90" s="175" t="n"/>
      <c r="G90" s="175" t="n"/>
    </row>
    <row r="91" ht="26.25" customHeight="1" s="116">
      <c r="A91" s="149" t="inlineStr">
        <is>
          <t>Zusätzliche Zeit für Sofortangebot bei 30 Std.</t>
        </is>
      </c>
      <c r="B91" s="179" t="n">
        <v>43</v>
      </c>
      <c r="C91" s="149" t="inlineStr">
        <is>
          <t>Std./Monat</t>
        </is>
      </c>
      <c r="D91" s="178" t="inlineStr">
        <is>
          <t>Nachtrag 5: 40 → 30 sind rund 10 Std./Woche ≈ 43 Std./Monat. Das Zeitbudget ist damit stufenabhängig, keine Konstante.</t>
        </is>
      </c>
      <c r="E91" s="175" t="n"/>
      <c r="F91" s="175" t="n"/>
      <c r="G91" s="175" t="n"/>
    </row>
    <row r="92" ht="15" customHeight="1" s="116">
      <c r="A92" s="149" t="inlineStr">
        <is>
          <t>Zusätzliche Zeit für Sofortangebot bei 25 Std.</t>
        </is>
      </c>
      <c r="B92" s="179" t="n">
        <v>65</v>
      </c>
      <c r="C92" s="149" t="inlineStr">
        <is>
          <t>Std./Monat</t>
        </is>
      </c>
      <c r="D92" s="178" t="inlineStr">
        <is>
          <t>Nachtrag 5: 40 → 25 sind rund 15 Std./Woche ≈ 65 Std./Monat.</t>
        </is>
      </c>
      <c r="E92" s="175" t="n"/>
      <c r="F92" s="175" t="n"/>
      <c r="G92" s="175" t="n"/>
    </row>
    <row r="93" ht="64.5" customHeight="1" s="116">
      <c r="A93" s="149" t="inlineStr">
        <is>
          <t>Vorlauf für den Teilzeitantrag</t>
        </is>
      </c>
      <c r="B93" s="179" t="n">
        <v>3</v>
      </c>
      <c r="C93" s="149" t="inlineStr">
        <is>
          <t>Monate</t>
        </is>
      </c>
      <c r="D93" s="178" t="inlineStr">
        <is>
          <t>Nachtrag 5: mindestens drei Monate vorher schriftlich (§ 8 bzw. § 9a TzBfG). Rechtsstand vom Chief of Staff nachgesehen, keine Rechtsberatung — für den konkreten Vertrag prüfen lassen. Zwei Wege: § 8 unbefristete Teilzeit (kein Rückkehrrecht) und § 9a Brückenteilzeit (ab 45 Beschäftigten, 1–5 Jahre, danach automatische Rückkehr). Die Wahl ist Sandys Entscheidung.</t>
        </is>
      </c>
      <c r="E93" s="175" t="n"/>
      <c r="F93" s="175" t="n"/>
      <c r="G93" s="175" t="n"/>
    </row>
    <row r="95" ht="15" customHeight="1" s="116">
      <c r="A95" s="133" t="inlineStr">
        <is>
          <t>9) Krankenversicherung und Pflege in Stufe B2 (Werte 2026)</t>
        </is>
      </c>
    </row>
    <row r="96" ht="15" customHeight="1" s="116">
      <c r="A96" s="119" t="inlineStr">
        <is>
          <t>Bezeichnung</t>
        </is>
      </c>
      <c r="B96" s="119" t="inlineStr">
        <is>
          <t>Wert</t>
        </is>
      </c>
      <c r="C96" s="119" t="inlineStr">
        <is>
          <t>Einheit</t>
        </is>
      </c>
      <c r="D96" s="119" t="inlineStr">
        <is>
          <t>Quelle / Kommentar</t>
        </is>
      </c>
      <c r="E96" s="175" t="n"/>
      <c r="F96" s="175" t="n"/>
      <c r="G96" s="176" t="n"/>
    </row>
    <row r="97" ht="26.25" customHeight="1" s="116">
      <c r="A97" s="149" t="inlineStr">
        <is>
          <t>Krankenversicherung, allgemeiner Beitragssatz</t>
        </is>
      </c>
      <c r="B97" s="180" t="n">
        <v>0.146</v>
      </c>
      <c r="C97" s="149" t="inlineStr">
        <is>
          <t>% (Dezimal)</t>
        </is>
      </c>
      <c r="D97" s="178" t="inlineStr">
        <is>
          <t>GKV 2026, freiwillig versichert, voller Beitrag ohne Arbeitgeberanteil (papierkram.de). Ermäßigt ohne Krankengeld wären 14,0 % — hier der höhere Satz.</t>
        </is>
      </c>
      <c r="E97" s="175" t="n"/>
      <c r="F97" s="175" t="n"/>
      <c r="G97" s="175" t="n"/>
    </row>
    <row r="98" ht="15" customHeight="1" s="116">
      <c r="A98" s="149" t="inlineStr">
        <is>
          <t>… Zusatzbeitrag (Durchschnitt 2026)</t>
        </is>
      </c>
      <c r="B98" s="180" t="n">
        <v>0.029</v>
      </c>
      <c r="C98" s="149" t="inlineStr">
        <is>
          <t>% (Dezimal)</t>
        </is>
      </c>
      <c r="D98" s="178" t="inlineStr">
        <is>
          <t>2,9 % Durchschnitt 2026 (papierkram.de), kassenabhängig.</t>
        </is>
      </c>
      <c r="E98" s="175" t="n"/>
      <c r="F98" s="175" t="n"/>
      <c r="G98" s="175" t="n"/>
    </row>
    <row r="99" ht="15" customHeight="1" s="116">
      <c r="A99" s="149" t="inlineStr">
        <is>
          <t>Pflegeversicherung inkl. Zuschlag für Kinderlose</t>
        </is>
      </c>
      <c r="B99" s="180" t="n">
        <v>0.042</v>
      </c>
      <c r="C99" s="149" t="inlineStr">
        <is>
          <t>% (Dezimal)</t>
        </is>
      </c>
      <c r="D99" s="178" t="inlineStr">
        <is>
          <t>3,6 % + 0,6 % (papierkram.de). Bei Kindern niedriger.</t>
        </is>
      </c>
      <c r="E99" s="175" t="n"/>
      <c r="F99" s="175" t="n"/>
      <c r="G99" s="175" t="n"/>
    </row>
    <row r="100" ht="15" customHeight="1" s="116">
      <c r="A100" s="149" t="inlineStr">
        <is>
          <t>Mindestbemessungsgrundlage</t>
        </is>
      </c>
      <c r="B100" s="179" t="n">
        <v>1318.33</v>
      </c>
      <c r="C100" s="149" t="inlineStr">
        <is>
          <t>€/Monat</t>
        </is>
      </c>
      <c r="D100" s="178" t="inlineStr">
        <is>
          <t>2026 (papierkram.de).</t>
        </is>
      </c>
      <c r="E100" s="175" t="n"/>
      <c r="F100" s="175" t="n"/>
      <c r="G100" s="175" t="n"/>
    </row>
    <row r="101" ht="15" customHeight="1" s="116">
      <c r="A101" s="149" t="inlineStr">
        <is>
          <t>Beitragsbemessungsgrenze</t>
        </is>
      </c>
      <c r="B101" s="179" t="n">
        <v>5812.5</v>
      </c>
      <c r="C101" s="149" t="inlineStr">
        <is>
          <t>€/Monat</t>
        </is>
      </c>
      <c r="D101" s="178" t="inlineStr">
        <is>
          <t>2026: 5.812,50 €/Monat = 69.750 €/Jahr (papierkram.de, bundesregierung.de).</t>
        </is>
      </c>
      <c r="E101" s="175" t="n"/>
      <c r="F101" s="175" t="n"/>
      <c r="G101" s="175" t="n"/>
    </row>
    <row r="102" ht="15" customHeight="1" s="116">
      <c r="A102" s="149" t="inlineStr">
        <is>
          <t>Sonderausgaben-Pauschbetrag</t>
        </is>
      </c>
      <c r="B102" s="179" t="n">
        <v>36</v>
      </c>
      <c r="C102" s="149" t="inlineStr">
        <is>
          <t>€/Jahr</t>
        </is>
      </c>
      <c r="D102" s="178" t="inlineStr">
        <is>
          <t>§ 10c EStG.</t>
        </is>
      </c>
      <c r="E102" s="175" t="n"/>
      <c r="F102" s="175" t="n"/>
      <c r="G102" s="175" t="n"/>
    </row>
    <row r="104" ht="15" customHeight="1" s="116">
      <c r="A104" s="157" t="inlineStr">
        <is>
          <t>In Stufe B1 bleibt die Krankenversicherung beim Arbeitgeber — der größte Einzelsprung fällt erst in Stufe B2 an. Genau deshalb ist B1 deutlich früher erreichbar.</t>
        </is>
      </c>
    </row>
  </sheetData>
  <mergeCells count="82">
    <mergeCell ref="D18:G18"/>
    <mergeCell ref="F29:G29"/>
    <mergeCell ref="D8:G8"/>
    <mergeCell ref="F25:G25"/>
    <mergeCell ref="A2:G4"/>
    <mergeCell ref="D68:G68"/>
    <mergeCell ref="D82:G82"/>
    <mergeCell ref="D59:G59"/>
    <mergeCell ref="D20:G20"/>
    <mergeCell ref="D60:G60"/>
    <mergeCell ref="A30:G30"/>
    <mergeCell ref="D100:G100"/>
    <mergeCell ref="D45:G45"/>
    <mergeCell ref="D77:G77"/>
    <mergeCell ref="D21:G21"/>
    <mergeCell ref="D86:G86"/>
    <mergeCell ref="D13:G13"/>
    <mergeCell ref="D70:G70"/>
    <mergeCell ref="D48:G48"/>
    <mergeCell ref="D97:G97"/>
    <mergeCell ref="D7:G7"/>
    <mergeCell ref="D72:G72"/>
    <mergeCell ref="D78:G78"/>
    <mergeCell ref="D87:G87"/>
    <mergeCell ref="D62:G62"/>
    <mergeCell ref="D71:G71"/>
    <mergeCell ref="D58:G58"/>
    <mergeCell ref="D64:G64"/>
    <mergeCell ref="D33:G33"/>
    <mergeCell ref="D98:G98"/>
    <mergeCell ref="D73:G73"/>
    <mergeCell ref="D42:G42"/>
    <mergeCell ref="D51:G51"/>
    <mergeCell ref="D88:G88"/>
    <mergeCell ref="D35:G35"/>
    <mergeCell ref="D50:G50"/>
    <mergeCell ref="D44:G44"/>
    <mergeCell ref="D19:G19"/>
    <mergeCell ref="D34:G34"/>
    <mergeCell ref="D90:G90"/>
    <mergeCell ref="D99:G99"/>
    <mergeCell ref="D36:G36"/>
    <mergeCell ref="D101:G101"/>
    <mergeCell ref="F28:G28"/>
    <mergeCell ref="D61:G61"/>
    <mergeCell ref="D53:G53"/>
    <mergeCell ref="D47:G47"/>
    <mergeCell ref="A104:G104"/>
    <mergeCell ref="D37:G37"/>
    <mergeCell ref="D9:G9"/>
    <mergeCell ref="D39:G39"/>
    <mergeCell ref="D15:G15"/>
    <mergeCell ref="D38:G38"/>
    <mergeCell ref="D89:G89"/>
    <mergeCell ref="D79:G79"/>
    <mergeCell ref="A24:G24"/>
    <mergeCell ref="D63:G63"/>
    <mergeCell ref="D10:G10"/>
    <mergeCell ref="D81:G81"/>
    <mergeCell ref="D52:G52"/>
    <mergeCell ref="D49:G49"/>
    <mergeCell ref="D76:G76"/>
    <mergeCell ref="D17:G17"/>
    <mergeCell ref="D91:G91"/>
    <mergeCell ref="D93:G93"/>
    <mergeCell ref="D102:G102"/>
    <mergeCell ref="D92:G92"/>
    <mergeCell ref="D67:G67"/>
    <mergeCell ref="D14:G14"/>
    <mergeCell ref="D85:G85"/>
    <mergeCell ref="D69:G69"/>
    <mergeCell ref="F26:G26"/>
    <mergeCell ref="D46:G46"/>
    <mergeCell ref="D40:G40"/>
    <mergeCell ref="D80:G80"/>
    <mergeCell ref="D96:G96"/>
    <mergeCell ref="D57:G57"/>
    <mergeCell ref="F27:G27"/>
    <mergeCell ref="D41:G41"/>
    <mergeCell ref="A56:G56"/>
    <mergeCell ref="D16:G16"/>
    <mergeCell ref="D43:G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S93"/>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customHeight="0" zeroHeight="0" outlineLevelRow="0"/>
  <cols>
    <col width="7" customWidth="1" style="213" min="1" max="1"/>
    <col width="12" customWidth="1" style="213" min="2" max="2"/>
    <col width="13" customWidth="1" style="213" min="3" max="3"/>
    <col width="15" customWidth="1" style="213" min="4" max="4"/>
    <col width="12" customWidth="1" style="213" min="5" max="6"/>
    <col width="11" customWidth="1" style="213" min="7" max="7"/>
    <col width="14" customWidth="1" style="213" min="8" max="8"/>
    <col width="12" customWidth="1" style="213" min="9" max="11"/>
    <col width="13" customWidth="1" style="213" min="12" max="12"/>
    <col width="11" customWidth="1" style="213" min="13" max="13"/>
    <col width="12" customWidth="1" style="213" min="14" max="14"/>
    <col width="11" customWidth="1" style="213" min="15" max="16"/>
    <col width="13" customWidth="1" style="213" min="17" max="19"/>
  </cols>
  <sheetData>
    <row r="1" ht="17.25" customHeight="1" s="116">
      <c r="A1" s="117" t="inlineStr">
        <is>
          <t>Plan-Kunden — Kundenmodell aus Kanälen und Zeitbudget</t>
        </is>
      </c>
    </row>
    <row r="2" ht="15" customHeight="1" s="116">
      <c r="A2" s="157" t="inlineStr">
        <is>
          <t>Neukunden kommen aus dem Kanalplan von Head of Marketing (blau = Zulieferung aus docs/gtm-kanalplan.xlsx, CoS-M-007), ergänzt um Mundpropaganda als einzigen Selbstverstärker aus der aktiven Kundenbasis — mit Verzögerung und dadurch von Natur aus gedeckelt. Abwanderung ist getrennt nach Gründer- und Standardkunden geführt. Rechts das Zeitbudget: Vertrieb + Support je Kunde + Onboarding je Neukunde + Grundlast gegen Sandys zwei Kapazitätslinien; eine 1 heißt, dieser Monat verlangt mehr Stunden, als sie hat. Die letzte Spalte schaltet die UG scharf, sobald die aktive Kundenzahl die Schwelle aus 'Plan-Annahmen' erreicht.</t>
        </is>
      </c>
    </row>
    <row r="3" ht="15" customHeight="1" s="116"/>
    <row r="4" ht="15" customHeight="1" s="116"/>
    <row r="6" ht="15" customHeight="1" s="116">
      <c r="A6" s="133" t="inlineStr">
        <is>
          <t>Szenario: Vorsichtig</t>
        </is>
      </c>
      <c r="C6" s="118" t="inlineStr">
        <is>
          <t>Kanäle Σ 16.5 Betriebe (Marketing)</t>
        </is>
      </c>
    </row>
    <row r="7" ht="39" customHeight="1" s="116">
      <c r="A7" s="119" t="inlineStr">
        <is>
          <t>Monat</t>
        </is>
      </c>
      <c r="B7" s="119" t="inlineStr">
        <is>
          <t>Kalendermonat</t>
        </is>
      </c>
      <c r="C7" s="119" t="inlineStr">
        <is>
          <t>Neukunden Kanäle</t>
        </is>
      </c>
      <c r="D7" s="119" t="inlineStr">
        <is>
          <t>Neukunden Mundpropaganda</t>
        </is>
      </c>
      <c r="E7" s="119" t="inlineStr">
        <is>
          <t>Neukunden gesamt</t>
        </is>
      </c>
      <c r="F7" s="119" t="inlineStr">
        <is>
          <t>davon Gründerplätze</t>
        </is>
      </c>
      <c r="G7" s="119" t="inlineStr">
        <is>
          <t>davon Standard</t>
        </is>
      </c>
      <c r="H7" s="119" t="inlineStr">
        <is>
          <t>Gründerplätze vergeben (kum.)</t>
        </is>
      </c>
      <c r="I7" s="119" t="inlineStr">
        <is>
          <t>Gründerkunden aktiv</t>
        </is>
      </c>
      <c r="J7" s="119" t="inlineStr">
        <is>
          <t>Standardkunden aktiv</t>
        </is>
      </c>
      <c r="K7" s="119" t="inlineStr">
        <is>
          <t>Kunden aktiv gesamt</t>
        </is>
      </c>
      <c r="L7" s="119" t="inlineStr">
        <is>
          <t>Std. Vertrieb (Marketing)</t>
        </is>
      </c>
      <c r="M7" s="119" t="inlineStr">
        <is>
          <t>Std. Support</t>
        </is>
      </c>
      <c r="N7" s="119" t="inlineStr">
        <is>
          <t>Std. Onboarding</t>
        </is>
      </c>
      <c r="O7" s="119" t="inlineStr">
        <is>
          <t>Std. Grundlast</t>
        </is>
      </c>
      <c r="P7" s="119" t="inlineStr">
        <is>
          <t>Std. gesamt</t>
        </is>
      </c>
      <c r="Q7" s="119" t="inlineStr">
        <is>
          <t>über Dauerlinie (65)?</t>
        </is>
      </c>
      <c r="R7" s="119" t="inlineStr">
        <is>
          <t>über Sprintlinie (86)?</t>
        </is>
      </c>
      <c r="S7" s="119" t="inlineStr">
        <is>
          <t>UG-Schwelle erreicht?</t>
        </is>
      </c>
    </row>
    <row r="8" ht="15" customHeight="1" s="116">
      <c r="A8" s="149" t="n">
        <v>1</v>
      </c>
      <c r="B8" s="187">
        <f>EDATE('Plan-Annahmen'!$B$8,A8-1)</f>
        <v/>
      </c>
      <c r="C8" s="181" t="n">
        <v>0</v>
      </c>
      <c r="D8" s="188">
        <f>IF(A8-'Plan-Annahmen'!$B$41&lt;1,0,INDEX($K$8:$K$31,A8-'Plan-Annahmen'!$B$41)*'Plan-Annahmen'!$B$35/12*'Plan-Annahmen'!$B$38*(1+'Plan-Annahmen'!$B$50*'Plan-Annahmen'!$B$51))</f>
        <v/>
      </c>
      <c r="E8" s="184">
        <f>C8+D8</f>
        <v/>
      </c>
      <c r="F8" s="184">
        <f>MIN(E8,MAX(0,'Plan-Annahmen'!$B$16-0))</f>
        <v/>
      </c>
      <c r="G8" s="184">
        <f>E8-F8</f>
        <v/>
      </c>
      <c r="H8" s="184">
        <f>0+F8</f>
        <v/>
      </c>
      <c r="I8" s="189">
        <f>0*(1-'Plan-Annahmen'!$B$47)+F8</f>
        <v/>
      </c>
      <c r="J8" s="189">
        <f>0*(1-'Plan-Annahmen'!$B$44)+G8</f>
        <v/>
      </c>
      <c r="K8" s="190">
        <f>I8+J8</f>
        <v/>
      </c>
      <c r="L8" s="191" t="n">
        <v>4</v>
      </c>
      <c r="M8" s="192">
        <f>K8*'Plan-Annahmen'!$B$71</f>
        <v/>
      </c>
      <c r="N8" s="192">
        <f>E8*'Plan-Annahmen'!$B$72</f>
        <v/>
      </c>
      <c r="O8" s="192">
        <f>'Plan-Annahmen'!$B$70</f>
        <v/>
      </c>
      <c r="P8" s="190">
        <f>L8+M8+N8+O8</f>
        <v/>
      </c>
      <c r="Q8" s="149">
        <f>IF(P8&gt;'Plan-Annahmen'!$B$69,1,0)</f>
        <v/>
      </c>
      <c r="R8" s="149">
        <f>IF(P8&gt;'Plan-Annahmen'!$B$68,1,0)</f>
        <v/>
      </c>
      <c r="S8" s="149">
        <f>IF(K8&gt;='Plan-Annahmen'!$B$59,1,0)</f>
        <v/>
      </c>
    </row>
    <row r="9" ht="15" customHeight="1" s="116">
      <c r="A9" s="149" t="n">
        <v>2</v>
      </c>
      <c r="B9" s="187">
        <f>EDATE('Plan-Annahmen'!$B$8,A9-1)</f>
        <v/>
      </c>
      <c r="C9" s="181" t="n">
        <v>0</v>
      </c>
      <c r="D9" s="188">
        <f>IF(A9-'Plan-Annahmen'!$B$41&lt;1,0,INDEX($K$8:$K$31,A9-'Plan-Annahmen'!$B$41)*'Plan-Annahmen'!$B$35/12*'Plan-Annahmen'!$B$38*(1+'Plan-Annahmen'!$B$50*'Plan-Annahmen'!$B$51))</f>
        <v/>
      </c>
      <c r="E9" s="184">
        <f>C9+D9</f>
        <v/>
      </c>
      <c r="F9" s="184">
        <f>MIN(E9,MAX(0,'Plan-Annahmen'!$B$16-H8))</f>
        <v/>
      </c>
      <c r="G9" s="184">
        <f>E9-F9</f>
        <v/>
      </c>
      <c r="H9" s="184">
        <f>H8+F9</f>
        <v/>
      </c>
      <c r="I9" s="189">
        <f>I8*(1-'Plan-Annahmen'!$B$47)+F9</f>
        <v/>
      </c>
      <c r="J9" s="189">
        <f>J8*(1-'Plan-Annahmen'!$B$44)+G9</f>
        <v/>
      </c>
      <c r="K9" s="190">
        <f>I9+J9</f>
        <v/>
      </c>
      <c r="L9" s="191" t="n">
        <v>18</v>
      </c>
      <c r="M9" s="192">
        <f>K9*'Plan-Annahmen'!$B$71</f>
        <v/>
      </c>
      <c r="N9" s="192">
        <f>E9*'Plan-Annahmen'!$B$72</f>
        <v/>
      </c>
      <c r="O9" s="192">
        <f>'Plan-Annahmen'!$B$70</f>
        <v/>
      </c>
      <c r="P9" s="190">
        <f>L9+M9+N9+O9</f>
        <v/>
      </c>
      <c r="Q9" s="149">
        <f>IF(P9&gt;'Plan-Annahmen'!$B$69,1,0)</f>
        <v/>
      </c>
      <c r="R9" s="149">
        <f>IF(P9&gt;'Plan-Annahmen'!$B$68,1,0)</f>
        <v/>
      </c>
      <c r="S9" s="149">
        <f>IF(K9&gt;='Plan-Annahmen'!$B$59,1,0)</f>
        <v/>
      </c>
    </row>
    <row r="10" ht="15" customHeight="1" s="116">
      <c r="A10" s="149" t="n">
        <v>3</v>
      </c>
      <c r="B10" s="187">
        <f>EDATE('Plan-Annahmen'!$B$8,A10-1)</f>
        <v/>
      </c>
      <c r="C10" s="181" t="n">
        <v>0</v>
      </c>
      <c r="D10" s="188">
        <f>IF(A10-'Plan-Annahmen'!$B$41&lt;1,0,INDEX($K$8:$K$31,A10-'Plan-Annahmen'!$B$41)*'Plan-Annahmen'!$B$35/12*'Plan-Annahmen'!$B$38*(1+'Plan-Annahmen'!$B$50*'Plan-Annahmen'!$B$51))</f>
        <v/>
      </c>
      <c r="E10" s="184">
        <f>C10+D10</f>
        <v/>
      </c>
      <c r="F10" s="184">
        <f>MIN(E10,MAX(0,'Plan-Annahmen'!$B$16-H9))</f>
        <v/>
      </c>
      <c r="G10" s="184">
        <f>E10-F10</f>
        <v/>
      </c>
      <c r="H10" s="184">
        <f>H9+F10</f>
        <v/>
      </c>
      <c r="I10" s="189">
        <f>I9*(1-'Plan-Annahmen'!$B$47)+F10</f>
        <v/>
      </c>
      <c r="J10" s="189">
        <f>J9*(1-'Plan-Annahmen'!$B$44)+G10</f>
        <v/>
      </c>
      <c r="K10" s="190">
        <f>I10+J10</f>
        <v/>
      </c>
      <c r="L10" s="191" t="n">
        <v>5</v>
      </c>
      <c r="M10" s="192">
        <f>K10*'Plan-Annahmen'!$B$71</f>
        <v/>
      </c>
      <c r="N10" s="192">
        <f>E10*'Plan-Annahmen'!$B$72</f>
        <v/>
      </c>
      <c r="O10" s="192">
        <f>'Plan-Annahmen'!$B$70</f>
        <v/>
      </c>
      <c r="P10" s="190">
        <f>L10+M10+N10+O10</f>
        <v/>
      </c>
      <c r="Q10" s="149">
        <f>IF(P10&gt;'Plan-Annahmen'!$B$69,1,0)</f>
        <v/>
      </c>
      <c r="R10" s="149">
        <f>IF(P10&gt;'Plan-Annahmen'!$B$68,1,0)</f>
        <v/>
      </c>
      <c r="S10" s="149">
        <f>IF(K10&gt;='Plan-Annahmen'!$B$59,1,0)</f>
        <v/>
      </c>
    </row>
    <row r="11" ht="15" customHeight="1" s="116">
      <c r="A11" s="149" t="n">
        <v>4</v>
      </c>
      <c r="B11" s="187">
        <f>EDATE('Plan-Annahmen'!$B$8,A11-1)</f>
        <v/>
      </c>
      <c r="C11" s="181" t="n">
        <v>0</v>
      </c>
      <c r="D11" s="188">
        <f>IF(A11-'Plan-Annahmen'!$B$41&lt;1,0,INDEX($K$8:$K$31,A11-'Plan-Annahmen'!$B$41)*'Plan-Annahmen'!$B$35/12*'Plan-Annahmen'!$B$38*(1+'Plan-Annahmen'!$B$50*'Plan-Annahmen'!$B$51))</f>
        <v/>
      </c>
      <c r="E11" s="184">
        <f>C11+D11</f>
        <v/>
      </c>
      <c r="F11" s="184">
        <f>MIN(E11,MAX(0,'Plan-Annahmen'!$B$16-H10))</f>
        <v/>
      </c>
      <c r="G11" s="184">
        <f>E11-F11</f>
        <v/>
      </c>
      <c r="H11" s="184">
        <f>H10+F11</f>
        <v/>
      </c>
      <c r="I11" s="189">
        <f>I10*(1-'Plan-Annahmen'!$B$47)+F11</f>
        <v/>
      </c>
      <c r="J11" s="189">
        <f>J10*(1-'Plan-Annahmen'!$B$44)+G11</f>
        <v/>
      </c>
      <c r="K11" s="190">
        <f>I11+J11</f>
        <v/>
      </c>
      <c r="L11" s="191" t="n">
        <v>15</v>
      </c>
      <c r="M11" s="192">
        <f>K11*'Plan-Annahmen'!$B$71</f>
        <v/>
      </c>
      <c r="N11" s="192">
        <f>E11*'Plan-Annahmen'!$B$72</f>
        <v/>
      </c>
      <c r="O11" s="192">
        <f>'Plan-Annahmen'!$B$70</f>
        <v/>
      </c>
      <c r="P11" s="190">
        <f>L11+M11+N11+O11</f>
        <v/>
      </c>
      <c r="Q11" s="149">
        <f>IF(P11&gt;'Plan-Annahmen'!$B$69,1,0)</f>
        <v/>
      </c>
      <c r="R11" s="149">
        <f>IF(P11&gt;'Plan-Annahmen'!$B$68,1,0)</f>
        <v/>
      </c>
      <c r="S11" s="149">
        <f>IF(K11&gt;='Plan-Annahmen'!$B$59,1,0)</f>
        <v/>
      </c>
    </row>
    <row r="12" ht="15" customHeight="1" s="116">
      <c r="A12" s="149" t="n">
        <v>5</v>
      </c>
      <c r="B12" s="187">
        <f>EDATE('Plan-Annahmen'!$B$8,A12-1)</f>
        <v/>
      </c>
      <c r="C12" s="181" t="n">
        <v>1</v>
      </c>
      <c r="D12" s="188">
        <f>IF(A12-'Plan-Annahmen'!$B$41&lt;1,0,INDEX($K$8:$K$31,A12-'Plan-Annahmen'!$B$41)*'Plan-Annahmen'!$B$35/12*'Plan-Annahmen'!$B$38*(1+'Plan-Annahmen'!$B$50*'Plan-Annahmen'!$B$51))</f>
        <v/>
      </c>
      <c r="E12" s="184">
        <f>C12+D12</f>
        <v/>
      </c>
      <c r="F12" s="184">
        <f>MIN(E12,MAX(0,'Plan-Annahmen'!$B$16-H11))</f>
        <v/>
      </c>
      <c r="G12" s="184">
        <f>E12-F12</f>
        <v/>
      </c>
      <c r="H12" s="184">
        <f>H11+F12</f>
        <v/>
      </c>
      <c r="I12" s="189">
        <f>I11*(1-'Plan-Annahmen'!$B$47)+F12</f>
        <v/>
      </c>
      <c r="J12" s="189">
        <f>J11*(1-'Plan-Annahmen'!$B$44)+G12</f>
        <v/>
      </c>
      <c r="K12" s="190">
        <f>I12+J12</f>
        <v/>
      </c>
      <c r="L12" s="191" t="n">
        <v>16</v>
      </c>
      <c r="M12" s="192">
        <f>K12*'Plan-Annahmen'!$B$71</f>
        <v/>
      </c>
      <c r="N12" s="192">
        <f>E12*'Plan-Annahmen'!$B$72</f>
        <v/>
      </c>
      <c r="O12" s="192">
        <f>'Plan-Annahmen'!$B$70</f>
        <v/>
      </c>
      <c r="P12" s="190">
        <f>L12+M12+N12+O12</f>
        <v/>
      </c>
      <c r="Q12" s="149">
        <f>IF(P12&gt;'Plan-Annahmen'!$B$69,1,0)</f>
        <v/>
      </c>
      <c r="R12" s="149">
        <f>IF(P12&gt;'Plan-Annahmen'!$B$68,1,0)</f>
        <v/>
      </c>
      <c r="S12" s="149">
        <f>IF(K12&gt;='Plan-Annahmen'!$B$59,1,0)</f>
        <v/>
      </c>
    </row>
    <row r="13" ht="15" customHeight="1" s="116">
      <c r="A13" s="149" t="n">
        <v>6</v>
      </c>
      <c r="B13" s="187">
        <f>EDATE('Plan-Annahmen'!$B$8,A13-1)</f>
        <v/>
      </c>
      <c r="C13" s="181" t="n">
        <v>1</v>
      </c>
      <c r="D13" s="188">
        <f>IF(A13-'Plan-Annahmen'!$B$41&lt;1,0,INDEX($K$8:$K$31,A13-'Plan-Annahmen'!$B$41)*'Plan-Annahmen'!$B$35/12*'Plan-Annahmen'!$B$38*(1+'Plan-Annahmen'!$B$50*'Plan-Annahmen'!$B$51))</f>
        <v/>
      </c>
      <c r="E13" s="184">
        <f>C13+D13</f>
        <v/>
      </c>
      <c r="F13" s="184">
        <f>MIN(E13,MAX(0,'Plan-Annahmen'!$B$16-H12))</f>
        <v/>
      </c>
      <c r="G13" s="184">
        <f>E13-F13</f>
        <v/>
      </c>
      <c r="H13" s="184">
        <f>H12+F13</f>
        <v/>
      </c>
      <c r="I13" s="189">
        <f>I12*(1-'Plan-Annahmen'!$B$47)+F13</f>
        <v/>
      </c>
      <c r="J13" s="189">
        <f>J12*(1-'Plan-Annahmen'!$B$44)+G13</f>
        <v/>
      </c>
      <c r="K13" s="190">
        <f>I13+J13</f>
        <v/>
      </c>
      <c r="L13" s="191" t="n">
        <v>16</v>
      </c>
      <c r="M13" s="192">
        <f>K13*'Plan-Annahmen'!$B$71</f>
        <v/>
      </c>
      <c r="N13" s="192">
        <f>E13*'Plan-Annahmen'!$B$72</f>
        <v/>
      </c>
      <c r="O13" s="192">
        <f>'Plan-Annahmen'!$B$70</f>
        <v/>
      </c>
      <c r="P13" s="190">
        <f>L13+M13+N13+O13</f>
        <v/>
      </c>
      <c r="Q13" s="149">
        <f>IF(P13&gt;'Plan-Annahmen'!$B$69,1,0)</f>
        <v/>
      </c>
      <c r="R13" s="149">
        <f>IF(P13&gt;'Plan-Annahmen'!$B$68,1,0)</f>
        <v/>
      </c>
      <c r="S13" s="149">
        <f>IF(K13&gt;='Plan-Annahmen'!$B$59,1,0)</f>
        <v/>
      </c>
    </row>
    <row r="14" ht="15" customHeight="1" s="116">
      <c r="A14" s="149" t="n">
        <v>7</v>
      </c>
      <c r="B14" s="187">
        <f>EDATE('Plan-Annahmen'!$B$8,A14-1)</f>
        <v/>
      </c>
      <c r="C14" s="181" t="n">
        <v>1.25</v>
      </c>
      <c r="D14" s="188">
        <f>IF(A14-'Plan-Annahmen'!$B$41&lt;1,0,INDEX($K$8:$K$31,A14-'Plan-Annahmen'!$B$41)*'Plan-Annahmen'!$B$35/12*'Plan-Annahmen'!$B$38*(1+'Plan-Annahmen'!$B$50*'Plan-Annahmen'!$B$51))</f>
        <v/>
      </c>
      <c r="E14" s="184">
        <f>C14+D14</f>
        <v/>
      </c>
      <c r="F14" s="184">
        <f>MIN(E14,MAX(0,'Plan-Annahmen'!$B$16-H13))</f>
        <v/>
      </c>
      <c r="G14" s="184">
        <f>E14-F14</f>
        <v/>
      </c>
      <c r="H14" s="184">
        <f>H13+F14</f>
        <v/>
      </c>
      <c r="I14" s="189">
        <f>I13*(1-'Plan-Annahmen'!$B$47)+F14</f>
        <v/>
      </c>
      <c r="J14" s="189">
        <f>J13*(1-'Plan-Annahmen'!$B$44)+G14</f>
        <v/>
      </c>
      <c r="K14" s="190">
        <f>I14+J14</f>
        <v/>
      </c>
      <c r="L14" s="191" t="n">
        <v>16.5</v>
      </c>
      <c r="M14" s="192">
        <f>K14*'Plan-Annahmen'!$B$71</f>
        <v/>
      </c>
      <c r="N14" s="192">
        <f>E14*'Plan-Annahmen'!$B$72</f>
        <v/>
      </c>
      <c r="O14" s="192">
        <f>'Plan-Annahmen'!$B$70</f>
        <v/>
      </c>
      <c r="P14" s="190">
        <f>L14+M14+N14+O14</f>
        <v/>
      </c>
      <c r="Q14" s="149">
        <f>IF(P14&gt;'Plan-Annahmen'!$B$69,1,0)</f>
        <v/>
      </c>
      <c r="R14" s="149">
        <f>IF(P14&gt;'Plan-Annahmen'!$B$68,1,0)</f>
        <v/>
      </c>
      <c r="S14" s="149">
        <f>IF(K14&gt;='Plan-Annahmen'!$B$59,1,0)</f>
        <v/>
      </c>
    </row>
    <row r="15" ht="15" customHeight="1" s="116">
      <c r="A15" s="149" t="n">
        <v>8</v>
      </c>
      <c r="B15" s="187">
        <f>EDATE('Plan-Annahmen'!$B$8,A15-1)</f>
        <v/>
      </c>
      <c r="C15" s="181" t="n">
        <v>0.25</v>
      </c>
      <c r="D15" s="188">
        <f>IF(A15-'Plan-Annahmen'!$B$41&lt;1,0,INDEX($K$8:$K$31,A15-'Plan-Annahmen'!$B$41)*'Plan-Annahmen'!$B$35/12*'Plan-Annahmen'!$B$38*(1+'Plan-Annahmen'!$B$50*'Plan-Annahmen'!$B$51))</f>
        <v/>
      </c>
      <c r="E15" s="184">
        <f>C15+D15</f>
        <v/>
      </c>
      <c r="F15" s="184">
        <f>MIN(E15,MAX(0,'Plan-Annahmen'!$B$16-H14))</f>
        <v/>
      </c>
      <c r="G15" s="184">
        <f>E15-F15</f>
        <v/>
      </c>
      <c r="H15" s="184">
        <f>H14+F15</f>
        <v/>
      </c>
      <c r="I15" s="189">
        <f>I14*(1-'Plan-Annahmen'!$B$47)+F15</f>
        <v/>
      </c>
      <c r="J15" s="189">
        <f>J14*(1-'Plan-Annahmen'!$B$44)+G15</f>
        <v/>
      </c>
      <c r="K15" s="190">
        <f>I15+J15</f>
        <v/>
      </c>
      <c r="L15" s="191" t="n">
        <v>20.5</v>
      </c>
      <c r="M15" s="192">
        <f>K15*'Plan-Annahmen'!$B$71</f>
        <v/>
      </c>
      <c r="N15" s="192">
        <f>E15*'Plan-Annahmen'!$B$72</f>
        <v/>
      </c>
      <c r="O15" s="192">
        <f>'Plan-Annahmen'!$B$70</f>
        <v/>
      </c>
      <c r="P15" s="190">
        <f>L15+M15+N15+O15</f>
        <v/>
      </c>
      <c r="Q15" s="149">
        <f>IF(P15&gt;'Plan-Annahmen'!$B$69,1,0)</f>
        <v/>
      </c>
      <c r="R15" s="149">
        <f>IF(P15&gt;'Plan-Annahmen'!$B$68,1,0)</f>
        <v/>
      </c>
      <c r="S15" s="149">
        <f>IF(K15&gt;='Plan-Annahmen'!$B$59,1,0)</f>
        <v/>
      </c>
    </row>
    <row r="16" ht="15" customHeight="1" s="116">
      <c r="A16" s="149" t="n">
        <v>9</v>
      </c>
      <c r="B16" s="187">
        <f>EDATE('Plan-Annahmen'!$B$8,A16-1)</f>
        <v/>
      </c>
      <c r="C16" s="181" t="n">
        <v>0.25</v>
      </c>
      <c r="D16" s="188">
        <f>IF(A16-'Plan-Annahmen'!$B$41&lt;1,0,INDEX($K$8:$K$31,A16-'Plan-Annahmen'!$B$41)*'Plan-Annahmen'!$B$35/12*'Plan-Annahmen'!$B$38*(1+'Plan-Annahmen'!$B$50*'Plan-Annahmen'!$B$51))</f>
        <v/>
      </c>
      <c r="E16" s="184">
        <f>C16+D16</f>
        <v/>
      </c>
      <c r="F16" s="184">
        <f>MIN(E16,MAX(0,'Plan-Annahmen'!$B$16-H15))</f>
        <v/>
      </c>
      <c r="G16" s="184">
        <f>E16-F16</f>
        <v/>
      </c>
      <c r="H16" s="184">
        <f>H15+F16</f>
        <v/>
      </c>
      <c r="I16" s="189">
        <f>I15*(1-'Plan-Annahmen'!$B$47)+F16</f>
        <v/>
      </c>
      <c r="J16" s="189">
        <f>J15*(1-'Plan-Annahmen'!$B$44)+G16</f>
        <v/>
      </c>
      <c r="K16" s="190">
        <f>I16+J16</f>
        <v/>
      </c>
      <c r="L16" s="191" t="n">
        <v>20.5</v>
      </c>
      <c r="M16" s="192">
        <f>K16*'Plan-Annahmen'!$B$71</f>
        <v/>
      </c>
      <c r="N16" s="192">
        <f>E16*'Plan-Annahmen'!$B$72</f>
        <v/>
      </c>
      <c r="O16" s="192">
        <f>'Plan-Annahmen'!$B$70</f>
        <v/>
      </c>
      <c r="P16" s="190">
        <f>L16+M16+N16+O16</f>
        <v/>
      </c>
      <c r="Q16" s="149">
        <f>IF(P16&gt;'Plan-Annahmen'!$B$69,1,0)</f>
        <v/>
      </c>
      <c r="R16" s="149">
        <f>IF(P16&gt;'Plan-Annahmen'!$B$68,1,0)</f>
        <v/>
      </c>
      <c r="S16" s="149">
        <f>IF(K16&gt;='Plan-Annahmen'!$B$59,1,0)</f>
        <v/>
      </c>
    </row>
    <row r="17" ht="15" customHeight="1" s="116">
      <c r="A17" s="149" t="n">
        <v>10</v>
      </c>
      <c r="B17" s="187">
        <f>EDATE('Plan-Annahmen'!$B$8,A17-1)</f>
        <v/>
      </c>
      <c r="C17" s="181" t="n">
        <v>0.75</v>
      </c>
      <c r="D17" s="188">
        <f>IF(A17-'Plan-Annahmen'!$B$41&lt;1,0,INDEX($K$8:$K$31,A17-'Plan-Annahmen'!$B$41)*'Plan-Annahmen'!$B$35/12*'Plan-Annahmen'!$B$38*(1+'Plan-Annahmen'!$B$50*'Plan-Annahmen'!$B$51))</f>
        <v/>
      </c>
      <c r="E17" s="184">
        <f>C17+D17</f>
        <v/>
      </c>
      <c r="F17" s="184">
        <f>MIN(E17,MAX(0,'Plan-Annahmen'!$B$16-H16))</f>
        <v/>
      </c>
      <c r="G17" s="184">
        <f>E17-F17</f>
        <v/>
      </c>
      <c r="H17" s="184">
        <f>H16+F17</f>
        <v/>
      </c>
      <c r="I17" s="189">
        <f>I16*(1-'Plan-Annahmen'!$B$47)+F17</f>
        <v/>
      </c>
      <c r="J17" s="189">
        <f>J16*(1-'Plan-Annahmen'!$B$44)+G17</f>
        <v/>
      </c>
      <c r="K17" s="190">
        <f>I17+J17</f>
        <v/>
      </c>
      <c r="L17" s="191" t="n">
        <v>19.5</v>
      </c>
      <c r="M17" s="192">
        <f>K17*'Plan-Annahmen'!$B$71</f>
        <v/>
      </c>
      <c r="N17" s="192">
        <f>E17*'Plan-Annahmen'!$B$72</f>
        <v/>
      </c>
      <c r="O17" s="192">
        <f>'Plan-Annahmen'!$B$70</f>
        <v/>
      </c>
      <c r="P17" s="190">
        <f>L17+M17+N17+O17</f>
        <v/>
      </c>
      <c r="Q17" s="149">
        <f>IF(P17&gt;'Plan-Annahmen'!$B$69,1,0)</f>
        <v/>
      </c>
      <c r="R17" s="149">
        <f>IF(P17&gt;'Plan-Annahmen'!$B$68,1,0)</f>
        <v/>
      </c>
      <c r="S17" s="149">
        <f>IF(K17&gt;='Plan-Annahmen'!$B$59,1,0)</f>
        <v/>
      </c>
    </row>
    <row r="18" ht="15" customHeight="1" s="116">
      <c r="A18" s="149" t="n">
        <v>11</v>
      </c>
      <c r="B18" s="187">
        <f>EDATE('Plan-Annahmen'!$B$8,A18-1)</f>
        <v/>
      </c>
      <c r="C18" s="181" t="n">
        <v>0.25</v>
      </c>
      <c r="D18" s="188">
        <f>IF(A18-'Plan-Annahmen'!$B$41&lt;1,0,INDEX($K$8:$K$31,A18-'Plan-Annahmen'!$B$41)*'Plan-Annahmen'!$B$35/12*'Plan-Annahmen'!$B$38*(1+'Plan-Annahmen'!$B$50*'Plan-Annahmen'!$B$51))</f>
        <v/>
      </c>
      <c r="E18" s="184">
        <f>C18+D18</f>
        <v/>
      </c>
      <c r="F18" s="184">
        <f>MIN(E18,MAX(0,'Plan-Annahmen'!$B$16-H17))</f>
        <v/>
      </c>
      <c r="G18" s="184">
        <f>E18-F18</f>
        <v/>
      </c>
      <c r="H18" s="184">
        <f>H17+F18</f>
        <v/>
      </c>
      <c r="I18" s="189">
        <f>I17*(1-'Plan-Annahmen'!$B$47)+F18</f>
        <v/>
      </c>
      <c r="J18" s="189">
        <f>J17*(1-'Plan-Annahmen'!$B$44)+G18</f>
        <v/>
      </c>
      <c r="K18" s="190">
        <f>I18+J18</f>
        <v/>
      </c>
      <c r="L18" s="191" t="n">
        <v>19.5</v>
      </c>
      <c r="M18" s="192">
        <f>K18*'Plan-Annahmen'!$B$71</f>
        <v/>
      </c>
      <c r="N18" s="192">
        <f>E18*'Plan-Annahmen'!$B$72</f>
        <v/>
      </c>
      <c r="O18" s="192">
        <f>'Plan-Annahmen'!$B$70</f>
        <v/>
      </c>
      <c r="P18" s="190">
        <f>L18+M18+N18+O18</f>
        <v/>
      </c>
      <c r="Q18" s="149">
        <f>IF(P18&gt;'Plan-Annahmen'!$B$69,1,0)</f>
        <v/>
      </c>
      <c r="R18" s="149">
        <f>IF(P18&gt;'Plan-Annahmen'!$B$68,1,0)</f>
        <v/>
      </c>
      <c r="S18" s="149">
        <f>IF(K18&gt;='Plan-Annahmen'!$B$59,1,0)</f>
        <v/>
      </c>
    </row>
    <row r="19" ht="15" customHeight="1" s="116">
      <c r="A19" s="149" t="n">
        <v>12</v>
      </c>
      <c r="B19" s="187">
        <f>EDATE('Plan-Annahmen'!$B$8,A19-1)</f>
        <v/>
      </c>
      <c r="C19" s="181" t="n">
        <v>0.25</v>
      </c>
      <c r="D19" s="188">
        <f>IF(A19-'Plan-Annahmen'!$B$41&lt;1,0,INDEX($K$8:$K$31,A19-'Plan-Annahmen'!$B$41)*'Plan-Annahmen'!$B$35/12*'Plan-Annahmen'!$B$38*(1+'Plan-Annahmen'!$B$50*'Plan-Annahmen'!$B$51))</f>
        <v/>
      </c>
      <c r="E19" s="184">
        <f>C19+D19</f>
        <v/>
      </c>
      <c r="F19" s="184">
        <f>MIN(E19,MAX(0,'Plan-Annahmen'!$B$16-H18))</f>
        <v/>
      </c>
      <c r="G19" s="184">
        <f>E19-F19</f>
        <v/>
      </c>
      <c r="H19" s="184">
        <f>H18+F19</f>
        <v/>
      </c>
      <c r="I19" s="189">
        <f>I18*(1-'Plan-Annahmen'!$B$47)+F19</f>
        <v/>
      </c>
      <c r="J19" s="189">
        <f>J18*(1-'Plan-Annahmen'!$B$44)+G19</f>
        <v/>
      </c>
      <c r="K19" s="190">
        <f>I19+J19</f>
        <v/>
      </c>
      <c r="L19" s="191" t="n">
        <v>19.5</v>
      </c>
      <c r="M19" s="192">
        <f>K19*'Plan-Annahmen'!$B$71</f>
        <v/>
      </c>
      <c r="N19" s="192">
        <f>E19*'Plan-Annahmen'!$B$72</f>
        <v/>
      </c>
      <c r="O19" s="192">
        <f>'Plan-Annahmen'!$B$70</f>
        <v/>
      </c>
      <c r="P19" s="190">
        <f>L19+M19+N19+O19</f>
        <v/>
      </c>
      <c r="Q19" s="149">
        <f>IF(P19&gt;'Plan-Annahmen'!$B$69,1,0)</f>
        <v/>
      </c>
      <c r="R19" s="149">
        <f>IF(P19&gt;'Plan-Annahmen'!$B$68,1,0)</f>
        <v/>
      </c>
      <c r="S19" s="149">
        <f>IF(K19&gt;='Plan-Annahmen'!$B$59,1,0)</f>
        <v/>
      </c>
    </row>
    <row r="20" ht="15" customHeight="1" s="116">
      <c r="A20" s="149" t="n">
        <v>13</v>
      </c>
      <c r="B20" s="187">
        <f>EDATE('Plan-Annahmen'!$B$8,A20-1)</f>
        <v/>
      </c>
      <c r="C20" s="181" t="n">
        <v>0.75</v>
      </c>
      <c r="D20" s="188">
        <f>IF(A20-'Plan-Annahmen'!$B$41&lt;1,0,INDEX($K$8:$K$31,A20-'Plan-Annahmen'!$B$41)*'Plan-Annahmen'!$B$35/12*'Plan-Annahmen'!$B$38*(1+'Plan-Annahmen'!$B$50*'Plan-Annahmen'!$B$51))</f>
        <v/>
      </c>
      <c r="E20" s="184">
        <f>C20+D20</f>
        <v/>
      </c>
      <c r="F20" s="184">
        <f>MIN(E20,MAX(0,'Plan-Annahmen'!$B$16-H19))</f>
        <v/>
      </c>
      <c r="G20" s="184">
        <f>E20-F20</f>
        <v/>
      </c>
      <c r="H20" s="184">
        <f>H19+F20</f>
        <v/>
      </c>
      <c r="I20" s="189">
        <f>I19*(1-'Plan-Annahmen'!$B$47)+F20</f>
        <v/>
      </c>
      <c r="J20" s="189">
        <f>J19*(1-'Plan-Annahmen'!$B$44)+G20</f>
        <v/>
      </c>
      <c r="K20" s="190">
        <f>I20+J20</f>
        <v/>
      </c>
      <c r="L20" s="191" t="n">
        <v>19.5</v>
      </c>
      <c r="M20" s="192">
        <f>K20*'Plan-Annahmen'!$B$71</f>
        <v/>
      </c>
      <c r="N20" s="192">
        <f>E20*'Plan-Annahmen'!$B$72</f>
        <v/>
      </c>
      <c r="O20" s="192">
        <f>'Plan-Annahmen'!$B$70</f>
        <v/>
      </c>
      <c r="P20" s="190">
        <f>L20+M20+N20+O20</f>
        <v/>
      </c>
      <c r="Q20" s="149">
        <f>IF(P20&gt;'Plan-Annahmen'!$B$69,1,0)</f>
        <v/>
      </c>
      <c r="R20" s="149">
        <f>IF(P20&gt;'Plan-Annahmen'!$B$68,1,0)</f>
        <v/>
      </c>
      <c r="S20" s="149">
        <f>IF(K20&gt;='Plan-Annahmen'!$B$59,1,0)</f>
        <v/>
      </c>
    </row>
    <row r="21" ht="15" customHeight="1" s="116">
      <c r="A21" s="149" t="n">
        <v>14</v>
      </c>
      <c r="B21" s="187">
        <f>EDATE('Plan-Annahmen'!$B$8,A21-1)</f>
        <v/>
      </c>
      <c r="C21" s="181" t="n">
        <v>0.75</v>
      </c>
      <c r="D21" s="188">
        <f>IF(A21-'Plan-Annahmen'!$B$41&lt;1,0,INDEX($K$8:$K$31,A21-'Plan-Annahmen'!$B$41)*'Plan-Annahmen'!$B$35/12*'Plan-Annahmen'!$B$38*(1+'Plan-Annahmen'!$B$50*'Plan-Annahmen'!$B$51))</f>
        <v/>
      </c>
      <c r="E21" s="184">
        <f>C21+D21</f>
        <v/>
      </c>
      <c r="F21" s="184">
        <f>MIN(E21,MAX(0,'Plan-Annahmen'!$B$16-H20))</f>
        <v/>
      </c>
      <c r="G21" s="184">
        <f>E21-F21</f>
        <v/>
      </c>
      <c r="H21" s="184">
        <f>H20+F21</f>
        <v/>
      </c>
      <c r="I21" s="189">
        <f>I20*(1-'Plan-Annahmen'!$B$47)+F21</f>
        <v/>
      </c>
      <c r="J21" s="189">
        <f>J20*(1-'Plan-Annahmen'!$B$44)+G21</f>
        <v/>
      </c>
      <c r="K21" s="190">
        <f>I21+J21</f>
        <v/>
      </c>
      <c r="L21" s="191" t="n">
        <v>19.5</v>
      </c>
      <c r="M21" s="192">
        <f>K21*'Plan-Annahmen'!$B$71</f>
        <v/>
      </c>
      <c r="N21" s="192">
        <f>E21*'Plan-Annahmen'!$B$72</f>
        <v/>
      </c>
      <c r="O21" s="192">
        <f>'Plan-Annahmen'!$B$70</f>
        <v/>
      </c>
      <c r="P21" s="190">
        <f>L21+M21+N21+O21</f>
        <v/>
      </c>
      <c r="Q21" s="149">
        <f>IF(P21&gt;'Plan-Annahmen'!$B$69,1,0)</f>
        <v/>
      </c>
      <c r="R21" s="149">
        <f>IF(P21&gt;'Plan-Annahmen'!$B$68,1,0)</f>
        <v/>
      </c>
      <c r="S21" s="149">
        <f>IF(K21&gt;='Plan-Annahmen'!$B$59,1,0)</f>
        <v/>
      </c>
    </row>
    <row r="22" ht="15" customHeight="1" s="116">
      <c r="A22" s="149" t="n">
        <v>15</v>
      </c>
      <c r="B22" s="187">
        <f>EDATE('Plan-Annahmen'!$B$8,A22-1)</f>
        <v/>
      </c>
      <c r="C22" s="181" t="n">
        <v>0.75</v>
      </c>
      <c r="D22" s="188">
        <f>IF(A22-'Plan-Annahmen'!$B$41&lt;1,0,INDEX($K$8:$K$31,A22-'Plan-Annahmen'!$B$41)*'Plan-Annahmen'!$B$35/12*'Plan-Annahmen'!$B$38*(1+'Plan-Annahmen'!$B$50*'Plan-Annahmen'!$B$51))</f>
        <v/>
      </c>
      <c r="E22" s="184">
        <f>C22+D22</f>
        <v/>
      </c>
      <c r="F22" s="184">
        <f>MIN(E22,MAX(0,'Plan-Annahmen'!$B$16-H21))</f>
        <v/>
      </c>
      <c r="G22" s="184">
        <f>E22-F22</f>
        <v/>
      </c>
      <c r="H22" s="184">
        <f>H21+F22</f>
        <v/>
      </c>
      <c r="I22" s="189">
        <f>I21*(1-'Plan-Annahmen'!$B$47)+F22</f>
        <v/>
      </c>
      <c r="J22" s="189">
        <f>J21*(1-'Plan-Annahmen'!$B$44)+G22</f>
        <v/>
      </c>
      <c r="K22" s="190">
        <f>I22+J22</f>
        <v/>
      </c>
      <c r="L22" s="191" t="n">
        <v>19.5</v>
      </c>
      <c r="M22" s="192">
        <f>K22*'Plan-Annahmen'!$B$71</f>
        <v/>
      </c>
      <c r="N22" s="192">
        <f>E22*'Plan-Annahmen'!$B$72</f>
        <v/>
      </c>
      <c r="O22" s="192">
        <f>'Plan-Annahmen'!$B$70</f>
        <v/>
      </c>
      <c r="P22" s="190">
        <f>L22+M22+N22+O22</f>
        <v/>
      </c>
      <c r="Q22" s="149">
        <f>IF(P22&gt;'Plan-Annahmen'!$B$69,1,0)</f>
        <v/>
      </c>
      <c r="R22" s="149">
        <f>IF(P22&gt;'Plan-Annahmen'!$B$68,1,0)</f>
        <v/>
      </c>
      <c r="S22" s="149">
        <f>IF(K22&gt;='Plan-Annahmen'!$B$59,1,0)</f>
        <v/>
      </c>
    </row>
    <row r="23" ht="15" customHeight="1" s="116">
      <c r="A23" s="149" t="n">
        <v>16</v>
      </c>
      <c r="B23" s="187">
        <f>EDATE('Plan-Annahmen'!$B$8,A23-1)</f>
        <v/>
      </c>
      <c r="C23" s="181" t="n">
        <v>1.25</v>
      </c>
      <c r="D23" s="188">
        <f>IF(A23-'Plan-Annahmen'!$B$41&lt;1,0,INDEX($K$8:$K$31,A23-'Plan-Annahmen'!$B$41)*'Plan-Annahmen'!$B$35/12*'Plan-Annahmen'!$B$38*(1+'Plan-Annahmen'!$B$50*'Plan-Annahmen'!$B$51))</f>
        <v/>
      </c>
      <c r="E23" s="184">
        <f>C23+D23</f>
        <v/>
      </c>
      <c r="F23" s="184">
        <f>MIN(E23,MAX(0,'Plan-Annahmen'!$B$16-H22))</f>
        <v/>
      </c>
      <c r="G23" s="184">
        <f>E23-F23</f>
        <v/>
      </c>
      <c r="H23" s="184">
        <f>H22+F23</f>
        <v/>
      </c>
      <c r="I23" s="189">
        <f>I22*(1-'Plan-Annahmen'!$B$47)+F23</f>
        <v/>
      </c>
      <c r="J23" s="189">
        <f>J22*(1-'Plan-Annahmen'!$B$44)+G23</f>
        <v/>
      </c>
      <c r="K23" s="190">
        <f>I23+J23</f>
        <v/>
      </c>
      <c r="L23" s="191" t="n">
        <v>19.5</v>
      </c>
      <c r="M23" s="192">
        <f>K23*'Plan-Annahmen'!$B$71</f>
        <v/>
      </c>
      <c r="N23" s="192">
        <f>E23*'Plan-Annahmen'!$B$72</f>
        <v/>
      </c>
      <c r="O23" s="192">
        <f>'Plan-Annahmen'!$B$70</f>
        <v/>
      </c>
      <c r="P23" s="190">
        <f>L23+M23+N23+O23</f>
        <v/>
      </c>
      <c r="Q23" s="149">
        <f>IF(P23&gt;'Plan-Annahmen'!$B$69,1,0)</f>
        <v/>
      </c>
      <c r="R23" s="149">
        <f>IF(P23&gt;'Plan-Annahmen'!$B$68,1,0)</f>
        <v/>
      </c>
      <c r="S23" s="149">
        <f>IF(K23&gt;='Plan-Annahmen'!$B$59,1,0)</f>
        <v/>
      </c>
    </row>
    <row r="24" ht="15" customHeight="1" s="116">
      <c r="A24" s="149" t="n">
        <v>17</v>
      </c>
      <c r="B24" s="187">
        <f>EDATE('Plan-Annahmen'!$B$8,A24-1)</f>
        <v/>
      </c>
      <c r="C24" s="181" t="n">
        <v>0.75</v>
      </c>
      <c r="D24" s="188">
        <f>IF(A24-'Plan-Annahmen'!$B$41&lt;1,0,INDEX($K$8:$K$31,A24-'Plan-Annahmen'!$B$41)*'Plan-Annahmen'!$B$35/12*'Plan-Annahmen'!$B$38*(1+'Plan-Annahmen'!$B$50*'Plan-Annahmen'!$B$51))</f>
        <v/>
      </c>
      <c r="E24" s="184">
        <f>C24+D24</f>
        <v/>
      </c>
      <c r="F24" s="184">
        <f>MIN(E24,MAX(0,'Plan-Annahmen'!$B$16-H23))</f>
        <v/>
      </c>
      <c r="G24" s="184">
        <f>E24-F24</f>
        <v/>
      </c>
      <c r="H24" s="184">
        <f>H23+F24</f>
        <v/>
      </c>
      <c r="I24" s="189">
        <f>I23*(1-'Plan-Annahmen'!$B$47)+F24</f>
        <v/>
      </c>
      <c r="J24" s="189">
        <f>J23*(1-'Plan-Annahmen'!$B$44)+G24</f>
        <v/>
      </c>
      <c r="K24" s="190">
        <f>I24+J24</f>
        <v/>
      </c>
      <c r="L24" s="191" t="n">
        <v>19.5</v>
      </c>
      <c r="M24" s="192">
        <f>K24*'Plan-Annahmen'!$B$71</f>
        <v/>
      </c>
      <c r="N24" s="192">
        <f>E24*'Plan-Annahmen'!$B$72</f>
        <v/>
      </c>
      <c r="O24" s="192">
        <f>'Plan-Annahmen'!$B$70</f>
        <v/>
      </c>
      <c r="P24" s="190">
        <f>L24+M24+N24+O24</f>
        <v/>
      </c>
      <c r="Q24" s="149">
        <f>IF(P24&gt;'Plan-Annahmen'!$B$69,1,0)</f>
        <v/>
      </c>
      <c r="R24" s="149">
        <f>IF(P24&gt;'Plan-Annahmen'!$B$68,1,0)</f>
        <v/>
      </c>
      <c r="S24" s="149">
        <f>IF(K24&gt;='Plan-Annahmen'!$B$59,1,0)</f>
        <v/>
      </c>
    </row>
    <row r="25" ht="15" customHeight="1" s="116">
      <c r="A25" s="149" t="n">
        <v>18</v>
      </c>
      <c r="B25" s="187">
        <f>EDATE('Plan-Annahmen'!$B$8,A25-1)</f>
        <v/>
      </c>
      <c r="C25" s="181" t="n">
        <v>0.75</v>
      </c>
      <c r="D25" s="188">
        <f>IF(A25-'Plan-Annahmen'!$B$41&lt;1,0,INDEX($K$8:$K$31,A25-'Plan-Annahmen'!$B$41)*'Plan-Annahmen'!$B$35/12*'Plan-Annahmen'!$B$38*(1+'Plan-Annahmen'!$B$50*'Plan-Annahmen'!$B$51))</f>
        <v/>
      </c>
      <c r="E25" s="184">
        <f>C25+D25</f>
        <v/>
      </c>
      <c r="F25" s="184">
        <f>MIN(E25,MAX(0,'Plan-Annahmen'!$B$16-H24))</f>
        <v/>
      </c>
      <c r="G25" s="184">
        <f>E25-F25</f>
        <v/>
      </c>
      <c r="H25" s="184">
        <f>H24+F25</f>
        <v/>
      </c>
      <c r="I25" s="189">
        <f>I24*(1-'Plan-Annahmen'!$B$47)+F25</f>
        <v/>
      </c>
      <c r="J25" s="189">
        <f>J24*(1-'Plan-Annahmen'!$B$44)+G25</f>
        <v/>
      </c>
      <c r="K25" s="190">
        <f>I25+J25</f>
        <v/>
      </c>
      <c r="L25" s="191" t="n">
        <v>19.5</v>
      </c>
      <c r="M25" s="192">
        <f>K25*'Plan-Annahmen'!$B$71</f>
        <v/>
      </c>
      <c r="N25" s="192">
        <f>E25*'Plan-Annahmen'!$B$72</f>
        <v/>
      </c>
      <c r="O25" s="192">
        <f>'Plan-Annahmen'!$B$70</f>
        <v/>
      </c>
      <c r="P25" s="190">
        <f>L25+M25+N25+O25</f>
        <v/>
      </c>
      <c r="Q25" s="149">
        <f>IF(P25&gt;'Plan-Annahmen'!$B$69,1,0)</f>
        <v/>
      </c>
      <c r="R25" s="149">
        <f>IF(P25&gt;'Plan-Annahmen'!$B$68,1,0)</f>
        <v/>
      </c>
      <c r="S25" s="149">
        <f>IF(K25&gt;='Plan-Annahmen'!$B$59,1,0)</f>
        <v/>
      </c>
    </row>
    <row r="26" ht="15" customHeight="1" s="116">
      <c r="A26" s="149" t="n">
        <v>19</v>
      </c>
      <c r="B26" s="187">
        <f>EDATE('Plan-Annahmen'!$B$8,A26-1)</f>
        <v/>
      </c>
      <c r="C26" s="181" t="n">
        <v>1</v>
      </c>
      <c r="D26" s="188">
        <f>IF(A26-'Plan-Annahmen'!$B$41&lt;1,0,INDEX($K$8:$K$31,A26-'Plan-Annahmen'!$B$41)*'Plan-Annahmen'!$B$35/12*'Plan-Annahmen'!$B$38*(1+'Plan-Annahmen'!$B$50*'Plan-Annahmen'!$B$51))</f>
        <v/>
      </c>
      <c r="E26" s="184">
        <f>C26+D26</f>
        <v/>
      </c>
      <c r="F26" s="184">
        <f>MIN(E26,MAX(0,'Plan-Annahmen'!$B$16-H25))</f>
        <v/>
      </c>
      <c r="G26" s="184">
        <f>E26-F26</f>
        <v/>
      </c>
      <c r="H26" s="184">
        <f>H25+F26</f>
        <v/>
      </c>
      <c r="I26" s="189">
        <f>I25*(1-'Plan-Annahmen'!$B$47)+F26</f>
        <v/>
      </c>
      <c r="J26" s="189">
        <f>J25*(1-'Plan-Annahmen'!$B$44)+G26</f>
        <v/>
      </c>
      <c r="K26" s="190">
        <f>I26+J26</f>
        <v/>
      </c>
      <c r="L26" s="191" t="n">
        <v>19.5</v>
      </c>
      <c r="M26" s="192">
        <f>K26*'Plan-Annahmen'!$B$71</f>
        <v/>
      </c>
      <c r="N26" s="192">
        <f>E26*'Plan-Annahmen'!$B$72</f>
        <v/>
      </c>
      <c r="O26" s="192">
        <f>'Plan-Annahmen'!$B$70</f>
        <v/>
      </c>
      <c r="P26" s="190">
        <f>L26+M26+N26+O26</f>
        <v/>
      </c>
      <c r="Q26" s="149">
        <f>IF(P26&gt;'Plan-Annahmen'!$B$69,1,0)</f>
        <v/>
      </c>
      <c r="R26" s="149">
        <f>IF(P26&gt;'Plan-Annahmen'!$B$68,1,0)</f>
        <v/>
      </c>
      <c r="S26" s="149">
        <f>IF(K26&gt;='Plan-Annahmen'!$B$59,1,0)</f>
        <v/>
      </c>
    </row>
    <row r="27" ht="15" customHeight="1" s="116">
      <c r="A27" s="149" t="n">
        <v>20</v>
      </c>
      <c r="B27" s="187">
        <f>EDATE('Plan-Annahmen'!$B$8,A27-1)</f>
        <v/>
      </c>
      <c r="C27" s="181" t="n">
        <v>1</v>
      </c>
      <c r="D27" s="188">
        <f>IF(A27-'Plan-Annahmen'!$B$41&lt;1,0,INDEX($K$8:$K$31,A27-'Plan-Annahmen'!$B$41)*'Plan-Annahmen'!$B$35/12*'Plan-Annahmen'!$B$38*(1+'Plan-Annahmen'!$B$50*'Plan-Annahmen'!$B$51))</f>
        <v/>
      </c>
      <c r="E27" s="184">
        <f>C27+D27</f>
        <v/>
      </c>
      <c r="F27" s="184">
        <f>MIN(E27,MAX(0,'Plan-Annahmen'!$B$16-H26))</f>
        <v/>
      </c>
      <c r="G27" s="184">
        <f>E27-F27</f>
        <v/>
      </c>
      <c r="H27" s="184">
        <f>H26+F27</f>
        <v/>
      </c>
      <c r="I27" s="189">
        <f>I26*(1-'Plan-Annahmen'!$B$47)+F27</f>
        <v/>
      </c>
      <c r="J27" s="189">
        <f>J26*(1-'Plan-Annahmen'!$B$44)+G27</f>
        <v/>
      </c>
      <c r="K27" s="190">
        <f>I27+J27</f>
        <v/>
      </c>
      <c r="L27" s="191" t="n">
        <v>19.5</v>
      </c>
      <c r="M27" s="192">
        <f>K27*'Plan-Annahmen'!$B$71</f>
        <v/>
      </c>
      <c r="N27" s="192">
        <f>E27*'Plan-Annahmen'!$B$72</f>
        <v/>
      </c>
      <c r="O27" s="192">
        <f>'Plan-Annahmen'!$B$70</f>
        <v/>
      </c>
      <c r="P27" s="190">
        <f>L27+M27+N27+O27</f>
        <v/>
      </c>
      <c r="Q27" s="149">
        <f>IF(P27&gt;'Plan-Annahmen'!$B$69,1,0)</f>
        <v/>
      </c>
      <c r="R27" s="149">
        <f>IF(P27&gt;'Plan-Annahmen'!$B$68,1,0)</f>
        <v/>
      </c>
      <c r="S27" s="149">
        <f>IF(K27&gt;='Plan-Annahmen'!$B$59,1,0)</f>
        <v/>
      </c>
    </row>
    <row r="28" ht="15" customHeight="1" s="116">
      <c r="A28" s="149" t="n">
        <v>21</v>
      </c>
      <c r="B28" s="187">
        <f>EDATE('Plan-Annahmen'!$B$8,A28-1)</f>
        <v/>
      </c>
      <c r="C28" s="181" t="n">
        <v>1</v>
      </c>
      <c r="D28" s="188">
        <f>IF(A28-'Plan-Annahmen'!$B$41&lt;1,0,INDEX($K$8:$K$31,A28-'Plan-Annahmen'!$B$41)*'Plan-Annahmen'!$B$35/12*'Plan-Annahmen'!$B$38*(1+'Plan-Annahmen'!$B$50*'Plan-Annahmen'!$B$51))</f>
        <v/>
      </c>
      <c r="E28" s="184">
        <f>C28+D28</f>
        <v/>
      </c>
      <c r="F28" s="184">
        <f>MIN(E28,MAX(0,'Plan-Annahmen'!$B$16-H27))</f>
        <v/>
      </c>
      <c r="G28" s="184">
        <f>E28-F28</f>
        <v/>
      </c>
      <c r="H28" s="184">
        <f>H27+F28</f>
        <v/>
      </c>
      <c r="I28" s="189">
        <f>I27*(1-'Plan-Annahmen'!$B$47)+F28</f>
        <v/>
      </c>
      <c r="J28" s="189">
        <f>J27*(1-'Plan-Annahmen'!$B$44)+G28</f>
        <v/>
      </c>
      <c r="K28" s="190">
        <f>I28+J28</f>
        <v/>
      </c>
      <c r="L28" s="191" t="n">
        <v>19.5</v>
      </c>
      <c r="M28" s="192">
        <f>K28*'Plan-Annahmen'!$B$71</f>
        <v/>
      </c>
      <c r="N28" s="192">
        <f>E28*'Plan-Annahmen'!$B$72</f>
        <v/>
      </c>
      <c r="O28" s="192">
        <f>'Plan-Annahmen'!$B$70</f>
        <v/>
      </c>
      <c r="P28" s="190">
        <f>L28+M28+N28+O28</f>
        <v/>
      </c>
      <c r="Q28" s="149">
        <f>IF(P28&gt;'Plan-Annahmen'!$B$69,1,0)</f>
        <v/>
      </c>
      <c r="R28" s="149">
        <f>IF(P28&gt;'Plan-Annahmen'!$B$68,1,0)</f>
        <v/>
      </c>
      <c r="S28" s="149">
        <f>IF(K28&gt;='Plan-Annahmen'!$B$59,1,0)</f>
        <v/>
      </c>
    </row>
    <row r="29" ht="15" customHeight="1" s="116">
      <c r="A29" s="149" t="n">
        <v>22</v>
      </c>
      <c r="B29" s="187">
        <f>EDATE('Plan-Annahmen'!$B$8,A29-1)</f>
        <v/>
      </c>
      <c r="C29" s="181" t="n">
        <v>1.5</v>
      </c>
      <c r="D29" s="188">
        <f>IF(A29-'Plan-Annahmen'!$B$41&lt;1,0,INDEX($K$8:$K$31,A29-'Plan-Annahmen'!$B$41)*'Plan-Annahmen'!$B$35/12*'Plan-Annahmen'!$B$38*(1+'Plan-Annahmen'!$B$50*'Plan-Annahmen'!$B$51))</f>
        <v/>
      </c>
      <c r="E29" s="184">
        <f>C29+D29</f>
        <v/>
      </c>
      <c r="F29" s="184">
        <f>MIN(E29,MAX(0,'Plan-Annahmen'!$B$16-H28))</f>
        <v/>
      </c>
      <c r="G29" s="184">
        <f>E29-F29</f>
        <v/>
      </c>
      <c r="H29" s="184">
        <f>H28+F29</f>
        <v/>
      </c>
      <c r="I29" s="189">
        <f>I28*(1-'Plan-Annahmen'!$B$47)+F29</f>
        <v/>
      </c>
      <c r="J29" s="189">
        <f>J28*(1-'Plan-Annahmen'!$B$44)+G29</f>
        <v/>
      </c>
      <c r="K29" s="190">
        <f>I29+J29</f>
        <v/>
      </c>
      <c r="L29" s="191" t="n">
        <v>19.5</v>
      </c>
      <c r="M29" s="192">
        <f>K29*'Plan-Annahmen'!$B$71</f>
        <v/>
      </c>
      <c r="N29" s="192">
        <f>E29*'Plan-Annahmen'!$B$72</f>
        <v/>
      </c>
      <c r="O29" s="192">
        <f>'Plan-Annahmen'!$B$70</f>
        <v/>
      </c>
      <c r="P29" s="190">
        <f>L29+M29+N29+O29</f>
        <v/>
      </c>
      <c r="Q29" s="149">
        <f>IF(P29&gt;'Plan-Annahmen'!$B$69,1,0)</f>
        <v/>
      </c>
      <c r="R29" s="149">
        <f>IF(P29&gt;'Plan-Annahmen'!$B$68,1,0)</f>
        <v/>
      </c>
      <c r="S29" s="149">
        <f>IF(K29&gt;='Plan-Annahmen'!$B$59,1,0)</f>
        <v/>
      </c>
    </row>
    <row r="30" ht="15" customHeight="1" s="116">
      <c r="A30" s="149" t="n">
        <v>23</v>
      </c>
      <c r="B30" s="187">
        <f>EDATE('Plan-Annahmen'!$B$8,A30-1)</f>
        <v/>
      </c>
      <c r="C30" s="181" t="n">
        <v>1</v>
      </c>
      <c r="D30" s="188">
        <f>IF(A30-'Plan-Annahmen'!$B$41&lt;1,0,INDEX($K$8:$K$31,A30-'Plan-Annahmen'!$B$41)*'Plan-Annahmen'!$B$35/12*'Plan-Annahmen'!$B$38*(1+'Plan-Annahmen'!$B$50*'Plan-Annahmen'!$B$51))</f>
        <v/>
      </c>
      <c r="E30" s="184">
        <f>C30+D30</f>
        <v/>
      </c>
      <c r="F30" s="184">
        <f>MIN(E30,MAX(0,'Plan-Annahmen'!$B$16-H29))</f>
        <v/>
      </c>
      <c r="G30" s="184">
        <f>E30-F30</f>
        <v/>
      </c>
      <c r="H30" s="184">
        <f>H29+F30</f>
        <v/>
      </c>
      <c r="I30" s="189">
        <f>I29*(1-'Plan-Annahmen'!$B$47)+F30</f>
        <v/>
      </c>
      <c r="J30" s="189">
        <f>J29*(1-'Plan-Annahmen'!$B$44)+G30</f>
        <v/>
      </c>
      <c r="K30" s="190">
        <f>I30+J30</f>
        <v/>
      </c>
      <c r="L30" s="191" t="n">
        <v>19.5</v>
      </c>
      <c r="M30" s="192">
        <f>K30*'Plan-Annahmen'!$B$71</f>
        <v/>
      </c>
      <c r="N30" s="192">
        <f>E30*'Plan-Annahmen'!$B$72</f>
        <v/>
      </c>
      <c r="O30" s="192">
        <f>'Plan-Annahmen'!$B$70</f>
        <v/>
      </c>
      <c r="P30" s="190">
        <f>L30+M30+N30+O30</f>
        <v/>
      </c>
      <c r="Q30" s="149">
        <f>IF(P30&gt;'Plan-Annahmen'!$B$69,1,0)</f>
        <v/>
      </c>
      <c r="R30" s="149">
        <f>IF(P30&gt;'Plan-Annahmen'!$B$68,1,0)</f>
        <v/>
      </c>
      <c r="S30" s="149">
        <f>IF(K30&gt;='Plan-Annahmen'!$B$59,1,0)</f>
        <v/>
      </c>
    </row>
    <row r="31" ht="15" customHeight="1" s="116">
      <c r="A31" s="149" t="n">
        <v>24</v>
      </c>
      <c r="B31" s="187">
        <f>EDATE('Plan-Annahmen'!$B$8,A31-1)</f>
        <v/>
      </c>
      <c r="C31" s="181" t="n">
        <v>1</v>
      </c>
      <c r="D31" s="188">
        <f>IF(A31-'Plan-Annahmen'!$B$41&lt;1,0,INDEX($K$8:$K$31,A31-'Plan-Annahmen'!$B$41)*'Plan-Annahmen'!$B$35/12*'Plan-Annahmen'!$B$38*(1+'Plan-Annahmen'!$B$50*'Plan-Annahmen'!$B$51))</f>
        <v/>
      </c>
      <c r="E31" s="184">
        <f>C31+D31</f>
        <v/>
      </c>
      <c r="F31" s="184">
        <f>MIN(E31,MAX(0,'Plan-Annahmen'!$B$16-H30))</f>
        <v/>
      </c>
      <c r="G31" s="184">
        <f>E31-F31</f>
        <v/>
      </c>
      <c r="H31" s="184">
        <f>H30+F31</f>
        <v/>
      </c>
      <c r="I31" s="189">
        <f>I30*(1-'Plan-Annahmen'!$B$47)+F31</f>
        <v/>
      </c>
      <c r="J31" s="189">
        <f>J30*(1-'Plan-Annahmen'!$B$44)+G31</f>
        <v/>
      </c>
      <c r="K31" s="190">
        <f>I31+J31</f>
        <v/>
      </c>
      <c r="L31" s="191" t="n">
        <v>19.5</v>
      </c>
      <c r="M31" s="192">
        <f>K31*'Plan-Annahmen'!$B$71</f>
        <v/>
      </c>
      <c r="N31" s="192">
        <f>E31*'Plan-Annahmen'!$B$72</f>
        <v/>
      </c>
      <c r="O31" s="192">
        <f>'Plan-Annahmen'!$B$70</f>
        <v/>
      </c>
      <c r="P31" s="190">
        <f>L31+M31+N31+O31</f>
        <v/>
      </c>
      <c r="Q31" s="149">
        <f>IF(P31&gt;'Plan-Annahmen'!$B$69,1,0)</f>
        <v/>
      </c>
      <c r="R31" s="149">
        <f>IF(P31&gt;'Plan-Annahmen'!$B$68,1,0)</f>
        <v/>
      </c>
      <c r="S31" s="149">
        <f>IF(K31&gt;='Plan-Annahmen'!$B$59,1,0)</f>
        <v/>
      </c>
    </row>
    <row r="32" ht="15" customHeight="1" s="116">
      <c r="A32" s="129" t="inlineStr">
        <is>
          <t>Σ / Ende</t>
        </is>
      </c>
      <c r="B32" s="130" t="n"/>
      <c r="C32" s="193">
        <f>SUM(C8:C31)</f>
        <v/>
      </c>
      <c r="D32" s="193">
        <f>SUM(D8:D31)</f>
        <v/>
      </c>
      <c r="E32" s="193">
        <f>SUM(E8:E31)</f>
        <v/>
      </c>
      <c r="F32" s="130" t="n"/>
      <c r="G32" s="130" t="n"/>
      <c r="H32" s="130" t="n"/>
      <c r="I32" s="130" t="n"/>
      <c r="J32" s="130" t="n"/>
      <c r="K32" s="193">
        <f>K31</f>
        <v/>
      </c>
      <c r="L32" s="130" t="n"/>
      <c r="M32" s="130" t="n"/>
      <c r="N32" s="130" t="n"/>
      <c r="O32" s="130" t="n"/>
      <c r="P32" s="130" t="n"/>
      <c r="Q32" s="171">
        <f>SUM(Q8:Q31)</f>
        <v/>
      </c>
      <c r="R32" s="171">
        <f>SUM(R8:R31)</f>
        <v/>
      </c>
      <c r="S32" s="171">
        <f>IFERROR(INDEX($A$8:$A$31,MATCH(1,$S$8:$S$31,0)),999)</f>
        <v/>
      </c>
    </row>
    <row r="35" ht="15" customHeight="1" s="116">
      <c r="A35" s="133" t="inlineStr">
        <is>
          <t>Szenario: Realistisch</t>
        </is>
      </c>
      <c r="C35" s="118" t="inlineStr">
        <is>
          <t>Kanäle Σ 52.25 Betriebe (Marketing)</t>
        </is>
      </c>
    </row>
    <row r="36" ht="39" customHeight="1" s="116">
      <c r="A36" s="119" t="inlineStr">
        <is>
          <t>Monat</t>
        </is>
      </c>
      <c r="B36" s="119" t="inlineStr">
        <is>
          <t>Kalendermonat</t>
        </is>
      </c>
      <c r="C36" s="119" t="inlineStr">
        <is>
          <t>Neukunden Kanäle</t>
        </is>
      </c>
      <c r="D36" s="119" t="inlineStr">
        <is>
          <t>Neukunden Mundpropaganda</t>
        </is>
      </c>
      <c r="E36" s="119" t="inlineStr">
        <is>
          <t>Neukunden gesamt</t>
        </is>
      </c>
      <c r="F36" s="119" t="inlineStr">
        <is>
          <t>davon Gründerplätze</t>
        </is>
      </c>
      <c r="G36" s="119" t="inlineStr">
        <is>
          <t>davon Standard</t>
        </is>
      </c>
      <c r="H36" s="119" t="inlineStr">
        <is>
          <t>Gründerplätze vergeben (kum.)</t>
        </is>
      </c>
      <c r="I36" s="119" t="inlineStr">
        <is>
          <t>Gründerkunden aktiv</t>
        </is>
      </c>
      <c r="J36" s="119" t="inlineStr">
        <is>
          <t>Standardkunden aktiv</t>
        </is>
      </c>
      <c r="K36" s="119" t="inlineStr">
        <is>
          <t>Kunden aktiv gesamt</t>
        </is>
      </c>
      <c r="L36" s="119" t="inlineStr">
        <is>
          <t>Std. Vertrieb (Marketing)</t>
        </is>
      </c>
      <c r="M36" s="119" t="inlineStr">
        <is>
          <t>Std. Support</t>
        </is>
      </c>
      <c r="N36" s="119" t="inlineStr">
        <is>
          <t>Std. Onboarding</t>
        </is>
      </c>
      <c r="O36" s="119" t="inlineStr">
        <is>
          <t>Std. Grundlast</t>
        </is>
      </c>
      <c r="P36" s="119" t="inlineStr">
        <is>
          <t>Std. gesamt</t>
        </is>
      </c>
      <c r="Q36" s="119" t="inlineStr">
        <is>
          <t>über Dauerlinie (65)?</t>
        </is>
      </c>
      <c r="R36" s="119" t="inlineStr">
        <is>
          <t>über Sprintlinie (86)?</t>
        </is>
      </c>
      <c r="S36" s="119" t="inlineStr">
        <is>
          <t>UG-Schwelle erreicht?</t>
        </is>
      </c>
    </row>
    <row r="37" ht="15" customHeight="1" s="116">
      <c r="A37" s="149" t="n">
        <v>1</v>
      </c>
      <c r="B37" s="187">
        <f>EDATE('Plan-Annahmen'!$B$8,A37-1)</f>
        <v/>
      </c>
      <c r="C37" s="181" t="n">
        <v>0</v>
      </c>
      <c r="D37" s="188">
        <f>IF(A37-'Plan-Annahmen'!$B$42&lt;1,0,INDEX($K$37:$K$60,A37-'Plan-Annahmen'!$B$42)*'Plan-Annahmen'!$B$36/12*'Plan-Annahmen'!$B$39*(1+'Plan-Annahmen'!$B$50*'Plan-Annahmen'!$B$51))</f>
        <v/>
      </c>
      <c r="E37" s="184">
        <f>C37+D37</f>
        <v/>
      </c>
      <c r="F37" s="184">
        <f>MIN(E37,MAX(0,'Plan-Annahmen'!$B$16-0))</f>
        <v/>
      </c>
      <c r="G37" s="184">
        <f>E37-F37</f>
        <v/>
      </c>
      <c r="H37" s="184">
        <f>0+F37</f>
        <v/>
      </c>
      <c r="I37" s="189">
        <f>0*(1-'Plan-Annahmen'!$B$48)+F37</f>
        <v/>
      </c>
      <c r="J37" s="189">
        <f>0*(1-'Plan-Annahmen'!$B$45)+G37</f>
        <v/>
      </c>
      <c r="K37" s="190">
        <f>I37+J37</f>
        <v/>
      </c>
      <c r="L37" s="191" t="n">
        <v>4</v>
      </c>
      <c r="M37" s="192">
        <f>K37*'Plan-Annahmen'!$B$71</f>
        <v/>
      </c>
      <c r="N37" s="192">
        <f>E37*'Plan-Annahmen'!$B$72</f>
        <v/>
      </c>
      <c r="O37" s="192">
        <f>'Plan-Annahmen'!$B$70</f>
        <v/>
      </c>
      <c r="P37" s="190">
        <f>L37+M37+N37+O37</f>
        <v/>
      </c>
      <c r="Q37" s="149">
        <f>IF(P37&gt;'Plan-Annahmen'!$B$69,1,0)</f>
        <v/>
      </c>
      <c r="R37" s="149">
        <f>IF(P37&gt;'Plan-Annahmen'!$B$68,1,0)</f>
        <v/>
      </c>
      <c r="S37" s="149">
        <f>IF(K37&gt;='Plan-Annahmen'!$B$59,1,0)</f>
        <v/>
      </c>
    </row>
    <row r="38" ht="15" customHeight="1" s="116">
      <c r="A38" s="149" t="n">
        <v>2</v>
      </c>
      <c r="B38" s="187">
        <f>EDATE('Plan-Annahmen'!$B$8,A38-1)</f>
        <v/>
      </c>
      <c r="C38" s="181" t="n">
        <v>0</v>
      </c>
      <c r="D38" s="188">
        <f>IF(A38-'Plan-Annahmen'!$B$42&lt;1,0,INDEX($K$37:$K$60,A38-'Plan-Annahmen'!$B$42)*'Plan-Annahmen'!$B$36/12*'Plan-Annahmen'!$B$39*(1+'Plan-Annahmen'!$B$50*'Plan-Annahmen'!$B$51))</f>
        <v/>
      </c>
      <c r="E38" s="184">
        <f>C38+D38</f>
        <v/>
      </c>
      <c r="F38" s="184">
        <f>MIN(E38,MAX(0,'Plan-Annahmen'!$B$16-H37))</f>
        <v/>
      </c>
      <c r="G38" s="184">
        <f>E38-F38</f>
        <v/>
      </c>
      <c r="H38" s="184">
        <f>H37+F38</f>
        <v/>
      </c>
      <c r="I38" s="189">
        <f>I37*(1-'Plan-Annahmen'!$B$48)+F38</f>
        <v/>
      </c>
      <c r="J38" s="189">
        <f>J37*(1-'Plan-Annahmen'!$B$45)+G38</f>
        <v/>
      </c>
      <c r="K38" s="190">
        <f>I38+J38</f>
        <v/>
      </c>
      <c r="L38" s="191" t="n">
        <v>18</v>
      </c>
      <c r="M38" s="192">
        <f>K38*'Plan-Annahmen'!$B$71</f>
        <v/>
      </c>
      <c r="N38" s="192">
        <f>E38*'Plan-Annahmen'!$B$72</f>
        <v/>
      </c>
      <c r="O38" s="192">
        <f>'Plan-Annahmen'!$B$70</f>
        <v/>
      </c>
      <c r="P38" s="190">
        <f>L38+M38+N38+O38</f>
        <v/>
      </c>
      <c r="Q38" s="149">
        <f>IF(P38&gt;'Plan-Annahmen'!$B$69,1,0)</f>
        <v/>
      </c>
      <c r="R38" s="149">
        <f>IF(P38&gt;'Plan-Annahmen'!$B$68,1,0)</f>
        <v/>
      </c>
      <c r="S38" s="149">
        <f>IF(K38&gt;='Plan-Annahmen'!$B$59,1,0)</f>
        <v/>
      </c>
    </row>
    <row r="39" ht="15" customHeight="1" s="116">
      <c r="A39" s="149" t="n">
        <v>3</v>
      </c>
      <c r="B39" s="187">
        <f>EDATE('Plan-Annahmen'!$B$8,A39-1)</f>
        <v/>
      </c>
      <c r="C39" s="181" t="n">
        <v>0</v>
      </c>
      <c r="D39" s="188">
        <f>IF(A39-'Plan-Annahmen'!$B$42&lt;1,0,INDEX($K$37:$K$60,A39-'Plan-Annahmen'!$B$42)*'Plan-Annahmen'!$B$36/12*'Plan-Annahmen'!$B$39*(1+'Plan-Annahmen'!$B$50*'Plan-Annahmen'!$B$51))</f>
        <v/>
      </c>
      <c r="E39" s="184">
        <f>C39+D39</f>
        <v/>
      </c>
      <c r="F39" s="184">
        <f>MIN(E39,MAX(0,'Plan-Annahmen'!$B$16-H38))</f>
        <v/>
      </c>
      <c r="G39" s="184">
        <f>E39-F39</f>
        <v/>
      </c>
      <c r="H39" s="184">
        <f>H38+F39</f>
        <v/>
      </c>
      <c r="I39" s="189">
        <f>I38*(1-'Plan-Annahmen'!$B$48)+F39</f>
        <v/>
      </c>
      <c r="J39" s="189">
        <f>J38*(1-'Plan-Annahmen'!$B$45)+G39</f>
        <v/>
      </c>
      <c r="K39" s="190">
        <f>I39+J39</f>
        <v/>
      </c>
      <c r="L39" s="191" t="n">
        <v>5</v>
      </c>
      <c r="M39" s="192">
        <f>K39*'Plan-Annahmen'!$B$71</f>
        <v/>
      </c>
      <c r="N39" s="192">
        <f>E39*'Plan-Annahmen'!$B$72</f>
        <v/>
      </c>
      <c r="O39" s="192">
        <f>'Plan-Annahmen'!$B$70</f>
        <v/>
      </c>
      <c r="P39" s="190">
        <f>L39+M39+N39+O39</f>
        <v/>
      </c>
      <c r="Q39" s="149">
        <f>IF(P39&gt;'Plan-Annahmen'!$B$69,1,0)</f>
        <v/>
      </c>
      <c r="R39" s="149">
        <f>IF(P39&gt;'Plan-Annahmen'!$B$68,1,0)</f>
        <v/>
      </c>
      <c r="S39" s="149">
        <f>IF(K39&gt;='Plan-Annahmen'!$B$59,1,0)</f>
        <v/>
      </c>
    </row>
    <row r="40" ht="15" customHeight="1" s="116">
      <c r="A40" s="149" t="n">
        <v>4</v>
      </c>
      <c r="B40" s="187">
        <f>EDATE('Plan-Annahmen'!$B$8,A40-1)</f>
        <v/>
      </c>
      <c r="C40" s="181" t="n">
        <v>1</v>
      </c>
      <c r="D40" s="188">
        <f>IF(A40-'Plan-Annahmen'!$B$42&lt;1,0,INDEX($K$37:$K$60,A40-'Plan-Annahmen'!$B$42)*'Plan-Annahmen'!$B$36/12*'Plan-Annahmen'!$B$39*(1+'Plan-Annahmen'!$B$50*'Plan-Annahmen'!$B$51))</f>
        <v/>
      </c>
      <c r="E40" s="184">
        <f>C40+D40</f>
        <v/>
      </c>
      <c r="F40" s="184">
        <f>MIN(E40,MAX(0,'Plan-Annahmen'!$B$16-H39))</f>
        <v/>
      </c>
      <c r="G40" s="184">
        <f>E40-F40</f>
        <v/>
      </c>
      <c r="H40" s="184">
        <f>H39+F40</f>
        <v/>
      </c>
      <c r="I40" s="189">
        <f>I39*(1-'Plan-Annahmen'!$B$48)+F40</f>
        <v/>
      </c>
      <c r="J40" s="189">
        <f>J39*(1-'Plan-Annahmen'!$B$45)+G40</f>
        <v/>
      </c>
      <c r="K40" s="190">
        <f>I40+J40</f>
        <v/>
      </c>
      <c r="L40" s="191" t="n">
        <v>15</v>
      </c>
      <c r="M40" s="192">
        <f>K40*'Plan-Annahmen'!$B$71</f>
        <v/>
      </c>
      <c r="N40" s="192">
        <f>E40*'Plan-Annahmen'!$B$72</f>
        <v/>
      </c>
      <c r="O40" s="192">
        <f>'Plan-Annahmen'!$B$70</f>
        <v/>
      </c>
      <c r="P40" s="190">
        <f>L40+M40+N40+O40</f>
        <v/>
      </c>
      <c r="Q40" s="149">
        <f>IF(P40&gt;'Plan-Annahmen'!$B$69,1,0)</f>
        <v/>
      </c>
      <c r="R40" s="149">
        <f>IF(P40&gt;'Plan-Annahmen'!$B$68,1,0)</f>
        <v/>
      </c>
      <c r="S40" s="149">
        <f>IF(K40&gt;='Plan-Annahmen'!$B$59,1,0)</f>
        <v/>
      </c>
    </row>
    <row r="41" ht="15" customHeight="1" s="116">
      <c r="A41" s="149" t="n">
        <v>5</v>
      </c>
      <c r="B41" s="187">
        <f>EDATE('Plan-Annahmen'!$B$8,A41-1)</f>
        <v/>
      </c>
      <c r="C41" s="181" t="n">
        <v>1.5</v>
      </c>
      <c r="D41" s="188">
        <f>IF(A41-'Plan-Annahmen'!$B$42&lt;1,0,INDEX($K$37:$K$60,A41-'Plan-Annahmen'!$B$42)*'Plan-Annahmen'!$B$36/12*'Plan-Annahmen'!$B$39*(1+'Plan-Annahmen'!$B$50*'Plan-Annahmen'!$B$51))</f>
        <v/>
      </c>
      <c r="E41" s="184">
        <f>C41+D41</f>
        <v/>
      </c>
      <c r="F41" s="184">
        <f>MIN(E41,MAX(0,'Plan-Annahmen'!$B$16-H40))</f>
        <v/>
      </c>
      <c r="G41" s="184">
        <f>E41-F41</f>
        <v/>
      </c>
      <c r="H41" s="184">
        <f>H40+F41</f>
        <v/>
      </c>
      <c r="I41" s="189">
        <f>I40*(1-'Plan-Annahmen'!$B$48)+F41</f>
        <v/>
      </c>
      <c r="J41" s="189">
        <f>J40*(1-'Plan-Annahmen'!$B$45)+G41</f>
        <v/>
      </c>
      <c r="K41" s="190">
        <f>I41+J41</f>
        <v/>
      </c>
      <c r="L41" s="191" t="n">
        <v>16</v>
      </c>
      <c r="M41" s="192">
        <f>K41*'Plan-Annahmen'!$B$71</f>
        <v/>
      </c>
      <c r="N41" s="192">
        <f>E41*'Plan-Annahmen'!$B$72</f>
        <v/>
      </c>
      <c r="O41" s="192">
        <f>'Plan-Annahmen'!$B$70</f>
        <v/>
      </c>
      <c r="P41" s="190">
        <f>L41+M41+N41+O41</f>
        <v/>
      </c>
      <c r="Q41" s="149">
        <f>IF(P41&gt;'Plan-Annahmen'!$B$69,1,0)</f>
        <v/>
      </c>
      <c r="R41" s="149">
        <f>IF(P41&gt;'Plan-Annahmen'!$B$68,1,0)</f>
        <v/>
      </c>
      <c r="S41" s="149">
        <f>IF(K41&gt;='Plan-Annahmen'!$B$59,1,0)</f>
        <v/>
      </c>
    </row>
    <row r="42" ht="15" customHeight="1" s="116">
      <c r="A42" s="149" t="n">
        <v>6</v>
      </c>
      <c r="B42" s="187">
        <f>EDATE('Plan-Annahmen'!$B$8,A42-1)</f>
        <v/>
      </c>
      <c r="C42" s="181" t="n">
        <v>2.5</v>
      </c>
      <c r="D42" s="188">
        <f>IF(A42-'Plan-Annahmen'!$B$42&lt;1,0,INDEX($K$37:$K$60,A42-'Plan-Annahmen'!$B$42)*'Plan-Annahmen'!$B$36/12*'Plan-Annahmen'!$B$39*(1+'Plan-Annahmen'!$B$50*'Plan-Annahmen'!$B$51))</f>
        <v/>
      </c>
      <c r="E42" s="184">
        <f>C42+D42</f>
        <v/>
      </c>
      <c r="F42" s="184">
        <f>MIN(E42,MAX(0,'Plan-Annahmen'!$B$16-H41))</f>
        <v/>
      </c>
      <c r="G42" s="184">
        <f>E42-F42</f>
        <v/>
      </c>
      <c r="H42" s="184">
        <f>H41+F42</f>
        <v/>
      </c>
      <c r="I42" s="189">
        <f>I41*(1-'Plan-Annahmen'!$B$48)+F42</f>
        <v/>
      </c>
      <c r="J42" s="189">
        <f>J41*(1-'Plan-Annahmen'!$B$45)+G42</f>
        <v/>
      </c>
      <c r="K42" s="190">
        <f>I42+J42</f>
        <v/>
      </c>
      <c r="L42" s="191" t="n">
        <v>16</v>
      </c>
      <c r="M42" s="192">
        <f>K42*'Plan-Annahmen'!$B$71</f>
        <v/>
      </c>
      <c r="N42" s="192">
        <f>E42*'Plan-Annahmen'!$B$72</f>
        <v/>
      </c>
      <c r="O42" s="192">
        <f>'Plan-Annahmen'!$B$70</f>
        <v/>
      </c>
      <c r="P42" s="190">
        <f>L42+M42+N42+O42</f>
        <v/>
      </c>
      <c r="Q42" s="149">
        <f>IF(P42&gt;'Plan-Annahmen'!$B$69,1,0)</f>
        <v/>
      </c>
      <c r="R42" s="149">
        <f>IF(P42&gt;'Plan-Annahmen'!$B$68,1,0)</f>
        <v/>
      </c>
      <c r="S42" s="149">
        <f>IF(K42&gt;='Plan-Annahmen'!$B$59,1,0)</f>
        <v/>
      </c>
    </row>
    <row r="43" ht="15" customHeight="1" s="116">
      <c r="A43" s="149" t="n">
        <v>7</v>
      </c>
      <c r="B43" s="187">
        <f>EDATE('Plan-Annahmen'!$B$8,A43-1)</f>
        <v/>
      </c>
      <c r="C43" s="181" t="n">
        <v>2</v>
      </c>
      <c r="D43" s="188">
        <f>IF(A43-'Plan-Annahmen'!$B$42&lt;1,0,INDEX($K$37:$K$60,A43-'Plan-Annahmen'!$B$42)*'Plan-Annahmen'!$B$36/12*'Plan-Annahmen'!$B$39*(1+'Plan-Annahmen'!$B$50*'Plan-Annahmen'!$B$51))</f>
        <v/>
      </c>
      <c r="E43" s="184">
        <f>C43+D43</f>
        <v/>
      </c>
      <c r="F43" s="184">
        <f>MIN(E43,MAX(0,'Plan-Annahmen'!$B$16-H42))</f>
        <v/>
      </c>
      <c r="G43" s="184">
        <f>E43-F43</f>
        <v/>
      </c>
      <c r="H43" s="184">
        <f>H42+F43</f>
        <v/>
      </c>
      <c r="I43" s="189">
        <f>I42*(1-'Plan-Annahmen'!$B$48)+F43</f>
        <v/>
      </c>
      <c r="J43" s="189">
        <f>J42*(1-'Plan-Annahmen'!$B$45)+G43</f>
        <v/>
      </c>
      <c r="K43" s="190">
        <f>I43+J43</f>
        <v/>
      </c>
      <c r="L43" s="191" t="n">
        <v>16.5</v>
      </c>
      <c r="M43" s="192">
        <f>K43*'Plan-Annahmen'!$B$71</f>
        <v/>
      </c>
      <c r="N43" s="192">
        <f>E43*'Plan-Annahmen'!$B$72</f>
        <v/>
      </c>
      <c r="O43" s="192">
        <f>'Plan-Annahmen'!$B$70</f>
        <v/>
      </c>
      <c r="P43" s="190">
        <f>L43+M43+N43+O43</f>
        <v/>
      </c>
      <c r="Q43" s="149">
        <f>IF(P43&gt;'Plan-Annahmen'!$B$69,1,0)</f>
        <v/>
      </c>
      <c r="R43" s="149">
        <f>IF(P43&gt;'Plan-Annahmen'!$B$68,1,0)</f>
        <v/>
      </c>
      <c r="S43" s="149">
        <f>IF(K43&gt;='Plan-Annahmen'!$B$59,1,0)</f>
        <v/>
      </c>
    </row>
    <row r="44" ht="15" customHeight="1" s="116">
      <c r="A44" s="149" t="n">
        <v>8</v>
      </c>
      <c r="B44" s="187">
        <f>EDATE('Plan-Annahmen'!$B$8,A44-1)</f>
        <v/>
      </c>
      <c r="C44" s="181" t="n">
        <v>2</v>
      </c>
      <c r="D44" s="188">
        <f>IF(A44-'Plan-Annahmen'!$B$42&lt;1,0,INDEX($K$37:$K$60,A44-'Plan-Annahmen'!$B$42)*'Plan-Annahmen'!$B$36/12*'Plan-Annahmen'!$B$39*(1+'Plan-Annahmen'!$B$50*'Plan-Annahmen'!$B$51))</f>
        <v/>
      </c>
      <c r="E44" s="184">
        <f>C44+D44</f>
        <v/>
      </c>
      <c r="F44" s="184">
        <f>MIN(E44,MAX(0,'Plan-Annahmen'!$B$16-H43))</f>
        <v/>
      </c>
      <c r="G44" s="184">
        <f>E44-F44</f>
        <v/>
      </c>
      <c r="H44" s="184">
        <f>H43+F44</f>
        <v/>
      </c>
      <c r="I44" s="189">
        <f>I43*(1-'Plan-Annahmen'!$B$48)+F44</f>
        <v/>
      </c>
      <c r="J44" s="189">
        <f>J43*(1-'Plan-Annahmen'!$B$45)+G44</f>
        <v/>
      </c>
      <c r="K44" s="190">
        <f>I44+J44</f>
        <v/>
      </c>
      <c r="L44" s="191" t="n">
        <v>20.5</v>
      </c>
      <c r="M44" s="192">
        <f>K44*'Plan-Annahmen'!$B$71</f>
        <v/>
      </c>
      <c r="N44" s="192">
        <f>E44*'Plan-Annahmen'!$B$72</f>
        <v/>
      </c>
      <c r="O44" s="192">
        <f>'Plan-Annahmen'!$B$70</f>
        <v/>
      </c>
      <c r="P44" s="190">
        <f>L44+M44+N44+O44</f>
        <v/>
      </c>
      <c r="Q44" s="149">
        <f>IF(P44&gt;'Plan-Annahmen'!$B$69,1,0)</f>
        <v/>
      </c>
      <c r="R44" s="149">
        <f>IF(P44&gt;'Plan-Annahmen'!$B$68,1,0)</f>
        <v/>
      </c>
      <c r="S44" s="149">
        <f>IF(K44&gt;='Plan-Annahmen'!$B$59,1,0)</f>
        <v/>
      </c>
    </row>
    <row r="45" ht="15" customHeight="1" s="116">
      <c r="A45" s="149" t="n">
        <v>9</v>
      </c>
      <c r="B45" s="187">
        <f>EDATE('Plan-Annahmen'!$B$8,A45-1)</f>
        <v/>
      </c>
      <c r="C45" s="181" t="n">
        <v>1.25</v>
      </c>
      <c r="D45" s="188">
        <f>IF(A45-'Plan-Annahmen'!$B$42&lt;1,0,INDEX($K$37:$K$60,A45-'Plan-Annahmen'!$B$42)*'Plan-Annahmen'!$B$36/12*'Plan-Annahmen'!$B$39*(1+'Plan-Annahmen'!$B$50*'Plan-Annahmen'!$B$51))</f>
        <v/>
      </c>
      <c r="E45" s="184">
        <f>C45+D45</f>
        <v/>
      </c>
      <c r="F45" s="184">
        <f>MIN(E45,MAX(0,'Plan-Annahmen'!$B$16-H44))</f>
        <v/>
      </c>
      <c r="G45" s="184">
        <f>E45-F45</f>
        <v/>
      </c>
      <c r="H45" s="184">
        <f>H44+F45</f>
        <v/>
      </c>
      <c r="I45" s="189">
        <f>I44*(1-'Plan-Annahmen'!$B$48)+F45</f>
        <v/>
      </c>
      <c r="J45" s="189">
        <f>J44*(1-'Plan-Annahmen'!$B$45)+G45</f>
        <v/>
      </c>
      <c r="K45" s="190">
        <f>I45+J45</f>
        <v/>
      </c>
      <c r="L45" s="191" t="n">
        <v>20.5</v>
      </c>
      <c r="M45" s="192">
        <f>K45*'Plan-Annahmen'!$B$71</f>
        <v/>
      </c>
      <c r="N45" s="192">
        <f>E45*'Plan-Annahmen'!$B$72</f>
        <v/>
      </c>
      <c r="O45" s="192">
        <f>'Plan-Annahmen'!$B$70</f>
        <v/>
      </c>
      <c r="P45" s="190">
        <f>L45+M45+N45+O45</f>
        <v/>
      </c>
      <c r="Q45" s="149">
        <f>IF(P45&gt;'Plan-Annahmen'!$B$69,1,0)</f>
        <v/>
      </c>
      <c r="R45" s="149">
        <f>IF(P45&gt;'Plan-Annahmen'!$B$68,1,0)</f>
        <v/>
      </c>
      <c r="S45" s="149">
        <f>IF(K45&gt;='Plan-Annahmen'!$B$59,1,0)</f>
        <v/>
      </c>
    </row>
    <row r="46" ht="15" customHeight="1" s="116">
      <c r="A46" s="149" t="n">
        <v>10</v>
      </c>
      <c r="B46" s="187">
        <f>EDATE('Plan-Annahmen'!$B$8,A46-1)</f>
        <v/>
      </c>
      <c r="C46" s="181" t="n">
        <v>1.25</v>
      </c>
      <c r="D46" s="188">
        <f>IF(A46-'Plan-Annahmen'!$B$42&lt;1,0,INDEX($K$37:$K$60,A46-'Plan-Annahmen'!$B$42)*'Plan-Annahmen'!$B$36/12*'Plan-Annahmen'!$B$39*(1+'Plan-Annahmen'!$B$50*'Plan-Annahmen'!$B$51))</f>
        <v/>
      </c>
      <c r="E46" s="184">
        <f>C46+D46</f>
        <v/>
      </c>
      <c r="F46" s="184">
        <f>MIN(E46,MAX(0,'Plan-Annahmen'!$B$16-H45))</f>
        <v/>
      </c>
      <c r="G46" s="184">
        <f>E46-F46</f>
        <v/>
      </c>
      <c r="H46" s="184">
        <f>H45+F46</f>
        <v/>
      </c>
      <c r="I46" s="189">
        <f>I45*(1-'Plan-Annahmen'!$B$48)+F46</f>
        <v/>
      </c>
      <c r="J46" s="189">
        <f>J45*(1-'Plan-Annahmen'!$B$45)+G46</f>
        <v/>
      </c>
      <c r="K46" s="190">
        <f>I46+J46</f>
        <v/>
      </c>
      <c r="L46" s="191" t="n">
        <v>19.5</v>
      </c>
      <c r="M46" s="192">
        <f>K46*'Plan-Annahmen'!$B$71</f>
        <v/>
      </c>
      <c r="N46" s="192">
        <f>E46*'Plan-Annahmen'!$B$72</f>
        <v/>
      </c>
      <c r="O46" s="192">
        <f>'Plan-Annahmen'!$B$70</f>
        <v/>
      </c>
      <c r="P46" s="190">
        <f>L46+M46+N46+O46</f>
        <v/>
      </c>
      <c r="Q46" s="149">
        <f>IF(P46&gt;'Plan-Annahmen'!$B$69,1,0)</f>
        <v/>
      </c>
      <c r="R46" s="149">
        <f>IF(P46&gt;'Plan-Annahmen'!$B$68,1,0)</f>
        <v/>
      </c>
      <c r="S46" s="149">
        <f>IF(K46&gt;='Plan-Annahmen'!$B$59,1,0)</f>
        <v/>
      </c>
    </row>
    <row r="47" ht="15" customHeight="1" s="116">
      <c r="A47" s="149" t="n">
        <v>11</v>
      </c>
      <c r="B47" s="187">
        <f>EDATE('Plan-Annahmen'!$B$8,A47-1)</f>
        <v/>
      </c>
      <c r="C47" s="181" t="n">
        <v>2.25</v>
      </c>
      <c r="D47" s="188">
        <f>IF(A47-'Plan-Annahmen'!$B$42&lt;1,0,INDEX($K$37:$K$60,A47-'Plan-Annahmen'!$B$42)*'Plan-Annahmen'!$B$36/12*'Plan-Annahmen'!$B$39*(1+'Plan-Annahmen'!$B$50*'Plan-Annahmen'!$B$51))</f>
        <v/>
      </c>
      <c r="E47" s="184">
        <f>C47+D47</f>
        <v/>
      </c>
      <c r="F47" s="184">
        <f>MIN(E47,MAX(0,'Plan-Annahmen'!$B$16-H46))</f>
        <v/>
      </c>
      <c r="G47" s="184">
        <f>E47-F47</f>
        <v/>
      </c>
      <c r="H47" s="184">
        <f>H46+F47</f>
        <v/>
      </c>
      <c r="I47" s="189">
        <f>I46*(1-'Plan-Annahmen'!$B$48)+F47</f>
        <v/>
      </c>
      <c r="J47" s="189">
        <f>J46*(1-'Plan-Annahmen'!$B$45)+G47</f>
        <v/>
      </c>
      <c r="K47" s="190">
        <f>I47+J47</f>
        <v/>
      </c>
      <c r="L47" s="191" t="n">
        <v>19.5</v>
      </c>
      <c r="M47" s="192">
        <f>K47*'Plan-Annahmen'!$B$71</f>
        <v/>
      </c>
      <c r="N47" s="192">
        <f>E47*'Plan-Annahmen'!$B$72</f>
        <v/>
      </c>
      <c r="O47" s="192">
        <f>'Plan-Annahmen'!$B$70</f>
        <v/>
      </c>
      <c r="P47" s="190">
        <f>L47+M47+N47+O47</f>
        <v/>
      </c>
      <c r="Q47" s="149">
        <f>IF(P47&gt;'Plan-Annahmen'!$B$69,1,0)</f>
        <v/>
      </c>
      <c r="R47" s="149">
        <f>IF(P47&gt;'Plan-Annahmen'!$B$68,1,0)</f>
        <v/>
      </c>
      <c r="S47" s="149">
        <f>IF(K47&gt;='Plan-Annahmen'!$B$59,1,0)</f>
        <v/>
      </c>
    </row>
    <row r="48" ht="15" customHeight="1" s="116">
      <c r="A48" s="149" t="n">
        <v>12</v>
      </c>
      <c r="B48" s="187">
        <f>EDATE('Plan-Annahmen'!$B$8,A48-1)</f>
        <v/>
      </c>
      <c r="C48" s="181" t="n">
        <v>2</v>
      </c>
      <c r="D48" s="188">
        <f>IF(A48-'Plan-Annahmen'!$B$42&lt;1,0,INDEX($K$37:$K$60,A48-'Plan-Annahmen'!$B$42)*'Plan-Annahmen'!$B$36/12*'Plan-Annahmen'!$B$39*(1+'Plan-Annahmen'!$B$50*'Plan-Annahmen'!$B$51))</f>
        <v/>
      </c>
      <c r="E48" s="184">
        <f>C48+D48</f>
        <v/>
      </c>
      <c r="F48" s="184">
        <f>MIN(E48,MAX(0,'Plan-Annahmen'!$B$16-H47))</f>
        <v/>
      </c>
      <c r="G48" s="184">
        <f>E48-F48</f>
        <v/>
      </c>
      <c r="H48" s="184">
        <f>H47+F48</f>
        <v/>
      </c>
      <c r="I48" s="189">
        <f>I47*(1-'Plan-Annahmen'!$B$48)+F48</f>
        <v/>
      </c>
      <c r="J48" s="189">
        <f>J47*(1-'Plan-Annahmen'!$B$45)+G48</f>
        <v/>
      </c>
      <c r="K48" s="190">
        <f>I48+J48</f>
        <v/>
      </c>
      <c r="L48" s="191" t="n">
        <v>19.5</v>
      </c>
      <c r="M48" s="192">
        <f>K48*'Plan-Annahmen'!$B$71</f>
        <v/>
      </c>
      <c r="N48" s="192">
        <f>E48*'Plan-Annahmen'!$B$72</f>
        <v/>
      </c>
      <c r="O48" s="192">
        <f>'Plan-Annahmen'!$B$70</f>
        <v/>
      </c>
      <c r="P48" s="190">
        <f>L48+M48+N48+O48</f>
        <v/>
      </c>
      <c r="Q48" s="149">
        <f>IF(P48&gt;'Plan-Annahmen'!$B$69,1,0)</f>
        <v/>
      </c>
      <c r="R48" s="149">
        <f>IF(P48&gt;'Plan-Annahmen'!$B$68,1,0)</f>
        <v/>
      </c>
      <c r="S48" s="149">
        <f>IF(K48&gt;='Plan-Annahmen'!$B$59,1,0)</f>
        <v/>
      </c>
    </row>
    <row r="49" ht="15" customHeight="1" s="116">
      <c r="A49" s="149" t="n">
        <v>13</v>
      </c>
      <c r="B49" s="187">
        <f>EDATE('Plan-Annahmen'!$B$8,A49-1)</f>
        <v/>
      </c>
      <c r="C49" s="181" t="n">
        <v>2</v>
      </c>
      <c r="D49" s="188">
        <f>IF(A49-'Plan-Annahmen'!$B$42&lt;1,0,INDEX($K$37:$K$60,A49-'Plan-Annahmen'!$B$42)*'Plan-Annahmen'!$B$36/12*'Plan-Annahmen'!$B$39*(1+'Plan-Annahmen'!$B$50*'Plan-Annahmen'!$B$51))</f>
        <v/>
      </c>
      <c r="E49" s="184">
        <f>C49+D49</f>
        <v/>
      </c>
      <c r="F49" s="184">
        <f>MIN(E49,MAX(0,'Plan-Annahmen'!$B$16-H48))</f>
        <v/>
      </c>
      <c r="G49" s="184">
        <f>E49-F49</f>
        <v/>
      </c>
      <c r="H49" s="184">
        <f>H48+F49</f>
        <v/>
      </c>
      <c r="I49" s="189">
        <f>I48*(1-'Plan-Annahmen'!$B$48)+F49</f>
        <v/>
      </c>
      <c r="J49" s="189">
        <f>J48*(1-'Plan-Annahmen'!$B$45)+G49</f>
        <v/>
      </c>
      <c r="K49" s="190">
        <f>I49+J49</f>
        <v/>
      </c>
      <c r="L49" s="191" t="n">
        <v>19.5</v>
      </c>
      <c r="M49" s="192">
        <f>K49*'Plan-Annahmen'!$B$71</f>
        <v/>
      </c>
      <c r="N49" s="192">
        <f>E49*'Plan-Annahmen'!$B$72</f>
        <v/>
      </c>
      <c r="O49" s="192">
        <f>'Plan-Annahmen'!$B$70</f>
        <v/>
      </c>
      <c r="P49" s="190">
        <f>L49+M49+N49+O49</f>
        <v/>
      </c>
      <c r="Q49" s="149">
        <f>IF(P49&gt;'Plan-Annahmen'!$B$69,1,0)</f>
        <v/>
      </c>
      <c r="R49" s="149">
        <f>IF(P49&gt;'Plan-Annahmen'!$B$68,1,0)</f>
        <v/>
      </c>
      <c r="S49" s="149">
        <f>IF(K49&gt;='Plan-Annahmen'!$B$59,1,0)</f>
        <v/>
      </c>
    </row>
    <row r="50" ht="15" customHeight="1" s="116">
      <c r="A50" s="149" t="n">
        <v>14</v>
      </c>
      <c r="B50" s="187">
        <f>EDATE('Plan-Annahmen'!$B$8,A50-1)</f>
        <v/>
      </c>
      <c r="C50" s="181" t="n">
        <v>2.5</v>
      </c>
      <c r="D50" s="188">
        <f>IF(A50-'Plan-Annahmen'!$B$42&lt;1,0,INDEX($K$37:$K$60,A50-'Plan-Annahmen'!$B$42)*'Plan-Annahmen'!$B$36/12*'Plan-Annahmen'!$B$39*(1+'Plan-Annahmen'!$B$50*'Plan-Annahmen'!$B$51))</f>
        <v/>
      </c>
      <c r="E50" s="184">
        <f>C50+D50</f>
        <v/>
      </c>
      <c r="F50" s="184">
        <f>MIN(E50,MAX(0,'Plan-Annahmen'!$B$16-H49))</f>
        <v/>
      </c>
      <c r="G50" s="184">
        <f>E50-F50</f>
        <v/>
      </c>
      <c r="H50" s="184">
        <f>H49+F50</f>
        <v/>
      </c>
      <c r="I50" s="189">
        <f>I49*(1-'Plan-Annahmen'!$B$48)+F50</f>
        <v/>
      </c>
      <c r="J50" s="189">
        <f>J49*(1-'Plan-Annahmen'!$B$45)+G50</f>
        <v/>
      </c>
      <c r="K50" s="190">
        <f>I50+J50</f>
        <v/>
      </c>
      <c r="L50" s="191" t="n">
        <v>19.5</v>
      </c>
      <c r="M50" s="192">
        <f>K50*'Plan-Annahmen'!$B$71</f>
        <v/>
      </c>
      <c r="N50" s="192">
        <f>E50*'Plan-Annahmen'!$B$72</f>
        <v/>
      </c>
      <c r="O50" s="192">
        <f>'Plan-Annahmen'!$B$70</f>
        <v/>
      </c>
      <c r="P50" s="190">
        <f>L50+M50+N50+O50</f>
        <v/>
      </c>
      <c r="Q50" s="149">
        <f>IF(P50&gt;'Plan-Annahmen'!$B$69,1,0)</f>
        <v/>
      </c>
      <c r="R50" s="149">
        <f>IF(P50&gt;'Plan-Annahmen'!$B$68,1,0)</f>
        <v/>
      </c>
      <c r="S50" s="149">
        <f>IF(K50&gt;='Plan-Annahmen'!$B$59,1,0)</f>
        <v/>
      </c>
    </row>
    <row r="51" ht="15" customHeight="1" s="116">
      <c r="A51" s="149" t="n">
        <v>15</v>
      </c>
      <c r="B51" s="187">
        <f>EDATE('Plan-Annahmen'!$B$8,A51-1)</f>
        <v/>
      </c>
      <c r="C51" s="181" t="n">
        <v>2</v>
      </c>
      <c r="D51" s="188">
        <f>IF(A51-'Plan-Annahmen'!$B$42&lt;1,0,INDEX($K$37:$K$60,A51-'Plan-Annahmen'!$B$42)*'Plan-Annahmen'!$B$36/12*'Plan-Annahmen'!$B$39*(1+'Plan-Annahmen'!$B$50*'Plan-Annahmen'!$B$51))</f>
        <v/>
      </c>
      <c r="E51" s="184">
        <f>C51+D51</f>
        <v/>
      </c>
      <c r="F51" s="184">
        <f>MIN(E51,MAX(0,'Plan-Annahmen'!$B$16-H50))</f>
        <v/>
      </c>
      <c r="G51" s="184">
        <f>E51-F51</f>
        <v/>
      </c>
      <c r="H51" s="184">
        <f>H50+F51</f>
        <v/>
      </c>
      <c r="I51" s="189">
        <f>I50*(1-'Plan-Annahmen'!$B$48)+F51</f>
        <v/>
      </c>
      <c r="J51" s="189">
        <f>J50*(1-'Plan-Annahmen'!$B$45)+G51</f>
        <v/>
      </c>
      <c r="K51" s="190">
        <f>I51+J51</f>
        <v/>
      </c>
      <c r="L51" s="191" t="n">
        <v>19.5</v>
      </c>
      <c r="M51" s="192">
        <f>K51*'Plan-Annahmen'!$B$71</f>
        <v/>
      </c>
      <c r="N51" s="192">
        <f>E51*'Plan-Annahmen'!$B$72</f>
        <v/>
      </c>
      <c r="O51" s="192">
        <f>'Plan-Annahmen'!$B$70</f>
        <v/>
      </c>
      <c r="P51" s="190">
        <f>L51+M51+N51+O51</f>
        <v/>
      </c>
      <c r="Q51" s="149">
        <f>IF(P51&gt;'Plan-Annahmen'!$B$69,1,0)</f>
        <v/>
      </c>
      <c r="R51" s="149">
        <f>IF(P51&gt;'Plan-Annahmen'!$B$68,1,0)</f>
        <v/>
      </c>
      <c r="S51" s="149">
        <f>IF(K51&gt;='Plan-Annahmen'!$B$59,1,0)</f>
        <v/>
      </c>
    </row>
    <row r="52" ht="15" customHeight="1" s="116">
      <c r="A52" s="149" t="n">
        <v>16</v>
      </c>
      <c r="B52" s="187">
        <f>EDATE('Plan-Annahmen'!$B$8,A52-1)</f>
        <v/>
      </c>
      <c r="C52" s="181" t="n">
        <v>2.25</v>
      </c>
      <c r="D52" s="188">
        <f>IF(A52-'Plan-Annahmen'!$B$42&lt;1,0,INDEX($K$37:$K$60,A52-'Plan-Annahmen'!$B$42)*'Plan-Annahmen'!$B$36/12*'Plan-Annahmen'!$B$39*(1+'Plan-Annahmen'!$B$50*'Plan-Annahmen'!$B$51))</f>
        <v/>
      </c>
      <c r="E52" s="184">
        <f>C52+D52</f>
        <v/>
      </c>
      <c r="F52" s="184">
        <f>MIN(E52,MAX(0,'Plan-Annahmen'!$B$16-H51))</f>
        <v/>
      </c>
      <c r="G52" s="184">
        <f>E52-F52</f>
        <v/>
      </c>
      <c r="H52" s="184">
        <f>H51+F52</f>
        <v/>
      </c>
      <c r="I52" s="189">
        <f>I51*(1-'Plan-Annahmen'!$B$48)+F52</f>
        <v/>
      </c>
      <c r="J52" s="189">
        <f>J51*(1-'Plan-Annahmen'!$B$45)+G52</f>
        <v/>
      </c>
      <c r="K52" s="190">
        <f>I52+J52</f>
        <v/>
      </c>
      <c r="L52" s="191" t="n">
        <v>19.5</v>
      </c>
      <c r="M52" s="192">
        <f>K52*'Plan-Annahmen'!$B$71</f>
        <v/>
      </c>
      <c r="N52" s="192">
        <f>E52*'Plan-Annahmen'!$B$72</f>
        <v/>
      </c>
      <c r="O52" s="192">
        <f>'Plan-Annahmen'!$B$70</f>
        <v/>
      </c>
      <c r="P52" s="190">
        <f>L52+M52+N52+O52</f>
        <v/>
      </c>
      <c r="Q52" s="149">
        <f>IF(P52&gt;'Plan-Annahmen'!$B$69,1,0)</f>
        <v/>
      </c>
      <c r="R52" s="149">
        <f>IF(P52&gt;'Plan-Annahmen'!$B$68,1,0)</f>
        <v/>
      </c>
      <c r="S52" s="149">
        <f>IF(K52&gt;='Plan-Annahmen'!$B$59,1,0)</f>
        <v/>
      </c>
    </row>
    <row r="53" ht="15" customHeight="1" s="116">
      <c r="A53" s="149" t="n">
        <v>17</v>
      </c>
      <c r="B53" s="187">
        <f>EDATE('Plan-Annahmen'!$B$8,A53-1)</f>
        <v/>
      </c>
      <c r="C53" s="181" t="n">
        <v>3.25</v>
      </c>
      <c r="D53" s="188">
        <f>IF(A53-'Plan-Annahmen'!$B$42&lt;1,0,INDEX($K$37:$K$60,A53-'Plan-Annahmen'!$B$42)*'Plan-Annahmen'!$B$36/12*'Plan-Annahmen'!$B$39*(1+'Plan-Annahmen'!$B$50*'Plan-Annahmen'!$B$51))</f>
        <v/>
      </c>
      <c r="E53" s="184">
        <f>C53+D53</f>
        <v/>
      </c>
      <c r="F53" s="184">
        <f>MIN(E53,MAX(0,'Plan-Annahmen'!$B$16-H52))</f>
        <v/>
      </c>
      <c r="G53" s="184">
        <f>E53-F53</f>
        <v/>
      </c>
      <c r="H53" s="184">
        <f>H52+F53</f>
        <v/>
      </c>
      <c r="I53" s="189">
        <f>I52*(1-'Plan-Annahmen'!$B$48)+F53</f>
        <v/>
      </c>
      <c r="J53" s="189">
        <f>J52*(1-'Plan-Annahmen'!$B$45)+G53</f>
        <v/>
      </c>
      <c r="K53" s="190">
        <f>I53+J53</f>
        <v/>
      </c>
      <c r="L53" s="191" t="n">
        <v>19.5</v>
      </c>
      <c r="M53" s="192">
        <f>K53*'Plan-Annahmen'!$B$71</f>
        <v/>
      </c>
      <c r="N53" s="192">
        <f>E53*'Plan-Annahmen'!$B$72</f>
        <v/>
      </c>
      <c r="O53" s="192">
        <f>'Plan-Annahmen'!$B$70</f>
        <v/>
      </c>
      <c r="P53" s="190">
        <f>L53+M53+N53+O53</f>
        <v/>
      </c>
      <c r="Q53" s="149">
        <f>IF(P53&gt;'Plan-Annahmen'!$B$69,1,0)</f>
        <v/>
      </c>
      <c r="R53" s="149">
        <f>IF(P53&gt;'Plan-Annahmen'!$B$68,1,0)</f>
        <v/>
      </c>
      <c r="S53" s="149">
        <f>IF(K53&gt;='Plan-Annahmen'!$B$59,1,0)</f>
        <v/>
      </c>
    </row>
    <row r="54" ht="15" customHeight="1" s="116">
      <c r="A54" s="149" t="n">
        <v>18</v>
      </c>
      <c r="B54" s="187">
        <f>EDATE('Plan-Annahmen'!$B$8,A54-1)</f>
        <v/>
      </c>
      <c r="C54" s="181" t="n">
        <v>2.75</v>
      </c>
      <c r="D54" s="188">
        <f>IF(A54-'Plan-Annahmen'!$B$42&lt;1,0,INDEX($K$37:$K$60,A54-'Plan-Annahmen'!$B$42)*'Plan-Annahmen'!$B$36/12*'Plan-Annahmen'!$B$39*(1+'Plan-Annahmen'!$B$50*'Plan-Annahmen'!$B$51))</f>
        <v/>
      </c>
      <c r="E54" s="184">
        <f>C54+D54</f>
        <v/>
      </c>
      <c r="F54" s="184">
        <f>MIN(E54,MAX(0,'Plan-Annahmen'!$B$16-H53))</f>
        <v/>
      </c>
      <c r="G54" s="184">
        <f>E54-F54</f>
        <v/>
      </c>
      <c r="H54" s="184">
        <f>H53+F54</f>
        <v/>
      </c>
      <c r="I54" s="189">
        <f>I53*(1-'Plan-Annahmen'!$B$48)+F54</f>
        <v/>
      </c>
      <c r="J54" s="189">
        <f>J53*(1-'Plan-Annahmen'!$B$45)+G54</f>
        <v/>
      </c>
      <c r="K54" s="190">
        <f>I54+J54</f>
        <v/>
      </c>
      <c r="L54" s="191" t="n">
        <v>19.5</v>
      </c>
      <c r="M54" s="192">
        <f>K54*'Plan-Annahmen'!$B$71</f>
        <v/>
      </c>
      <c r="N54" s="192">
        <f>E54*'Plan-Annahmen'!$B$72</f>
        <v/>
      </c>
      <c r="O54" s="192">
        <f>'Plan-Annahmen'!$B$70</f>
        <v/>
      </c>
      <c r="P54" s="190">
        <f>L54+M54+N54+O54</f>
        <v/>
      </c>
      <c r="Q54" s="149">
        <f>IF(P54&gt;'Plan-Annahmen'!$B$69,1,0)</f>
        <v/>
      </c>
      <c r="R54" s="149">
        <f>IF(P54&gt;'Plan-Annahmen'!$B$68,1,0)</f>
        <v/>
      </c>
      <c r="S54" s="149">
        <f>IF(K54&gt;='Plan-Annahmen'!$B$59,1,0)</f>
        <v/>
      </c>
    </row>
    <row r="55" ht="15" customHeight="1" s="116">
      <c r="A55" s="149" t="n">
        <v>19</v>
      </c>
      <c r="B55" s="187">
        <f>EDATE('Plan-Annahmen'!$B$8,A55-1)</f>
        <v/>
      </c>
      <c r="C55" s="181" t="n">
        <v>3.25</v>
      </c>
      <c r="D55" s="188">
        <f>IF(A55-'Plan-Annahmen'!$B$42&lt;1,0,INDEX($K$37:$K$60,A55-'Plan-Annahmen'!$B$42)*'Plan-Annahmen'!$B$36/12*'Plan-Annahmen'!$B$39*(1+'Plan-Annahmen'!$B$50*'Plan-Annahmen'!$B$51))</f>
        <v/>
      </c>
      <c r="E55" s="184">
        <f>C55+D55</f>
        <v/>
      </c>
      <c r="F55" s="184">
        <f>MIN(E55,MAX(0,'Plan-Annahmen'!$B$16-H54))</f>
        <v/>
      </c>
      <c r="G55" s="184">
        <f>E55-F55</f>
        <v/>
      </c>
      <c r="H55" s="184">
        <f>H54+F55</f>
        <v/>
      </c>
      <c r="I55" s="189">
        <f>I54*(1-'Plan-Annahmen'!$B$48)+F55</f>
        <v/>
      </c>
      <c r="J55" s="189">
        <f>J54*(1-'Plan-Annahmen'!$B$45)+G55</f>
        <v/>
      </c>
      <c r="K55" s="190">
        <f>I55+J55</f>
        <v/>
      </c>
      <c r="L55" s="191" t="n">
        <v>19.5</v>
      </c>
      <c r="M55" s="192">
        <f>K55*'Plan-Annahmen'!$B$71</f>
        <v/>
      </c>
      <c r="N55" s="192">
        <f>E55*'Plan-Annahmen'!$B$72</f>
        <v/>
      </c>
      <c r="O55" s="192">
        <f>'Plan-Annahmen'!$B$70</f>
        <v/>
      </c>
      <c r="P55" s="190">
        <f>L55+M55+N55+O55</f>
        <v/>
      </c>
      <c r="Q55" s="149">
        <f>IF(P55&gt;'Plan-Annahmen'!$B$69,1,0)</f>
        <v/>
      </c>
      <c r="R55" s="149">
        <f>IF(P55&gt;'Plan-Annahmen'!$B$68,1,0)</f>
        <v/>
      </c>
      <c r="S55" s="149">
        <f>IF(K55&gt;='Plan-Annahmen'!$B$59,1,0)</f>
        <v/>
      </c>
    </row>
    <row r="56" ht="15" customHeight="1" s="116">
      <c r="A56" s="149" t="n">
        <v>20</v>
      </c>
      <c r="B56" s="187">
        <f>EDATE('Plan-Annahmen'!$B$8,A56-1)</f>
        <v/>
      </c>
      <c r="C56" s="181" t="n">
        <v>4</v>
      </c>
      <c r="D56" s="188">
        <f>IF(A56-'Plan-Annahmen'!$B$42&lt;1,0,INDEX($K$37:$K$60,A56-'Plan-Annahmen'!$B$42)*'Plan-Annahmen'!$B$36/12*'Plan-Annahmen'!$B$39*(1+'Plan-Annahmen'!$B$50*'Plan-Annahmen'!$B$51))</f>
        <v/>
      </c>
      <c r="E56" s="184">
        <f>C56+D56</f>
        <v/>
      </c>
      <c r="F56" s="184">
        <f>MIN(E56,MAX(0,'Plan-Annahmen'!$B$16-H55))</f>
        <v/>
      </c>
      <c r="G56" s="184">
        <f>E56-F56</f>
        <v/>
      </c>
      <c r="H56" s="184">
        <f>H55+F56</f>
        <v/>
      </c>
      <c r="I56" s="189">
        <f>I55*(1-'Plan-Annahmen'!$B$48)+F56</f>
        <v/>
      </c>
      <c r="J56" s="189">
        <f>J55*(1-'Plan-Annahmen'!$B$45)+G56</f>
        <v/>
      </c>
      <c r="K56" s="190">
        <f>I56+J56</f>
        <v/>
      </c>
      <c r="L56" s="191" t="n">
        <v>19.5</v>
      </c>
      <c r="M56" s="192">
        <f>K56*'Plan-Annahmen'!$B$71</f>
        <v/>
      </c>
      <c r="N56" s="192">
        <f>E56*'Plan-Annahmen'!$B$72</f>
        <v/>
      </c>
      <c r="O56" s="192">
        <f>'Plan-Annahmen'!$B$70</f>
        <v/>
      </c>
      <c r="P56" s="190">
        <f>L56+M56+N56+O56</f>
        <v/>
      </c>
      <c r="Q56" s="149">
        <f>IF(P56&gt;'Plan-Annahmen'!$B$69,1,0)</f>
        <v/>
      </c>
      <c r="R56" s="149">
        <f>IF(P56&gt;'Plan-Annahmen'!$B$68,1,0)</f>
        <v/>
      </c>
      <c r="S56" s="149">
        <f>IF(K56&gt;='Plan-Annahmen'!$B$59,1,0)</f>
        <v/>
      </c>
    </row>
    <row r="57" ht="15" customHeight="1" s="116">
      <c r="A57" s="149" t="n">
        <v>21</v>
      </c>
      <c r="B57" s="187">
        <f>EDATE('Plan-Annahmen'!$B$8,A57-1)</f>
        <v/>
      </c>
      <c r="C57" s="181" t="n">
        <v>3.5</v>
      </c>
      <c r="D57" s="188">
        <f>IF(A57-'Plan-Annahmen'!$B$42&lt;1,0,INDEX($K$37:$K$60,A57-'Plan-Annahmen'!$B$42)*'Plan-Annahmen'!$B$36/12*'Plan-Annahmen'!$B$39*(1+'Plan-Annahmen'!$B$50*'Plan-Annahmen'!$B$51))</f>
        <v/>
      </c>
      <c r="E57" s="184">
        <f>C57+D57</f>
        <v/>
      </c>
      <c r="F57" s="184">
        <f>MIN(E57,MAX(0,'Plan-Annahmen'!$B$16-H56))</f>
        <v/>
      </c>
      <c r="G57" s="184">
        <f>E57-F57</f>
        <v/>
      </c>
      <c r="H57" s="184">
        <f>H56+F57</f>
        <v/>
      </c>
      <c r="I57" s="189">
        <f>I56*(1-'Plan-Annahmen'!$B$48)+F57</f>
        <v/>
      </c>
      <c r="J57" s="189">
        <f>J56*(1-'Plan-Annahmen'!$B$45)+G57</f>
        <v/>
      </c>
      <c r="K57" s="190">
        <f>I57+J57</f>
        <v/>
      </c>
      <c r="L57" s="191" t="n">
        <v>19.5</v>
      </c>
      <c r="M57" s="192">
        <f>K57*'Plan-Annahmen'!$B$71</f>
        <v/>
      </c>
      <c r="N57" s="192">
        <f>E57*'Plan-Annahmen'!$B$72</f>
        <v/>
      </c>
      <c r="O57" s="192">
        <f>'Plan-Annahmen'!$B$70</f>
        <v/>
      </c>
      <c r="P57" s="190">
        <f>L57+M57+N57+O57</f>
        <v/>
      </c>
      <c r="Q57" s="149">
        <f>IF(P57&gt;'Plan-Annahmen'!$B$69,1,0)</f>
        <v/>
      </c>
      <c r="R57" s="149">
        <f>IF(P57&gt;'Plan-Annahmen'!$B$68,1,0)</f>
        <v/>
      </c>
      <c r="S57" s="149">
        <f>IF(K57&gt;='Plan-Annahmen'!$B$59,1,0)</f>
        <v/>
      </c>
    </row>
    <row r="58" ht="15" customHeight="1" s="116">
      <c r="A58" s="149" t="n">
        <v>22</v>
      </c>
      <c r="B58" s="187">
        <f>EDATE('Plan-Annahmen'!$B$8,A58-1)</f>
        <v/>
      </c>
      <c r="C58" s="181" t="n">
        <v>3.5</v>
      </c>
      <c r="D58" s="188">
        <f>IF(A58-'Plan-Annahmen'!$B$42&lt;1,0,INDEX($K$37:$K$60,A58-'Plan-Annahmen'!$B$42)*'Plan-Annahmen'!$B$36/12*'Plan-Annahmen'!$B$39*(1+'Plan-Annahmen'!$B$50*'Plan-Annahmen'!$B$51))</f>
        <v/>
      </c>
      <c r="E58" s="184">
        <f>C58+D58</f>
        <v/>
      </c>
      <c r="F58" s="184">
        <f>MIN(E58,MAX(0,'Plan-Annahmen'!$B$16-H57))</f>
        <v/>
      </c>
      <c r="G58" s="184">
        <f>E58-F58</f>
        <v/>
      </c>
      <c r="H58" s="184">
        <f>H57+F58</f>
        <v/>
      </c>
      <c r="I58" s="189">
        <f>I57*(1-'Plan-Annahmen'!$B$48)+F58</f>
        <v/>
      </c>
      <c r="J58" s="189">
        <f>J57*(1-'Plan-Annahmen'!$B$45)+G58</f>
        <v/>
      </c>
      <c r="K58" s="190">
        <f>I58+J58</f>
        <v/>
      </c>
      <c r="L58" s="191" t="n">
        <v>19.5</v>
      </c>
      <c r="M58" s="192">
        <f>K58*'Plan-Annahmen'!$B$71</f>
        <v/>
      </c>
      <c r="N58" s="192">
        <f>E58*'Plan-Annahmen'!$B$72</f>
        <v/>
      </c>
      <c r="O58" s="192">
        <f>'Plan-Annahmen'!$B$70</f>
        <v/>
      </c>
      <c r="P58" s="190">
        <f>L58+M58+N58+O58</f>
        <v/>
      </c>
      <c r="Q58" s="149">
        <f>IF(P58&gt;'Plan-Annahmen'!$B$69,1,0)</f>
        <v/>
      </c>
      <c r="R58" s="149">
        <f>IF(P58&gt;'Plan-Annahmen'!$B$68,1,0)</f>
        <v/>
      </c>
      <c r="S58" s="149">
        <f>IF(K58&gt;='Plan-Annahmen'!$B$59,1,0)</f>
        <v/>
      </c>
    </row>
    <row r="59" ht="15" customHeight="1" s="116">
      <c r="A59" s="149" t="n">
        <v>23</v>
      </c>
      <c r="B59" s="187">
        <f>EDATE('Plan-Annahmen'!$B$8,A59-1)</f>
        <v/>
      </c>
      <c r="C59" s="181" t="n">
        <v>4</v>
      </c>
      <c r="D59" s="188">
        <f>IF(A59-'Plan-Annahmen'!$B$42&lt;1,0,INDEX($K$37:$K$60,A59-'Plan-Annahmen'!$B$42)*'Plan-Annahmen'!$B$36/12*'Plan-Annahmen'!$B$39*(1+'Plan-Annahmen'!$B$50*'Plan-Annahmen'!$B$51))</f>
        <v/>
      </c>
      <c r="E59" s="184">
        <f>C59+D59</f>
        <v/>
      </c>
      <c r="F59" s="184">
        <f>MIN(E59,MAX(0,'Plan-Annahmen'!$B$16-H58))</f>
        <v/>
      </c>
      <c r="G59" s="184">
        <f>E59-F59</f>
        <v/>
      </c>
      <c r="H59" s="184">
        <f>H58+F59</f>
        <v/>
      </c>
      <c r="I59" s="189">
        <f>I58*(1-'Plan-Annahmen'!$B$48)+F59</f>
        <v/>
      </c>
      <c r="J59" s="189">
        <f>J58*(1-'Plan-Annahmen'!$B$45)+G59</f>
        <v/>
      </c>
      <c r="K59" s="190">
        <f>I59+J59</f>
        <v/>
      </c>
      <c r="L59" s="191" t="n">
        <v>19.5</v>
      </c>
      <c r="M59" s="192">
        <f>K59*'Plan-Annahmen'!$B$71</f>
        <v/>
      </c>
      <c r="N59" s="192">
        <f>E59*'Plan-Annahmen'!$B$72</f>
        <v/>
      </c>
      <c r="O59" s="192">
        <f>'Plan-Annahmen'!$B$70</f>
        <v/>
      </c>
      <c r="P59" s="190">
        <f>L59+M59+N59+O59</f>
        <v/>
      </c>
      <c r="Q59" s="149">
        <f>IF(P59&gt;'Plan-Annahmen'!$B$69,1,0)</f>
        <v/>
      </c>
      <c r="R59" s="149">
        <f>IF(P59&gt;'Plan-Annahmen'!$B$68,1,0)</f>
        <v/>
      </c>
      <c r="S59" s="149">
        <f>IF(K59&gt;='Plan-Annahmen'!$B$59,1,0)</f>
        <v/>
      </c>
    </row>
    <row r="60" ht="15" customHeight="1" s="116">
      <c r="A60" s="149" t="n">
        <v>24</v>
      </c>
      <c r="B60" s="187">
        <f>EDATE('Plan-Annahmen'!$B$8,A60-1)</f>
        <v/>
      </c>
      <c r="C60" s="181" t="n">
        <v>3.5</v>
      </c>
      <c r="D60" s="188">
        <f>IF(A60-'Plan-Annahmen'!$B$42&lt;1,0,INDEX($K$37:$K$60,A60-'Plan-Annahmen'!$B$42)*'Plan-Annahmen'!$B$36/12*'Plan-Annahmen'!$B$39*(1+'Plan-Annahmen'!$B$50*'Plan-Annahmen'!$B$51))</f>
        <v/>
      </c>
      <c r="E60" s="184">
        <f>C60+D60</f>
        <v/>
      </c>
      <c r="F60" s="184">
        <f>MIN(E60,MAX(0,'Plan-Annahmen'!$B$16-H59))</f>
        <v/>
      </c>
      <c r="G60" s="184">
        <f>E60-F60</f>
        <v/>
      </c>
      <c r="H60" s="184">
        <f>H59+F60</f>
        <v/>
      </c>
      <c r="I60" s="189">
        <f>I59*(1-'Plan-Annahmen'!$B$48)+F60</f>
        <v/>
      </c>
      <c r="J60" s="189">
        <f>J59*(1-'Plan-Annahmen'!$B$45)+G60</f>
        <v/>
      </c>
      <c r="K60" s="190">
        <f>I60+J60</f>
        <v/>
      </c>
      <c r="L60" s="191" t="n">
        <v>19.5</v>
      </c>
      <c r="M60" s="192">
        <f>K60*'Plan-Annahmen'!$B$71</f>
        <v/>
      </c>
      <c r="N60" s="192">
        <f>E60*'Plan-Annahmen'!$B$72</f>
        <v/>
      </c>
      <c r="O60" s="192">
        <f>'Plan-Annahmen'!$B$70</f>
        <v/>
      </c>
      <c r="P60" s="190">
        <f>L60+M60+N60+O60</f>
        <v/>
      </c>
      <c r="Q60" s="149">
        <f>IF(P60&gt;'Plan-Annahmen'!$B$69,1,0)</f>
        <v/>
      </c>
      <c r="R60" s="149">
        <f>IF(P60&gt;'Plan-Annahmen'!$B$68,1,0)</f>
        <v/>
      </c>
      <c r="S60" s="149">
        <f>IF(K60&gt;='Plan-Annahmen'!$B$59,1,0)</f>
        <v/>
      </c>
    </row>
    <row r="61" ht="15" customHeight="1" s="116">
      <c r="A61" s="129" t="inlineStr">
        <is>
          <t>Σ / Ende</t>
        </is>
      </c>
      <c r="B61" s="130" t="n"/>
      <c r="C61" s="193">
        <f>SUM(C37:C60)</f>
        <v/>
      </c>
      <c r="D61" s="193">
        <f>SUM(D37:D60)</f>
        <v/>
      </c>
      <c r="E61" s="193">
        <f>SUM(E37:E60)</f>
        <v/>
      </c>
      <c r="F61" s="130" t="n"/>
      <c r="G61" s="130" t="n"/>
      <c r="H61" s="130" t="n"/>
      <c r="I61" s="130" t="n"/>
      <c r="J61" s="130" t="n"/>
      <c r="K61" s="193">
        <f>K60</f>
        <v/>
      </c>
      <c r="L61" s="130" t="n"/>
      <c r="M61" s="130" t="n"/>
      <c r="N61" s="130" t="n"/>
      <c r="O61" s="130" t="n"/>
      <c r="P61" s="130" t="n"/>
      <c r="Q61" s="171">
        <f>SUM(Q37:Q60)</f>
        <v/>
      </c>
      <c r="R61" s="171">
        <f>SUM(R37:R60)</f>
        <v/>
      </c>
      <c r="S61" s="171">
        <f>IFERROR(INDEX($A$37:$A$60,MATCH(1,$S$37:$S$60,0)),999)</f>
        <v/>
      </c>
    </row>
    <row r="64" ht="15" customHeight="1" s="116">
      <c r="A64" s="133" t="inlineStr">
        <is>
          <t>Szenario: Optimistisch</t>
        </is>
      </c>
      <c r="C64" s="118" t="inlineStr">
        <is>
          <t>Kanäle Σ 103.5 Betriebe (Marketing)</t>
        </is>
      </c>
    </row>
    <row r="65" ht="39" customHeight="1" s="116">
      <c r="A65" s="119" t="inlineStr">
        <is>
          <t>Monat</t>
        </is>
      </c>
      <c r="B65" s="119" t="inlineStr">
        <is>
          <t>Kalendermonat</t>
        </is>
      </c>
      <c r="C65" s="119" t="inlineStr">
        <is>
          <t>Neukunden Kanäle</t>
        </is>
      </c>
      <c r="D65" s="119" t="inlineStr">
        <is>
          <t>Neukunden Mundpropaganda</t>
        </is>
      </c>
      <c r="E65" s="119" t="inlineStr">
        <is>
          <t>Neukunden gesamt</t>
        </is>
      </c>
      <c r="F65" s="119" t="inlineStr">
        <is>
          <t>davon Gründerplätze</t>
        </is>
      </c>
      <c r="G65" s="119" t="inlineStr">
        <is>
          <t>davon Standard</t>
        </is>
      </c>
      <c r="H65" s="119" t="inlineStr">
        <is>
          <t>Gründerplätze vergeben (kum.)</t>
        </is>
      </c>
      <c r="I65" s="119" t="inlineStr">
        <is>
          <t>Gründerkunden aktiv</t>
        </is>
      </c>
      <c r="J65" s="119" t="inlineStr">
        <is>
          <t>Standardkunden aktiv</t>
        </is>
      </c>
      <c r="K65" s="119" t="inlineStr">
        <is>
          <t>Kunden aktiv gesamt</t>
        </is>
      </c>
      <c r="L65" s="119" t="inlineStr">
        <is>
          <t>Std. Vertrieb (Marketing)</t>
        </is>
      </c>
      <c r="M65" s="119" t="inlineStr">
        <is>
          <t>Std. Support</t>
        </is>
      </c>
      <c r="N65" s="119" t="inlineStr">
        <is>
          <t>Std. Onboarding</t>
        </is>
      </c>
      <c r="O65" s="119" t="inlineStr">
        <is>
          <t>Std. Grundlast</t>
        </is>
      </c>
      <c r="P65" s="119" t="inlineStr">
        <is>
          <t>Std. gesamt</t>
        </is>
      </c>
      <c r="Q65" s="119" t="inlineStr">
        <is>
          <t>über Dauerlinie (65)?</t>
        </is>
      </c>
      <c r="R65" s="119" t="inlineStr">
        <is>
          <t>über Sprintlinie (86)?</t>
        </is>
      </c>
      <c r="S65" s="119" t="inlineStr">
        <is>
          <t>UG-Schwelle erreicht?</t>
        </is>
      </c>
    </row>
    <row r="66" ht="15" customHeight="1" s="116">
      <c r="A66" s="149" t="n">
        <v>1</v>
      </c>
      <c r="B66" s="187">
        <f>EDATE('Plan-Annahmen'!$B$8,A66-1)</f>
        <v/>
      </c>
      <c r="C66" s="181" t="n">
        <v>0</v>
      </c>
      <c r="D66" s="188">
        <f>IF(A66-'Plan-Annahmen'!$B$43&lt;1,0,INDEX($K$66:$K$89,A66-'Plan-Annahmen'!$B$43)*'Plan-Annahmen'!$B$37/12*'Plan-Annahmen'!$B$40*(1+'Plan-Annahmen'!$B$50*'Plan-Annahmen'!$B$51))</f>
        <v/>
      </c>
      <c r="E66" s="184">
        <f>C66+D66</f>
        <v/>
      </c>
      <c r="F66" s="184">
        <f>MIN(E66,MAX(0,'Plan-Annahmen'!$B$16-0))</f>
        <v/>
      </c>
      <c r="G66" s="184">
        <f>E66-F66</f>
        <v/>
      </c>
      <c r="H66" s="184">
        <f>0+F66</f>
        <v/>
      </c>
      <c r="I66" s="189">
        <f>0*(1-'Plan-Annahmen'!$B$49)+F66</f>
        <v/>
      </c>
      <c r="J66" s="189">
        <f>0*(1-'Plan-Annahmen'!$B$46)+G66</f>
        <v/>
      </c>
      <c r="K66" s="190">
        <f>I66+J66</f>
        <v/>
      </c>
      <c r="L66" s="191" t="n">
        <v>4</v>
      </c>
      <c r="M66" s="192">
        <f>K66*'Plan-Annahmen'!$B$71</f>
        <v/>
      </c>
      <c r="N66" s="192">
        <f>E66*'Plan-Annahmen'!$B$72</f>
        <v/>
      </c>
      <c r="O66" s="192">
        <f>'Plan-Annahmen'!$B$70</f>
        <v/>
      </c>
      <c r="P66" s="190">
        <f>L66+M66+N66+O66</f>
        <v/>
      </c>
      <c r="Q66" s="149">
        <f>IF(P66&gt;'Plan-Annahmen'!$B$69,1,0)</f>
        <v/>
      </c>
      <c r="R66" s="149">
        <f>IF(P66&gt;'Plan-Annahmen'!$B$68,1,0)</f>
        <v/>
      </c>
      <c r="S66" s="149">
        <f>IF(K66&gt;='Plan-Annahmen'!$B$59,1,0)</f>
        <v/>
      </c>
    </row>
    <row r="67" ht="15" customHeight="1" s="116">
      <c r="A67" s="149" t="n">
        <v>2</v>
      </c>
      <c r="B67" s="187">
        <f>EDATE('Plan-Annahmen'!$B$8,A67-1)</f>
        <v/>
      </c>
      <c r="C67" s="181" t="n">
        <v>0</v>
      </c>
      <c r="D67" s="188">
        <f>IF(A67-'Plan-Annahmen'!$B$43&lt;1,0,INDEX($K$66:$K$89,A67-'Plan-Annahmen'!$B$43)*'Plan-Annahmen'!$B$37/12*'Plan-Annahmen'!$B$40*(1+'Plan-Annahmen'!$B$50*'Plan-Annahmen'!$B$51))</f>
        <v/>
      </c>
      <c r="E67" s="184">
        <f>C67+D67</f>
        <v/>
      </c>
      <c r="F67" s="184">
        <f>MIN(E67,MAX(0,'Plan-Annahmen'!$B$16-H66))</f>
        <v/>
      </c>
      <c r="G67" s="184">
        <f>E67-F67</f>
        <v/>
      </c>
      <c r="H67" s="184">
        <f>H66+F67</f>
        <v/>
      </c>
      <c r="I67" s="189">
        <f>I66*(1-'Plan-Annahmen'!$B$49)+F67</f>
        <v/>
      </c>
      <c r="J67" s="189">
        <f>J66*(1-'Plan-Annahmen'!$B$46)+G67</f>
        <v/>
      </c>
      <c r="K67" s="190">
        <f>I67+J67</f>
        <v/>
      </c>
      <c r="L67" s="191" t="n">
        <v>18</v>
      </c>
      <c r="M67" s="192">
        <f>K67*'Plan-Annahmen'!$B$71</f>
        <v/>
      </c>
      <c r="N67" s="192">
        <f>E67*'Plan-Annahmen'!$B$72</f>
        <v/>
      </c>
      <c r="O67" s="192">
        <f>'Plan-Annahmen'!$B$70</f>
        <v/>
      </c>
      <c r="P67" s="190">
        <f>L67+M67+N67+O67</f>
        <v/>
      </c>
      <c r="Q67" s="149">
        <f>IF(P67&gt;'Plan-Annahmen'!$B$69,1,0)</f>
        <v/>
      </c>
      <c r="R67" s="149">
        <f>IF(P67&gt;'Plan-Annahmen'!$B$68,1,0)</f>
        <v/>
      </c>
      <c r="S67" s="149">
        <f>IF(K67&gt;='Plan-Annahmen'!$B$59,1,0)</f>
        <v/>
      </c>
    </row>
    <row r="68" ht="15" customHeight="1" s="116">
      <c r="A68" s="149" t="n">
        <v>3</v>
      </c>
      <c r="B68" s="187">
        <f>EDATE('Plan-Annahmen'!$B$8,A68-1)</f>
        <v/>
      </c>
      <c r="C68" s="181" t="n">
        <v>0</v>
      </c>
      <c r="D68" s="188">
        <f>IF(A68-'Plan-Annahmen'!$B$43&lt;1,0,INDEX($K$66:$K$89,A68-'Plan-Annahmen'!$B$43)*'Plan-Annahmen'!$B$37/12*'Plan-Annahmen'!$B$40*(1+'Plan-Annahmen'!$B$50*'Plan-Annahmen'!$B$51))</f>
        <v/>
      </c>
      <c r="E68" s="184">
        <f>C68+D68</f>
        <v/>
      </c>
      <c r="F68" s="184">
        <f>MIN(E68,MAX(0,'Plan-Annahmen'!$B$16-H67))</f>
        <v/>
      </c>
      <c r="G68" s="184">
        <f>E68-F68</f>
        <v/>
      </c>
      <c r="H68" s="184">
        <f>H67+F68</f>
        <v/>
      </c>
      <c r="I68" s="189">
        <f>I67*(1-'Plan-Annahmen'!$B$49)+F68</f>
        <v/>
      </c>
      <c r="J68" s="189">
        <f>J67*(1-'Plan-Annahmen'!$B$46)+G68</f>
        <v/>
      </c>
      <c r="K68" s="190">
        <f>I68+J68</f>
        <v/>
      </c>
      <c r="L68" s="191" t="n">
        <v>5</v>
      </c>
      <c r="M68" s="192">
        <f>K68*'Plan-Annahmen'!$B$71</f>
        <v/>
      </c>
      <c r="N68" s="192">
        <f>E68*'Plan-Annahmen'!$B$72</f>
        <v/>
      </c>
      <c r="O68" s="192">
        <f>'Plan-Annahmen'!$B$70</f>
        <v/>
      </c>
      <c r="P68" s="190">
        <f>L68+M68+N68+O68</f>
        <v/>
      </c>
      <c r="Q68" s="149">
        <f>IF(P68&gt;'Plan-Annahmen'!$B$69,1,0)</f>
        <v/>
      </c>
      <c r="R68" s="149">
        <f>IF(P68&gt;'Plan-Annahmen'!$B$68,1,0)</f>
        <v/>
      </c>
      <c r="S68" s="149">
        <f>IF(K68&gt;='Plan-Annahmen'!$B$59,1,0)</f>
        <v/>
      </c>
    </row>
    <row r="69" ht="15" customHeight="1" s="116">
      <c r="A69" s="149" t="n">
        <v>4</v>
      </c>
      <c r="B69" s="187">
        <f>EDATE('Plan-Annahmen'!$B$8,A69-1)</f>
        <v/>
      </c>
      <c r="C69" s="181" t="n">
        <v>1</v>
      </c>
      <c r="D69" s="188">
        <f>IF(A69-'Plan-Annahmen'!$B$43&lt;1,0,INDEX($K$66:$K$89,A69-'Plan-Annahmen'!$B$43)*'Plan-Annahmen'!$B$37/12*'Plan-Annahmen'!$B$40*(1+'Plan-Annahmen'!$B$50*'Plan-Annahmen'!$B$51))</f>
        <v/>
      </c>
      <c r="E69" s="184">
        <f>C69+D69</f>
        <v/>
      </c>
      <c r="F69" s="184">
        <f>MIN(E69,MAX(0,'Plan-Annahmen'!$B$16-H68))</f>
        <v/>
      </c>
      <c r="G69" s="184">
        <f>E69-F69</f>
        <v/>
      </c>
      <c r="H69" s="184">
        <f>H68+F69</f>
        <v/>
      </c>
      <c r="I69" s="189">
        <f>I68*(1-'Plan-Annahmen'!$B$49)+F69</f>
        <v/>
      </c>
      <c r="J69" s="189">
        <f>J68*(1-'Plan-Annahmen'!$B$46)+G69</f>
        <v/>
      </c>
      <c r="K69" s="190">
        <f>I69+J69</f>
        <v/>
      </c>
      <c r="L69" s="191" t="n">
        <v>15</v>
      </c>
      <c r="M69" s="192">
        <f>K69*'Plan-Annahmen'!$B$71</f>
        <v/>
      </c>
      <c r="N69" s="192">
        <f>E69*'Plan-Annahmen'!$B$72</f>
        <v/>
      </c>
      <c r="O69" s="192">
        <f>'Plan-Annahmen'!$B$70</f>
        <v/>
      </c>
      <c r="P69" s="190">
        <f>L69+M69+N69+O69</f>
        <v/>
      </c>
      <c r="Q69" s="149">
        <f>IF(P69&gt;'Plan-Annahmen'!$B$69,1,0)</f>
        <v/>
      </c>
      <c r="R69" s="149">
        <f>IF(P69&gt;'Plan-Annahmen'!$B$68,1,0)</f>
        <v/>
      </c>
      <c r="S69" s="149">
        <f>IF(K69&gt;='Plan-Annahmen'!$B$59,1,0)</f>
        <v/>
      </c>
    </row>
    <row r="70" ht="15" customHeight="1" s="116">
      <c r="A70" s="149" t="n">
        <v>5</v>
      </c>
      <c r="B70" s="187">
        <f>EDATE('Plan-Annahmen'!$B$8,A70-1)</f>
        <v/>
      </c>
      <c r="C70" s="181" t="n">
        <v>2.5</v>
      </c>
      <c r="D70" s="188">
        <f>IF(A70-'Plan-Annahmen'!$B$43&lt;1,0,INDEX($K$66:$K$89,A70-'Plan-Annahmen'!$B$43)*'Plan-Annahmen'!$B$37/12*'Plan-Annahmen'!$B$40*(1+'Plan-Annahmen'!$B$50*'Plan-Annahmen'!$B$51))</f>
        <v/>
      </c>
      <c r="E70" s="184">
        <f>C70+D70</f>
        <v/>
      </c>
      <c r="F70" s="184">
        <f>MIN(E70,MAX(0,'Plan-Annahmen'!$B$16-H69))</f>
        <v/>
      </c>
      <c r="G70" s="184">
        <f>E70-F70</f>
        <v/>
      </c>
      <c r="H70" s="184">
        <f>H69+F70</f>
        <v/>
      </c>
      <c r="I70" s="189">
        <f>I69*(1-'Plan-Annahmen'!$B$49)+F70</f>
        <v/>
      </c>
      <c r="J70" s="189">
        <f>J69*(1-'Plan-Annahmen'!$B$46)+G70</f>
        <v/>
      </c>
      <c r="K70" s="190">
        <f>I70+J70</f>
        <v/>
      </c>
      <c r="L70" s="191" t="n">
        <v>16</v>
      </c>
      <c r="M70" s="192">
        <f>K70*'Plan-Annahmen'!$B$71</f>
        <v/>
      </c>
      <c r="N70" s="192">
        <f>E70*'Plan-Annahmen'!$B$72</f>
        <v/>
      </c>
      <c r="O70" s="192">
        <f>'Plan-Annahmen'!$B$70</f>
        <v/>
      </c>
      <c r="P70" s="190">
        <f>L70+M70+N70+O70</f>
        <v/>
      </c>
      <c r="Q70" s="149">
        <f>IF(P70&gt;'Plan-Annahmen'!$B$69,1,0)</f>
        <v/>
      </c>
      <c r="R70" s="149">
        <f>IF(P70&gt;'Plan-Annahmen'!$B$68,1,0)</f>
        <v/>
      </c>
      <c r="S70" s="149">
        <f>IF(K70&gt;='Plan-Annahmen'!$B$59,1,0)</f>
        <v/>
      </c>
    </row>
    <row r="71" ht="15" customHeight="1" s="116">
      <c r="A71" s="149" t="n">
        <v>6</v>
      </c>
      <c r="B71" s="187">
        <f>EDATE('Plan-Annahmen'!$B$8,A71-1)</f>
        <v/>
      </c>
      <c r="C71" s="181" t="n">
        <v>4</v>
      </c>
      <c r="D71" s="188">
        <f>IF(A71-'Plan-Annahmen'!$B$43&lt;1,0,INDEX($K$66:$K$89,A71-'Plan-Annahmen'!$B$43)*'Plan-Annahmen'!$B$37/12*'Plan-Annahmen'!$B$40*(1+'Plan-Annahmen'!$B$50*'Plan-Annahmen'!$B$51))</f>
        <v/>
      </c>
      <c r="E71" s="184">
        <f>C71+D71</f>
        <v/>
      </c>
      <c r="F71" s="184">
        <f>MIN(E71,MAX(0,'Plan-Annahmen'!$B$16-H70))</f>
        <v/>
      </c>
      <c r="G71" s="184">
        <f>E71-F71</f>
        <v/>
      </c>
      <c r="H71" s="184">
        <f>H70+F71</f>
        <v/>
      </c>
      <c r="I71" s="189">
        <f>I70*(1-'Plan-Annahmen'!$B$49)+F71</f>
        <v/>
      </c>
      <c r="J71" s="189">
        <f>J70*(1-'Plan-Annahmen'!$B$46)+G71</f>
        <v/>
      </c>
      <c r="K71" s="190">
        <f>I71+J71</f>
        <v/>
      </c>
      <c r="L71" s="191" t="n">
        <v>16</v>
      </c>
      <c r="M71" s="192">
        <f>K71*'Plan-Annahmen'!$B$71</f>
        <v/>
      </c>
      <c r="N71" s="192">
        <f>E71*'Plan-Annahmen'!$B$72</f>
        <v/>
      </c>
      <c r="O71" s="192">
        <f>'Plan-Annahmen'!$B$70</f>
        <v/>
      </c>
      <c r="P71" s="190">
        <f>L71+M71+N71+O71</f>
        <v/>
      </c>
      <c r="Q71" s="149">
        <f>IF(P71&gt;'Plan-Annahmen'!$B$69,1,0)</f>
        <v/>
      </c>
      <c r="R71" s="149">
        <f>IF(P71&gt;'Plan-Annahmen'!$B$68,1,0)</f>
        <v/>
      </c>
      <c r="S71" s="149">
        <f>IF(K71&gt;='Plan-Annahmen'!$B$59,1,0)</f>
        <v/>
      </c>
    </row>
    <row r="72" ht="15" customHeight="1" s="116">
      <c r="A72" s="149" t="n">
        <v>7</v>
      </c>
      <c r="B72" s="187">
        <f>EDATE('Plan-Annahmen'!$B$8,A72-1)</f>
        <v/>
      </c>
      <c r="C72" s="181" t="n">
        <v>4</v>
      </c>
      <c r="D72" s="188">
        <f>IF(A72-'Plan-Annahmen'!$B$43&lt;1,0,INDEX($K$66:$K$89,A72-'Plan-Annahmen'!$B$43)*'Plan-Annahmen'!$B$37/12*'Plan-Annahmen'!$B$40*(1+'Plan-Annahmen'!$B$50*'Plan-Annahmen'!$B$51))</f>
        <v/>
      </c>
      <c r="E72" s="184">
        <f>C72+D72</f>
        <v/>
      </c>
      <c r="F72" s="184">
        <f>MIN(E72,MAX(0,'Plan-Annahmen'!$B$16-H71))</f>
        <v/>
      </c>
      <c r="G72" s="184">
        <f>E72-F72</f>
        <v/>
      </c>
      <c r="H72" s="184">
        <f>H71+F72</f>
        <v/>
      </c>
      <c r="I72" s="189">
        <f>I71*(1-'Plan-Annahmen'!$B$49)+F72</f>
        <v/>
      </c>
      <c r="J72" s="189">
        <f>J71*(1-'Plan-Annahmen'!$B$46)+G72</f>
        <v/>
      </c>
      <c r="K72" s="190">
        <f>I72+J72</f>
        <v/>
      </c>
      <c r="L72" s="191" t="n">
        <v>16.5</v>
      </c>
      <c r="M72" s="192">
        <f>K72*'Plan-Annahmen'!$B$71</f>
        <v/>
      </c>
      <c r="N72" s="192">
        <f>E72*'Plan-Annahmen'!$B$72</f>
        <v/>
      </c>
      <c r="O72" s="192">
        <f>'Plan-Annahmen'!$B$70</f>
        <v/>
      </c>
      <c r="P72" s="190">
        <f>L72+M72+N72+O72</f>
        <v/>
      </c>
      <c r="Q72" s="149">
        <f>IF(P72&gt;'Plan-Annahmen'!$B$69,1,0)</f>
        <v/>
      </c>
      <c r="R72" s="149">
        <f>IF(P72&gt;'Plan-Annahmen'!$B$68,1,0)</f>
        <v/>
      </c>
      <c r="S72" s="149">
        <f>IF(K72&gt;='Plan-Annahmen'!$B$59,1,0)</f>
        <v/>
      </c>
    </row>
    <row r="73" ht="15" customHeight="1" s="116">
      <c r="A73" s="149" t="n">
        <v>8</v>
      </c>
      <c r="B73" s="187">
        <f>EDATE('Plan-Annahmen'!$B$8,A73-1)</f>
        <v/>
      </c>
      <c r="C73" s="181" t="n">
        <v>3</v>
      </c>
      <c r="D73" s="188">
        <f>IF(A73-'Plan-Annahmen'!$B$43&lt;1,0,INDEX($K$66:$K$89,A73-'Plan-Annahmen'!$B$43)*'Plan-Annahmen'!$B$37/12*'Plan-Annahmen'!$B$40*(1+'Plan-Annahmen'!$B$50*'Plan-Annahmen'!$B$51))</f>
        <v/>
      </c>
      <c r="E73" s="184">
        <f>C73+D73</f>
        <v/>
      </c>
      <c r="F73" s="184">
        <f>MIN(E73,MAX(0,'Plan-Annahmen'!$B$16-H72))</f>
        <v/>
      </c>
      <c r="G73" s="184">
        <f>E73-F73</f>
        <v/>
      </c>
      <c r="H73" s="184">
        <f>H72+F73</f>
        <v/>
      </c>
      <c r="I73" s="189">
        <f>I72*(1-'Plan-Annahmen'!$B$49)+F73</f>
        <v/>
      </c>
      <c r="J73" s="189">
        <f>J72*(1-'Plan-Annahmen'!$B$46)+G73</f>
        <v/>
      </c>
      <c r="K73" s="190">
        <f>I73+J73</f>
        <v/>
      </c>
      <c r="L73" s="191" t="n">
        <v>20.5</v>
      </c>
      <c r="M73" s="192">
        <f>K73*'Plan-Annahmen'!$B$71</f>
        <v/>
      </c>
      <c r="N73" s="192">
        <f>E73*'Plan-Annahmen'!$B$72</f>
        <v/>
      </c>
      <c r="O73" s="192">
        <f>'Plan-Annahmen'!$B$70</f>
        <v/>
      </c>
      <c r="P73" s="190">
        <f>L73+M73+N73+O73</f>
        <v/>
      </c>
      <c r="Q73" s="149">
        <f>IF(P73&gt;'Plan-Annahmen'!$B$69,1,0)</f>
        <v/>
      </c>
      <c r="R73" s="149">
        <f>IF(P73&gt;'Plan-Annahmen'!$B$68,1,0)</f>
        <v/>
      </c>
      <c r="S73" s="149">
        <f>IF(K73&gt;='Plan-Annahmen'!$B$59,1,0)</f>
        <v/>
      </c>
    </row>
    <row r="74" ht="15" customHeight="1" s="116">
      <c r="A74" s="149" t="n">
        <v>9</v>
      </c>
      <c r="B74" s="187">
        <f>EDATE('Plan-Annahmen'!$B$8,A74-1)</f>
        <v/>
      </c>
      <c r="C74" s="181" t="n">
        <v>3.5</v>
      </c>
      <c r="D74" s="188">
        <f>IF(A74-'Plan-Annahmen'!$B$43&lt;1,0,INDEX($K$66:$K$89,A74-'Plan-Annahmen'!$B$43)*'Plan-Annahmen'!$B$37/12*'Plan-Annahmen'!$B$40*(1+'Plan-Annahmen'!$B$50*'Plan-Annahmen'!$B$51))</f>
        <v/>
      </c>
      <c r="E74" s="184">
        <f>C74+D74</f>
        <v/>
      </c>
      <c r="F74" s="184">
        <f>MIN(E74,MAX(0,'Plan-Annahmen'!$B$16-H73))</f>
        <v/>
      </c>
      <c r="G74" s="184">
        <f>E74-F74</f>
        <v/>
      </c>
      <c r="H74" s="184">
        <f>H73+F74</f>
        <v/>
      </c>
      <c r="I74" s="189">
        <f>I73*(1-'Plan-Annahmen'!$B$49)+F74</f>
        <v/>
      </c>
      <c r="J74" s="189">
        <f>J73*(1-'Plan-Annahmen'!$B$46)+G74</f>
        <v/>
      </c>
      <c r="K74" s="190">
        <f>I74+J74</f>
        <v/>
      </c>
      <c r="L74" s="191" t="n">
        <v>20.5</v>
      </c>
      <c r="M74" s="192">
        <f>K74*'Plan-Annahmen'!$B$71</f>
        <v/>
      </c>
      <c r="N74" s="192">
        <f>E74*'Plan-Annahmen'!$B$72</f>
        <v/>
      </c>
      <c r="O74" s="192">
        <f>'Plan-Annahmen'!$B$70</f>
        <v/>
      </c>
      <c r="P74" s="190">
        <f>L74+M74+N74+O74</f>
        <v/>
      </c>
      <c r="Q74" s="149">
        <f>IF(P74&gt;'Plan-Annahmen'!$B$69,1,0)</f>
        <v/>
      </c>
      <c r="R74" s="149">
        <f>IF(P74&gt;'Plan-Annahmen'!$B$68,1,0)</f>
        <v/>
      </c>
      <c r="S74" s="149">
        <f>IF(K74&gt;='Plan-Annahmen'!$B$59,1,0)</f>
        <v/>
      </c>
    </row>
    <row r="75" ht="15" customHeight="1" s="116">
      <c r="A75" s="149" t="n">
        <v>10</v>
      </c>
      <c r="B75" s="187">
        <f>EDATE('Plan-Annahmen'!$B$8,A75-1)</f>
        <v/>
      </c>
      <c r="C75" s="181" t="n">
        <v>3.5</v>
      </c>
      <c r="D75" s="188">
        <f>IF(A75-'Plan-Annahmen'!$B$43&lt;1,0,INDEX($K$66:$K$89,A75-'Plan-Annahmen'!$B$43)*'Plan-Annahmen'!$B$37/12*'Plan-Annahmen'!$B$40*(1+'Plan-Annahmen'!$B$50*'Plan-Annahmen'!$B$51))</f>
        <v/>
      </c>
      <c r="E75" s="184">
        <f>C75+D75</f>
        <v/>
      </c>
      <c r="F75" s="184">
        <f>MIN(E75,MAX(0,'Plan-Annahmen'!$B$16-H74))</f>
        <v/>
      </c>
      <c r="G75" s="184">
        <f>E75-F75</f>
        <v/>
      </c>
      <c r="H75" s="184">
        <f>H74+F75</f>
        <v/>
      </c>
      <c r="I75" s="189">
        <f>I74*(1-'Plan-Annahmen'!$B$49)+F75</f>
        <v/>
      </c>
      <c r="J75" s="189">
        <f>J74*(1-'Plan-Annahmen'!$B$46)+G75</f>
        <v/>
      </c>
      <c r="K75" s="190">
        <f>I75+J75</f>
        <v/>
      </c>
      <c r="L75" s="191" t="n">
        <v>19.5</v>
      </c>
      <c r="M75" s="192">
        <f>K75*'Plan-Annahmen'!$B$71</f>
        <v/>
      </c>
      <c r="N75" s="192">
        <f>E75*'Plan-Annahmen'!$B$72</f>
        <v/>
      </c>
      <c r="O75" s="192">
        <f>'Plan-Annahmen'!$B$70</f>
        <v/>
      </c>
      <c r="P75" s="190">
        <f>L75+M75+N75+O75</f>
        <v/>
      </c>
      <c r="Q75" s="149">
        <f>IF(P75&gt;'Plan-Annahmen'!$B$69,1,0)</f>
        <v/>
      </c>
      <c r="R75" s="149">
        <f>IF(P75&gt;'Plan-Annahmen'!$B$68,1,0)</f>
        <v/>
      </c>
      <c r="S75" s="149">
        <f>IF(K75&gt;='Plan-Annahmen'!$B$59,1,0)</f>
        <v/>
      </c>
    </row>
    <row r="76" ht="15" customHeight="1" s="116">
      <c r="A76" s="149" t="n">
        <v>11</v>
      </c>
      <c r="B76" s="187">
        <f>EDATE('Plan-Annahmen'!$B$8,A76-1)</f>
        <v/>
      </c>
      <c r="C76" s="181" t="n">
        <v>4</v>
      </c>
      <c r="D76" s="188">
        <f>IF(A76-'Plan-Annahmen'!$B$43&lt;1,0,INDEX($K$66:$K$89,A76-'Plan-Annahmen'!$B$43)*'Plan-Annahmen'!$B$37/12*'Plan-Annahmen'!$B$40*(1+'Plan-Annahmen'!$B$50*'Plan-Annahmen'!$B$51))</f>
        <v/>
      </c>
      <c r="E76" s="184">
        <f>C76+D76</f>
        <v/>
      </c>
      <c r="F76" s="184">
        <f>MIN(E76,MAX(0,'Plan-Annahmen'!$B$16-H75))</f>
        <v/>
      </c>
      <c r="G76" s="184">
        <f>E76-F76</f>
        <v/>
      </c>
      <c r="H76" s="184">
        <f>H75+F76</f>
        <v/>
      </c>
      <c r="I76" s="189">
        <f>I75*(1-'Plan-Annahmen'!$B$49)+F76</f>
        <v/>
      </c>
      <c r="J76" s="189">
        <f>J75*(1-'Plan-Annahmen'!$B$46)+G76</f>
        <v/>
      </c>
      <c r="K76" s="190">
        <f>I76+J76</f>
        <v/>
      </c>
      <c r="L76" s="191" t="n">
        <v>19.5</v>
      </c>
      <c r="M76" s="192">
        <f>K76*'Plan-Annahmen'!$B$71</f>
        <v/>
      </c>
      <c r="N76" s="192">
        <f>E76*'Plan-Annahmen'!$B$72</f>
        <v/>
      </c>
      <c r="O76" s="192">
        <f>'Plan-Annahmen'!$B$70</f>
        <v/>
      </c>
      <c r="P76" s="190">
        <f>L76+M76+N76+O76</f>
        <v/>
      </c>
      <c r="Q76" s="149">
        <f>IF(P76&gt;'Plan-Annahmen'!$B$69,1,0)</f>
        <v/>
      </c>
      <c r="R76" s="149">
        <f>IF(P76&gt;'Plan-Annahmen'!$B$68,1,0)</f>
        <v/>
      </c>
      <c r="S76" s="149">
        <f>IF(K76&gt;='Plan-Annahmen'!$B$59,1,0)</f>
        <v/>
      </c>
    </row>
    <row r="77" ht="15" customHeight="1" s="116">
      <c r="A77" s="149" t="n">
        <v>12</v>
      </c>
      <c r="B77" s="187">
        <f>EDATE('Plan-Annahmen'!$B$8,A77-1)</f>
        <v/>
      </c>
      <c r="C77" s="181" t="n">
        <v>4.5</v>
      </c>
      <c r="D77" s="188">
        <f>IF(A77-'Plan-Annahmen'!$B$43&lt;1,0,INDEX($K$66:$K$89,A77-'Plan-Annahmen'!$B$43)*'Plan-Annahmen'!$B$37/12*'Plan-Annahmen'!$B$40*(1+'Plan-Annahmen'!$B$50*'Plan-Annahmen'!$B$51))</f>
        <v/>
      </c>
      <c r="E77" s="184">
        <f>C77+D77</f>
        <v/>
      </c>
      <c r="F77" s="184">
        <f>MIN(E77,MAX(0,'Plan-Annahmen'!$B$16-H76))</f>
        <v/>
      </c>
      <c r="G77" s="184">
        <f>E77-F77</f>
        <v/>
      </c>
      <c r="H77" s="184">
        <f>H76+F77</f>
        <v/>
      </c>
      <c r="I77" s="189">
        <f>I76*(1-'Plan-Annahmen'!$B$49)+F77</f>
        <v/>
      </c>
      <c r="J77" s="189">
        <f>J76*(1-'Plan-Annahmen'!$B$46)+G77</f>
        <v/>
      </c>
      <c r="K77" s="190">
        <f>I77+J77</f>
        <v/>
      </c>
      <c r="L77" s="191" t="n">
        <v>19.5</v>
      </c>
      <c r="M77" s="192">
        <f>K77*'Plan-Annahmen'!$B$71</f>
        <v/>
      </c>
      <c r="N77" s="192">
        <f>E77*'Plan-Annahmen'!$B$72</f>
        <v/>
      </c>
      <c r="O77" s="192">
        <f>'Plan-Annahmen'!$B$70</f>
        <v/>
      </c>
      <c r="P77" s="190">
        <f>L77+M77+N77+O77</f>
        <v/>
      </c>
      <c r="Q77" s="149">
        <f>IF(P77&gt;'Plan-Annahmen'!$B$69,1,0)</f>
        <v/>
      </c>
      <c r="R77" s="149">
        <f>IF(P77&gt;'Plan-Annahmen'!$B$68,1,0)</f>
        <v/>
      </c>
      <c r="S77" s="149">
        <f>IF(K77&gt;='Plan-Annahmen'!$B$59,1,0)</f>
        <v/>
      </c>
    </row>
    <row r="78" ht="15" customHeight="1" s="116">
      <c r="A78" s="149" t="n">
        <v>13</v>
      </c>
      <c r="B78" s="187">
        <f>EDATE('Plan-Annahmen'!$B$8,A78-1)</f>
        <v/>
      </c>
      <c r="C78" s="181" t="n">
        <v>4.5</v>
      </c>
      <c r="D78" s="188">
        <f>IF(A78-'Plan-Annahmen'!$B$43&lt;1,0,INDEX($K$66:$K$89,A78-'Plan-Annahmen'!$B$43)*'Plan-Annahmen'!$B$37/12*'Plan-Annahmen'!$B$40*(1+'Plan-Annahmen'!$B$50*'Plan-Annahmen'!$B$51))</f>
        <v/>
      </c>
      <c r="E78" s="184">
        <f>C78+D78</f>
        <v/>
      </c>
      <c r="F78" s="184">
        <f>MIN(E78,MAX(0,'Plan-Annahmen'!$B$16-H77))</f>
        <v/>
      </c>
      <c r="G78" s="184">
        <f>E78-F78</f>
        <v/>
      </c>
      <c r="H78" s="184">
        <f>H77+F78</f>
        <v/>
      </c>
      <c r="I78" s="189">
        <f>I77*(1-'Plan-Annahmen'!$B$49)+F78</f>
        <v/>
      </c>
      <c r="J78" s="189">
        <f>J77*(1-'Plan-Annahmen'!$B$46)+G78</f>
        <v/>
      </c>
      <c r="K78" s="190">
        <f>I78+J78</f>
        <v/>
      </c>
      <c r="L78" s="191" t="n">
        <v>19.5</v>
      </c>
      <c r="M78" s="192">
        <f>K78*'Plan-Annahmen'!$B$71</f>
        <v/>
      </c>
      <c r="N78" s="192">
        <f>E78*'Plan-Annahmen'!$B$72</f>
        <v/>
      </c>
      <c r="O78" s="192">
        <f>'Plan-Annahmen'!$B$70</f>
        <v/>
      </c>
      <c r="P78" s="190">
        <f>L78+M78+N78+O78</f>
        <v/>
      </c>
      <c r="Q78" s="149">
        <f>IF(P78&gt;'Plan-Annahmen'!$B$69,1,0)</f>
        <v/>
      </c>
      <c r="R78" s="149">
        <f>IF(P78&gt;'Plan-Annahmen'!$B$68,1,0)</f>
        <v/>
      </c>
      <c r="S78" s="149">
        <f>IF(K78&gt;='Plan-Annahmen'!$B$59,1,0)</f>
        <v/>
      </c>
    </row>
    <row r="79" ht="15" customHeight="1" s="116">
      <c r="A79" s="149" t="n">
        <v>14</v>
      </c>
      <c r="B79" s="187">
        <f>EDATE('Plan-Annahmen'!$B$8,A79-1)</f>
        <v/>
      </c>
      <c r="C79" s="181" t="n">
        <v>4.5</v>
      </c>
      <c r="D79" s="188">
        <f>IF(A79-'Plan-Annahmen'!$B$43&lt;1,0,INDEX($K$66:$K$89,A79-'Plan-Annahmen'!$B$43)*'Plan-Annahmen'!$B$37/12*'Plan-Annahmen'!$B$40*(1+'Plan-Annahmen'!$B$50*'Plan-Annahmen'!$B$51))</f>
        <v/>
      </c>
      <c r="E79" s="184">
        <f>C79+D79</f>
        <v/>
      </c>
      <c r="F79" s="184">
        <f>MIN(E79,MAX(0,'Plan-Annahmen'!$B$16-H78))</f>
        <v/>
      </c>
      <c r="G79" s="184">
        <f>E79-F79</f>
        <v/>
      </c>
      <c r="H79" s="184">
        <f>H78+F79</f>
        <v/>
      </c>
      <c r="I79" s="189">
        <f>I78*(1-'Plan-Annahmen'!$B$49)+F79</f>
        <v/>
      </c>
      <c r="J79" s="189">
        <f>J78*(1-'Plan-Annahmen'!$B$46)+G79</f>
        <v/>
      </c>
      <c r="K79" s="190">
        <f>I79+J79</f>
        <v/>
      </c>
      <c r="L79" s="191" t="n">
        <v>19.5</v>
      </c>
      <c r="M79" s="192">
        <f>K79*'Plan-Annahmen'!$B$71</f>
        <v/>
      </c>
      <c r="N79" s="192">
        <f>E79*'Plan-Annahmen'!$B$72</f>
        <v/>
      </c>
      <c r="O79" s="192">
        <f>'Plan-Annahmen'!$B$70</f>
        <v/>
      </c>
      <c r="P79" s="190">
        <f>L79+M79+N79+O79</f>
        <v/>
      </c>
      <c r="Q79" s="149">
        <f>IF(P79&gt;'Plan-Annahmen'!$B$69,1,0)</f>
        <v/>
      </c>
      <c r="R79" s="149">
        <f>IF(P79&gt;'Plan-Annahmen'!$B$68,1,0)</f>
        <v/>
      </c>
      <c r="S79" s="149">
        <f>IF(K79&gt;='Plan-Annahmen'!$B$59,1,0)</f>
        <v/>
      </c>
    </row>
    <row r="80" ht="15" customHeight="1" s="116">
      <c r="A80" s="149" t="n">
        <v>15</v>
      </c>
      <c r="B80" s="187">
        <f>EDATE('Plan-Annahmen'!$B$8,A80-1)</f>
        <v/>
      </c>
      <c r="C80" s="181" t="n">
        <v>4.5</v>
      </c>
      <c r="D80" s="188">
        <f>IF(A80-'Plan-Annahmen'!$B$43&lt;1,0,INDEX($K$66:$K$89,A80-'Plan-Annahmen'!$B$43)*'Plan-Annahmen'!$B$37/12*'Plan-Annahmen'!$B$40*(1+'Plan-Annahmen'!$B$50*'Plan-Annahmen'!$B$51))</f>
        <v/>
      </c>
      <c r="E80" s="184">
        <f>C80+D80</f>
        <v/>
      </c>
      <c r="F80" s="184">
        <f>MIN(E80,MAX(0,'Plan-Annahmen'!$B$16-H79))</f>
        <v/>
      </c>
      <c r="G80" s="184">
        <f>E80-F80</f>
        <v/>
      </c>
      <c r="H80" s="184">
        <f>H79+F80</f>
        <v/>
      </c>
      <c r="I80" s="189">
        <f>I79*(1-'Plan-Annahmen'!$B$49)+F80</f>
        <v/>
      </c>
      <c r="J80" s="189">
        <f>J79*(1-'Plan-Annahmen'!$B$46)+G80</f>
        <v/>
      </c>
      <c r="K80" s="190">
        <f>I80+J80</f>
        <v/>
      </c>
      <c r="L80" s="191" t="n">
        <v>19.5</v>
      </c>
      <c r="M80" s="192">
        <f>K80*'Plan-Annahmen'!$B$71</f>
        <v/>
      </c>
      <c r="N80" s="192">
        <f>E80*'Plan-Annahmen'!$B$72</f>
        <v/>
      </c>
      <c r="O80" s="192">
        <f>'Plan-Annahmen'!$B$70</f>
        <v/>
      </c>
      <c r="P80" s="190">
        <f>L80+M80+N80+O80</f>
        <v/>
      </c>
      <c r="Q80" s="149">
        <f>IF(P80&gt;'Plan-Annahmen'!$B$69,1,0)</f>
        <v/>
      </c>
      <c r="R80" s="149">
        <f>IF(P80&gt;'Plan-Annahmen'!$B$68,1,0)</f>
        <v/>
      </c>
      <c r="S80" s="149">
        <f>IF(K80&gt;='Plan-Annahmen'!$B$59,1,0)</f>
        <v/>
      </c>
    </row>
    <row r="81" ht="15" customHeight="1" s="116">
      <c r="A81" s="149" t="n">
        <v>16</v>
      </c>
      <c r="B81" s="187">
        <f>EDATE('Plan-Annahmen'!$B$8,A81-1)</f>
        <v/>
      </c>
      <c r="C81" s="181" t="n">
        <v>4.75</v>
      </c>
      <c r="D81" s="188">
        <f>IF(A81-'Plan-Annahmen'!$B$43&lt;1,0,INDEX($K$66:$K$89,A81-'Plan-Annahmen'!$B$43)*'Plan-Annahmen'!$B$37/12*'Plan-Annahmen'!$B$40*(1+'Plan-Annahmen'!$B$50*'Plan-Annahmen'!$B$51))</f>
        <v/>
      </c>
      <c r="E81" s="184">
        <f>C81+D81</f>
        <v/>
      </c>
      <c r="F81" s="184">
        <f>MIN(E81,MAX(0,'Plan-Annahmen'!$B$16-H80))</f>
        <v/>
      </c>
      <c r="G81" s="184">
        <f>E81-F81</f>
        <v/>
      </c>
      <c r="H81" s="184">
        <f>H80+F81</f>
        <v/>
      </c>
      <c r="I81" s="189">
        <f>I80*(1-'Plan-Annahmen'!$B$49)+F81</f>
        <v/>
      </c>
      <c r="J81" s="189">
        <f>J80*(1-'Plan-Annahmen'!$B$46)+G81</f>
        <v/>
      </c>
      <c r="K81" s="190">
        <f>I81+J81</f>
        <v/>
      </c>
      <c r="L81" s="191" t="n">
        <v>19.5</v>
      </c>
      <c r="M81" s="192">
        <f>K81*'Plan-Annahmen'!$B$71</f>
        <v/>
      </c>
      <c r="N81" s="192">
        <f>E81*'Plan-Annahmen'!$B$72</f>
        <v/>
      </c>
      <c r="O81" s="192">
        <f>'Plan-Annahmen'!$B$70</f>
        <v/>
      </c>
      <c r="P81" s="190">
        <f>L81+M81+N81+O81</f>
        <v/>
      </c>
      <c r="Q81" s="149">
        <f>IF(P81&gt;'Plan-Annahmen'!$B$69,1,0)</f>
        <v/>
      </c>
      <c r="R81" s="149">
        <f>IF(P81&gt;'Plan-Annahmen'!$B$68,1,0)</f>
        <v/>
      </c>
      <c r="S81" s="149">
        <f>IF(K81&gt;='Plan-Annahmen'!$B$59,1,0)</f>
        <v/>
      </c>
    </row>
    <row r="82" ht="15" customHeight="1" s="116">
      <c r="A82" s="149" t="n">
        <v>17</v>
      </c>
      <c r="B82" s="187">
        <f>EDATE('Plan-Annahmen'!$B$8,A82-1)</f>
        <v/>
      </c>
      <c r="C82" s="181" t="n">
        <v>6.75</v>
      </c>
      <c r="D82" s="188">
        <f>IF(A82-'Plan-Annahmen'!$B$43&lt;1,0,INDEX($K$66:$K$89,A82-'Plan-Annahmen'!$B$43)*'Plan-Annahmen'!$B$37/12*'Plan-Annahmen'!$B$40*(1+'Plan-Annahmen'!$B$50*'Plan-Annahmen'!$B$51))</f>
        <v/>
      </c>
      <c r="E82" s="184">
        <f>C82+D82</f>
        <v/>
      </c>
      <c r="F82" s="184">
        <f>MIN(E82,MAX(0,'Plan-Annahmen'!$B$16-H81))</f>
        <v/>
      </c>
      <c r="G82" s="184">
        <f>E82-F82</f>
        <v/>
      </c>
      <c r="H82" s="184">
        <f>H81+F82</f>
        <v/>
      </c>
      <c r="I82" s="189">
        <f>I81*(1-'Plan-Annahmen'!$B$49)+F82</f>
        <v/>
      </c>
      <c r="J82" s="189">
        <f>J81*(1-'Plan-Annahmen'!$B$46)+G82</f>
        <v/>
      </c>
      <c r="K82" s="190">
        <f>I82+J82</f>
        <v/>
      </c>
      <c r="L82" s="191" t="n">
        <v>19.5</v>
      </c>
      <c r="M82" s="192">
        <f>K82*'Plan-Annahmen'!$B$71</f>
        <v/>
      </c>
      <c r="N82" s="192">
        <f>E82*'Plan-Annahmen'!$B$72</f>
        <v/>
      </c>
      <c r="O82" s="192">
        <f>'Plan-Annahmen'!$B$70</f>
        <v/>
      </c>
      <c r="P82" s="190">
        <f>L82+M82+N82+O82</f>
        <v/>
      </c>
      <c r="Q82" s="149">
        <f>IF(P82&gt;'Plan-Annahmen'!$B$69,1,0)</f>
        <v/>
      </c>
      <c r="R82" s="149">
        <f>IF(P82&gt;'Plan-Annahmen'!$B$68,1,0)</f>
        <v/>
      </c>
      <c r="S82" s="149">
        <f>IF(K82&gt;='Plan-Annahmen'!$B$59,1,0)</f>
        <v/>
      </c>
    </row>
    <row r="83" ht="15" customHeight="1" s="116">
      <c r="A83" s="149" t="n">
        <v>18</v>
      </c>
      <c r="B83" s="187">
        <f>EDATE('Plan-Annahmen'!$B$8,A83-1)</f>
        <v/>
      </c>
      <c r="C83" s="181" t="n">
        <v>6.75</v>
      </c>
      <c r="D83" s="188">
        <f>IF(A83-'Plan-Annahmen'!$B$43&lt;1,0,INDEX($K$66:$K$89,A83-'Plan-Annahmen'!$B$43)*'Plan-Annahmen'!$B$37/12*'Plan-Annahmen'!$B$40*(1+'Plan-Annahmen'!$B$50*'Plan-Annahmen'!$B$51))</f>
        <v/>
      </c>
      <c r="E83" s="184">
        <f>C83+D83</f>
        <v/>
      </c>
      <c r="F83" s="184">
        <f>MIN(E83,MAX(0,'Plan-Annahmen'!$B$16-H82))</f>
        <v/>
      </c>
      <c r="G83" s="184">
        <f>E83-F83</f>
        <v/>
      </c>
      <c r="H83" s="184">
        <f>H82+F83</f>
        <v/>
      </c>
      <c r="I83" s="189">
        <f>I82*(1-'Plan-Annahmen'!$B$49)+F83</f>
        <v/>
      </c>
      <c r="J83" s="189">
        <f>J82*(1-'Plan-Annahmen'!$B$46)+G83</f>
        <v/>
      </c>
      <c r="K83" s="190">
        <f>I83+J83</f>
        <v/>
      </c>
      <c r="L83" s="191" t="n">
        <v>19.5</v>
      </c>
      <c r="M83" s="192">
        <f>K83*'Plan-Annahmen'!$B$71</f>
        <v/>
      </c>
      <c r="N83" s="192">
        <f>E83*'Plan-Annahmen'!$B$72</f>
        <v/>
      </c>
      <c r="O83" s="192">
        <f>'Plan-Annahmen'!$B$70</f>
        <v/>
      </c>
      <c r="P83" s="190">
        <f>L83+M83+N83+O83</f>
        <v/>
      </c>
      <c r="Q83" s="149">
        <f>IF(P83&gt;'Plan-Annahmen'!$B$69,1,0)</f>
        <v/>
      </c>
      <c r="R83" s="149">
        <f>IF(P83&gt;'Plan-Annahmen'!$B$68,1,0)</f>
        <v/>
      </c>
      <c r="S83" s="149">
        <f>IF(K83&gt;='Plan-Annahmen'!$B$59,1,0)</f>
        <v/>
      </c>
    </row>
    <row r="84" ht="15" customHeight="1" s="116">
      <c r="A84" s="149" t="n">
        <v>19</v>
      </c>
      <c r="B84" s="187">
        <f>EDATE('Plan-Annahmen'!$B$8,A84-1)</f>
        <v/>
      </c>
      <c r="C84" s="181" t="n">
        <v>6.75</v>
      </c>
      <c r="D84" s="188">
        <f>IF(A84-'Plan-Annahmen'!$B$43&lt;1,0,INDEX($K$66:$K$89,A84-'Plan-Annahmen'!$B$43)*'Plan-Annahmen'!$B$37/12*'Plan-Annahmen'!$B$40*(1+'Plan-Annahmen'!$B$50*'Plan-Annahmen'!$B$51))</f>
        <v/>
      </c>
      <c r="E84" s="184">
        <f>C84+D84</f>
        <v/>
      </c>
      <c r="F84" s="184">
        <f>MIN(E84,MAX(0,'Plan-Annahmen'!$B$16-H83))</f>
        <v/>
      </c>
      <c r="G84" s="184">
        <f>E84-F84</f>
        <v/>
      </c>
      <c r="H84" s="184">
        <f>H83+F84</f>
        <v/>
      </c>
      <c r="I84" s="189">
        <f>I83*(1-'Plan-Annahmen'!$B$49)+F84</f>
        <v/>
      </c>
      <c r="J84" s="189">
        <f>J83*(1-'Plan-Annahmen'!$B$46)+G84</f>
        <v/>
      </c>
      <c r="K84" s="190">
        <f>I84+J84</f>
        <v/>
      </c>
      <c r="L84" s="191" t="n">
        <v>19.5</v>
      </c>
      <c r="M84" s="192">
        <f>K84*'Plan-Annahmen'!$B$71</f>
        <v/>
      </c>
      <c r="N84" s="192">
        <f>E84*'Plan-Annahmen'!$B$72</f>
        <v/>
      </c>
      <c r="O84" s="192">
        <f>'Plan-Annahmen'!$B$70</f>
        <v/>
      </c>
      <c r="P84" s="190">
        <f>L84+M84+N84+O84</f>
        <v/>
      </c>
      <c r="Q84" s="149">
        <f>IF(P84&gt;'Plan-Annahmen'!$B$69,1,0)</f>
        <v/>
      </c>
      <c r="R84" s="149">
        <f>IF(P84&gt;'Plan-Annahmen'!$B$68,1,0)</f>
        <v/>
      </c>
      <c r="S84" s="149">
        <f>IF(K84&gt;='Plan-Annahmen'!$B$59,1,0)</f>
        <v/>
      </c>
    </row>
    <row r="85" ht="15" customHeight="1" s="116">
      <c r="A85" s="149" t="n">
        <v>20</v>
      </c>
      <c r="B85" s="187">
        <f>EDATE('Plan-Annahmen'!$B$8,A85-1)</f>
        <v/>
      </c>
      <c r="C85" s="181" t="n">
        <v>7</v>
      </c>
      <c r="D85" s="188">
        <f>IF(A85-'Plan-Annahmen'!$B$43&lt;1,0,INDEX($K$66:$K$89,A85-'Plan-Annahmen'!$B$43)*'Plan-Annahmen'!$B$37/12*'Plan-Annahmen'!$B$40*(1+'Plan-Annahmen'!$B$50*'Plan-Annahmen'!$B$51))</f>
        <v/>
      </c>
      <c r="E85" s="184">
        <f>C85+D85</f>
        <v/>
      </c>
      <c r="F85" s="184">
        <f>MIN(E85,MAX(0,'Plan-Annahmen'!$B$16-H84))</f>
        <v/>
      </c>
      <c r="G85" s="184">
        <f>E85-F85</f>
        <v/>
      </c>
      <c r="H85" s="184">
        <f>H84+F85</f>
        <v/>
      </c>
      <c r="I85" s="189">
        <f>I84*(1-'Plan-Annahmen'!$B$49)+F85</f>
        <v/>
      </c>
      <c r="J85" s="189">
        <f>J84*(1-'Plan-Annahmen'!$B$46)+G85</f>
        <v/>
      </c>
      <c r="K85" s="190">
        <f>I85+J85</f>
        <v/>
      </c>
      <c r="L85" s="191" t="n">
        <v>19.5</v>
      </c>
      <c r="M85" s="192">
        <f>K85*'Plan-Annahmen'!$B$71</f>
        <v/>
      </c>
      <c r="N85" s="192">
        <f>E85*'Plan-Annahmen'!$B$72</f>
        <v/>
      </c>
      <c r="O85" s="192">
        <f>'Plan-Annahmen'!$B$70</f>
        <v/>
      </c>
      <c r="P85" s="190">
        <f>L85+M85+N85+O85</f>
        <v/>
      </c>
      <c r="Q85" s="149">
        <f>IF(P85&gt;'Plan-Annahmen'!$B$69,1,0)</f>
        <v/>
      </c>
      <c r="R85" s="149">
        <f>IF(P85&gt;'Plan-Annahmen'!$B$68,1,0)</f>
        <v/>
      </c>
      <c r="S85" s="149">
        <f>IF(K85&gt;='Plan-Annahmen'!$B$59,1,0)</f>
        <v/>
      </c>
    </row>
    <row r="86" ht="15" customHeight="1" s="116">
      <c r="A86" s="149" t="n">
        <v>21</v>
      </c>
      <c r="B86" s="187">
        <f>EDATE('Plan-Annahmen'!$B$8,A86-1)</f>
        <v/>
      </c>
      <c r="C86" s="181" t="n">
        <v>7</v>
      </c>
      <c r="D86" s="188">
        <f>IF(A86-'Plan-Annahmen'!$B$43&lt;1,0,INDEX($K$66:$K$89,A86-'Plan-Annahmen'!$B$43)*'Plan-Annahmen'!$B$37/12*'Plan-Annahmen'!$B$40*(1+'Plan-Annahmen'!$B$50*'Plan-Annahmen'!$B$51))</f>
        <v/>
      </c>
      <c r="E86" s="184">
        <f>C86+D86</f>
        <v/>
      </c>
      <c r="F86" s="184">
        <f>MIN(E86,MAX(0,'Plan-Annahmen'!$B$16-H85))</f>
        <v/>
      </c>
      <c r="G86" s="184">
        <f>E86-F86</f>
        <v/>
      </c>
      <c r="H86" s="184">
        <f>H85+F86</f>
        <v/>
      </c>
      <c r="I86" s="189">
        <f>I85*(1-'Plan-Annahmen'!$B$49)+F86</f>
        <v/>
      </c>
      <c r="J86" s="189">
        <f>J85*(1-'Plan-Annahmen'!$B$46)+G86</f>
        <v/>
      </c>
      <c r="K86" s="190">
        <f>I86+J86</f>
        <v/>
      </c>
      <c r="L86" s="191" t="n">
        <v>19.5</v>
      </c>
      <c r="M86" s="192">
        <f>K86*'Plan-Annahmen'!$B$71</f>
        <v/>
      </c>
      <c r="N86" s="192">
        <f>E86*'Plan-Annahmen'!$B$72</f>
        <v/>
      </c>
      <c r="O86" s="192">
        <f>'Plan-Annahmen'!$B$70</f>
        <v/>
      </c>
      <c r="P86" s="190">
        <f>L86+M86+N86+O86</f>
        <v/>
      </c>
      <c r="Q86" s="149">
        <f>IF(P86&gt;'Plan-Annahmen'!$B$69,1,0)</f>
        <v/>
      </c>
      <c r="R86" s="149">
        <f>IF(P86&gt;'Plan-Annahmen'!$B$68,1,0)</f>
        <v/>
      </c>
      <c r="S86" s="149">
        <f>IF(K86&gt;='Plan-Annahmen'!$B$59,1,0)</f>
        <v/>
      </c>
    </row>
    <row r="87" ht="15" customHeight="1" s="116">
      <c r="A87" s="149" t="n">
        <v>22</v>
      </c>
      <c r="B87" s="187">
        <f>EDATE('Plan-Annahmen'!$B$8,A87-1)</f>
        <v/>
      </c>
      <c r="C87" s="181" t="n">
        <v>7</v>
      </c>
      <c r="D87" s="188">
        <f>IF(A87-'Plan-Annahmen'!$B$43&lt;1,0,INDEX($K$66:$K$89,A87-'Plan-Annahmen'!$B$43)*'Plan-Annahmen'!$B$37/12*'Plan-Annahmen'!$B$40*(1+'Plan-Annahmen'!$B$50*'Plan-Annahmen'!$B$51))</f>
        <v/>
      </c>
      <c r="E87" s="184">
        <f>C87+D87</f>
        <v/>
      </c>
      <c r="F87" s="184">
        <f>MIN(E87,MAX(0,'Plan-Annahmen'!$B$16-H86))</f>
        <v/>
      </c>
      <c r="G87" s="184">
        <f>E87-F87</f>
        <v/>
      </c>
      <c r="H87" s="184">
        <f>H86+F87</f>
        <v/>
      </c>
      <c r="I87" s="189">
        <f>I86*(1-'Plan-Annahmen'!$B$49)+F87</f>
        <v/>
      </c>
      <c r="J87" s="189">
        <f>J86*(1-'Plan-Annahmen'!$B$46)+G87</f>
        <v/>
      </c>
      <c r="K87" s="190">
        <f>I87+J87</f>
        <v/>
      </c>
      <c r="L87" s="191" t="n">
        <v>19.5</v>
      </c>
      <c r="M87" s="192">
        <f>K87*'Plan-Annahmen'!$B$71</f>
        <v/>
      </c>
      <c r="N87" s="192">
        <f>E87*'Plan-Annahmen'!$B$72</f>
        <v/>
      </c>
      <c r="O87" s="192">
        <f>'Plan-Annahmen'!$B$70</f>
        <v/>
      </c>
      <c r="P87" s="190">
        <f>L87+M87+N87+O87</f>
        <v/>
      </c>
      <c r="Q87" s="149">
        <f>IF(P87&gt;'Plan-Annahmen'!$B$69,1,0)</f>
        <v/>
      </c>
      <c r="R87" s="149">
        <f>IF(P87&gt;'Plan-Annahmen'!$B$68,1,0)</f>
        <v/>
      </c>
      <c r="S87" s="149">
        <f>IF(K87&gt;='Plan-Annahmen'!$B$59,1,0)</f>
        <v/>
      </c>
    </row>
    <row r="88" ht="15" customHeight="1" s="116">
      <c r="A88" s="149" t="n">
        <v>23</v>
      </c>
      <c r="B88" s="187">
        <f>EDATE('Plan-Annahmen'!$B$8,A88-1)</f>
        <v/>
      </c>
      <c r="C88" s="181" t="n">
        <v>7</v>
      </c>
      <c r="D88" s="188">
        <f>IF(A88-'Plan-Annahmen'!$B$43&lt;1,0,INDEX($K$66:$K$89,A88-'Plan-Annahmen'!$B$43)*'Plan-Annahmen'!$B$37/12*'Plan-Annahmen'!$B$40*(1+'Plan-Annahmen'!$B$50*'Plan-Annahmen'!$B$51))</f>
        <v/>
      </c>
      <c r="E88" s="184">
        <f>C88+D88</f>
        <v/>
      </c>
      <c r="F88" s="184">
        <f>MIN(E88,MAX(0,'Plan-Annahmen'!$B$16-H87))</f>
        <v/>
      </c>
      <c r="G88" s="184">
        <f>E88-F88</f>
        <v/>
      </c>
      <c r="H88" s="184">
        <f>H87+F88</f>
        <v/>
      </c>
      <c r="I88" s="189">
        <f>I87*(1-'Plan-Annahmen'!$B$49)+F88</f>
        <v/>
      </c>
      <c r="J88" s="189">
        <f>J87*(1-'Plan-Annahmen'!$B$46)+G88</f>
        <v/>
      </c>
      <c r="K88" s="190">
        <f>I88+J88</f>
        <v/>
      </c>
      <c r="L88" s="191" t="n">
        <v>19.5</v>
      </c>
      <c r="M88" s="192">
        <f>K88*'Plan-Annahmen'!$B$71</f>
        <v/>
      </c>
      <c r="N88" s="192">
        <f>E88*'Plan-Annahmen'!$B$72</f>
        <v/>
      </c>
      <c r="O88" s="192">
        <f>'Plan-Annahmen'!$B$70</f>
        <v/>
      </c>
      <c r="P88" s="190">
        <f>L88+M88+N88+O88</f>
        <v/>
      </c>
      <c r="Q88" s="149">
        <f>IF(P88&gt;'Plan-Annahmen'!$B$69,1,0)</f>
        <v/>
      </c>
      <c r="R88" s="149">
        <f>IF(P88&gt;'Plan-Annahmen'!$B$68,1,0)</f>
        <v/>
      </c>
      <c r="S88" s="149">
        <f>IF(K88&gt;='Plan-Annahmen'!$B$59,1,0)</f>
        <v/>
      </c>
    </row>
    <row r="89" ht="15" customHeight="1" s="116">
      <c r="A89" s="149" t="n">
        <v>24</v>
      </c>
      <c r="B89" s="187">
        <f>EDATE('Plan-Annahmen'!$B$8,A89-1)</f>
        <v/>
      </c>
      <c r="C89" s="181" t="n">
        <v>7</v>
      </c>
      <c r="D89" s="188">
        <f>IF(A89-'Plan-Annahmen'!$B$43&lt;1,0,INDEX($K$66:$K$89,A89-'Plan-Annahmen'!$B$43)*'Plan-Annahmen'!$B$37/12*'Plan-Annahmen'!$B$40*(1+'Plan-Annahmen'!$B$50*'Plan-Annahmen'!$B$51))</f>
        <v/>
      </c>
      <c r="E89" s="184">
        <f>C89+D89</f>
        <v/>
      </c>
      <c r="F89" s="184">
        <f>MIN(E89,MAX(0,'Plan-Annahmen'!$B$16-H88))</f>
        <v/>
      </c>
      <c r="G89" s="184">
        <f>E89-F89</f>
        <v/>
      </c>
      <c r="H89" s="184">
        <f>H88+F89</f>
        <v/>
      </c>
      <c r="I89" s="189">
        <f>I88*(1-'Plan-Annahmen'!$B$49)+F89</f>
        <v/>
      </c>
      <c r="J89" s="189">
        <f>J88*(1-'Plan-Annahmen'!$B$46)+G89</f>
        <v/>
      </c>
      <c r="K89" s="190">
        <f>I89+J89</f>
        <v/>
      </c>
      <c r="L89" s="191" t="n">
        <v>19.5</v>
      </c>
      <c r="M89" s="192">
        <f>K89*'Plan-Annahmen'!$B$71</f>
        <v/>
      </c>
      <c r="N89" s="192">
        <f>E89*'Plan-Annahmen'!$B$72</f>
        <v/>
      </c>
      <c r="O89" s="192">
        <f>'Plan-Annahmen'!$B$70</f>
        <v/>
      </c>
      <c r="P89" s="190">
        <f>L89+M89+N89+O89</f>
        <v/>
      </c>
      <c r="Q89" s="149">
        <f>IF(P89&gt;'Plan-Annahmen'!$B$69,1,0)</f>
        <v/>
      </c>
      <c r="R89" s="149">
        <f>IF(P89&gt;'Plan-Annahmen'!$B$68,1,0)</f>
        <v/>
      </c>
      <c r="S89" s="149">
        <f>IF(K89&gt;='Plan-Annahmen'!$B$59,1,0)</f>
        <v/>
      </c>
    </row>
    <row r="90" ht="15" customHeight="1" s="116">
      <c r="A90" s="129" t="inlineStr">
        <is>
          <t>Σ / Ende</t>
        </is>
      </c>
      <c r="B90" s="130" t="n"/>
      <c r="C90" s="193">
        <f>SUM(C66:C89)</f>
        <v/>
      </c>
      <c r="D90" s="193">
        <f>SUM(D66:D89)</f>
        <v/>
      </c>
      <c r="E90" s="193">
        <f>SUM(E66:E89)</f>
        <v/>
      </c>
      <c r="F90" s="130" t="n"/>
      <c r="G90" s="130" t="n"/>
      <c r="H90" s="130" t="n"/>
      <c r="I90" s="130" t="n"/>
      <c r="J90" s="130" t="n"/>
      <c r="K90" s="193">
        <f>K89</f>
        <v/>
      </c>
      <c r="L90" s="130" t="n"/>
      <c r="M90" s="130" t="n"/>
      <c r="N90" s="130" t="n"/>
      <c r="O90" s="130" t="n"/>
      <c r="P90" s="130" t="n"/>
      <c r="Q90" s="171">
        <f>SUM(Q66:Q89)</f>
        <v/>
      </c>
      <c r="R90" s="171">
        <f>SUM(R66:R89)</f>
        <v/>
      </c>
      <c r="S90" s="171">
        <f>IFERROR(INDEX($A$66:$A$89,MATCH(1,$S$66:$S$89,0)),999)</f>
        <v/>
      </c>
    </row>
    <row r="93" ht="26.25" customHeight="1" s="116">
      <c r="A93" s="157" t="inlineStr">
        <is>
          <t>In der Summenzeile steht unter 'UG-Schwelle erreicht?' der erste Monat, in dem das Szenario die Schwelle reißt (999 = nie im Horizont) — daran hängen im Raster die UG-Kosten. Die Spalten davor zählen, in wie vielen der 24 Monate das Szenario mehr Stunden verlangt, als die jeweilige Kapazitätslinie hergibt. Ein Szenario, das die Sprintlinie regelmäßig reißt, ist nicht optimistisch, sondern nicht durchführbar, solange Sandy Vollzeit angestellt ist.</t>
        </is>
      </c>
    </row>
  </sheetData>
  <mergeCells count="2">
    <mergeCell ref="A93:S93"/>
    <mergeCell ref="A2:S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M77"/>
  <sheetViews>
    <sheetView showFormulas="0" showGridLines="1" showRowColHeaders="1" showZeros="1" rightToLeft="0" tabSelected="0" showOutlineSymbols="1" defaultGridColor="1"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baseColWidth="8" defaultColWidth="8.6796875" defaultRowHeight="15" customHeight="0" zeroHeight="0" outlineLevelRow="0"/>
  <cols>
    <col width="5" customWidth="1" style="213" min="1" max="2"/>
    <col width="44" customWidth="1" style="213" min="3" max="3"/>
    <col width="15" customWidth="1" style="213" min="4" max="4"/>
    <col width="11" customWidth="1" style="213" min="5" max="5"/>
    <col width="13" customWidth="1" style="213" min="6" max="6"/>
    <col width="14" customWidth="1" style="213" min="7" max="7"/>
    <col width="8" customWidth="1" style="213" min="8" max="8"/>
    <col width="13" customWidth="1" style="213" min="9" max="9"/>
    <col width="16" customWidth="1" style="213" min="10" max="13"/>
    <col width="10" customWidth="1" style="213" min="14" max="37"/>
  </cols>
  <sheetData>
    <row r="1" ht="17.25" customHeight="1" s="116">
      <c r="A1" s="117" t="inlineStr">
        <is>
          <t>Plan-Kosten — Vollständigkeits-Katalog A–H, Rechtsform Einzelunternehmen (UG später)</t>
        </is>
      </c>
    </row>
    <row r="2" ht="15" customHeight="1" s="116">
      <c r="A2" s="157" t="inlineStr">
        <is>
          <t>Jeder Posten aus dem Katalog des Chief of Staff steht als Zeile, auch die nicht zutreffenden — mit Begründung, damit kein Kästchen leer bleibt. Spalte 'Phase': 'immer' = unabhängig von der Rechtsform · 'EU' = nur in der Einzelunternehmens-Phase · 'UG' = erst ab der UG-Gründung, gesteuert über die Kundenzahl (Block unten, wird je Szenario im Raster zugeschaltet). Typ: laufend · einmalig · Monatsvektor (Werte je Monat aus einer Zulieferung) · Reserve (Liquiditätsbindung, kein Aufwand) · variabel (im Raster aus Kunden und Umsatz gerechnet). Die 17 Belege aus Mai bis August 2026 sind Privatausgaben und NICHT Teil dieser Kostenbasis — sie bleiben im Rechnungsjournal als Historie; Sandy nimmt den Anmeldetag als Startdatum.</t>
        </is>
      </c>
    </row>
    <row r="3" ht="15" customHeight="1" s="116"/>
    <row r="4" ht="15" customHeight="1" s="116"/>
    <row r="6" ht="39" customHeight="1" s="116">
      <c r="A6" s="119" t="inlineStr">
        <is>
          <t>Nr</t>
        </is>
      </c>
      <c r="B6" s="119" t="inlineStr">
        <is>
          <t>Kat.</t>
        </is>
      </c>
      <c r="C6" s="119" t="inlineStr">
        <is>
          <t>Posten</t>
        </is>
      </c>
      <c r="D6" s="119" t="inlineStr">
        <is>
          <t>Typ</t>
        </is>
      </c>
      <c r="E6" s="119" t="inlineStr">
        <is>
          <t>Betrag</t>
        </is>
      </c>
      <c r="F6" s="119" t="inlineStr">
        <is>
          <t>Einheit</t>
        </is>
      </c>
      <c r="G6" s="119" t="inlineStr">
        <is>
          <t>Phase</t>
        </is>
      </c>
      <c r="H6" s="119" t="inlineStr">
        <is>
          <t>Start (Monat)</t>
        </is>
      </c>
      <c r="I6" s="119" t="inlineStr">
        <is>
          <t>€ umgerechnet</t>
        </is>
      </c>
      <c r="J6" s="119" t="inlineStr">
        <is>
          <t>Quelle / Begründung</t>
        </is>
      </c>
      <c r="K6" s="175" t="n"/>
      <c r="L6" s="175" t="n"/>
      <c r="M6" s="176" t="n"/>
      <c r="N6" s="147" t="n">
        <v>1</v>
      </c>
      <c r="O6" s="147" t="n">
        <v>2</v>
      </c>
      <c r="P6" s="147" t="n">
        <v>3</v>
      </c>
      <c r="Q6" s="147" t="n">
        <v>4</v>
      </c>
      <c r="R6" s="147" t="n">
        <v>5</v>
      </c>
      <c r="S6" s="147" t="n">
        <v>6</v>
      </c>
      <c r="T6" s="147" t="n">
        <v>7</v>
      </c>
      <c r="U6" s="147" t="n">
        <v>8</v>
      </c>
      <c r="V6" s="147" t="n">
        <v>9</v>
      </c>
      <c r="W6" s="147" t="n">
        <v>10</v>
      </c>
      <c r="X6" s="147" t="n">
        <v>11</v>
      </c>
      <c r="Y6" s="147" t="n">
        <v>12</v>
      </c>
      <c r="Z6" s="147" t="n">
        <v>13</v>
      </c>
      <c r="AA6" s="147" t="n">
        <v>14</v>
      </c>
      <c r="AB6" s="147" t="n">
        <v>15</v>
      </c>
      <c r="AC6" s="147" t="n">
        <v>16</v>
      </c>
      <c r="AD6" s="147" t="n">
        <v>17</v>
      </c>
      <c r="AE6" s="147" t="n">
        <v>18</v>
      </c>
      <c r="AF6" s="147" t="n">
        <v>19</v>
      </c>
      <c r="AG6" s="147" t="n">
        <v>20</v>
      </c>
      <c r="AH6" s="147" t="n">
        <v>21</v>
      </c>
      <c r="AI6" s="147" t="n">
        <v>22</v>
      </c>
      <c r="AJ6" s="147" t="n">
        <v>23</v>
      </c>
      <c r="AK6" s="147" t="n">
        <v>24</v>
      </c>
      <c r="AL6" s="213" t="inlineStr">
        <is>
          <t>Vorsteuer je € (Anteil am eingetragenen Betrag)</t>
        </is>
      </c>
      <c r="AM6" s="213" t="inlineStr">
        <is>
          <t>Basis des Betrags — warum dieser Anteil</t>
        </is>
      </c>
    </row>
    <row r="7" ht="51.75" customHeight="1" s="116">
      <c r="A7" s="149" t="n">
        <v>1</v>
      </c>
      <c r="B7" s="155" t="inlineStr">
        <is>
          <t>A</t>
        </is>
      </c>
      <c r="C7" s="120" t="inlineStr">
        <is>
          <t>Gewerbeanmeldung Berlin (online)</t>
        </is>
      </c>
      <c r="D7" s="149" t="inlineStr">
        <is>
          <t>einmalig</t>
        </is>
      </c>
      <c r="E7" s="181" t="n">
        <v>15</v>
      </c>
      <c r="F7" s="149" t="inlineStr">
        <is>
          <t>€ einmalig</t>
        </is>
      </c>
      <c r="G7" s="149" t="inlineStr">
        <is>
          <t>EU</t>
        </is>
      </c>
      <c r="H7" s="188">
        <f>'Plan-Annahmen'!$B$58</f>
        <v/>
      </c>
      <c r="I7" s="182">
        <f>IF(F7="€/Monat",E7,IF(F7="€/Jahr",E7/12,IF(F7="USD/Monat",E7*'Plan-Annahmen'!$B$20,IF(F7="USD einmalig",E7*'Plan-Annahmen'!$B$20,E7))))</f>
        <v/>
      </c>
      <c r="J7" s="157" t="inlineStr">
        <is>
          <t>15 € online über eMeldung, 26 € persönlich im Ordnungsamt (gewerbeanmeldung.de/gewerbeamt/berlin, Abruf 03.09.2026) — deckt sich mit Legals Angabe. Statt der 1.700 € aus der ersten Planfassung.</t>
        </is>
      </c>
      <c r="N7" s="182">
        <f>IF(N$6=$H7,$I7,0)</f>
        <v/>
      </c>
      <c r="O7" s="182">
        <f>IF(O$6=$H7,$I7,0)</f>
        <v/>
      </c>
      <c r="P7" s="182">
        <f>IF(P$6=$H7,$I7,0)</f>
        <v/>
      </c>
      <c r="Q7" s="182">
        <f>IF(Q$6=$H7,$I7,0)</f>
        <v/>
      </c>
      <c r="R7" s="182">
        <f>IF(R$6=$H7,$I7,0)</f>
        <v/>
      </c>
      <c r="S7" s="182">
        <f>IF(S$6=$H7,$I7,0)</f>
        <v/>
      </c>
      <c r="T7" s="182">
        <f>IF(T$6=$H7,$I7,0)</f>
        <v/>
      </c>
      <c r="U7" s="182">
        <f>IF(U$6=$H7,$I7,0)</f>
        <v/>
      </c>
      <c r="V7" s="182">
        <f>IF(V$6=$H7,$I7,0)</f>
        <v/>
      </c>
      <c r="W7" s="182">
        <f>IF(W$6=$H7,$I7,0)</f>
        <v/>
      </c>
      <c r="X7" s="182">
        <f>IF(X$6=$H7,$I7,0)</f>
        <v/>
      </c>
      <c r="Y7" s="182">
        <f>IF(Y$6=$H7,$I7,0)</f>
        <v/>
      </c>
      <c r="Z7" s="182">
        <f>IF(Z$6=$H7,$I7,0)</f>
        <v/>
      </c>
      <c r="AA7" s="182">
        <f>IF(AA$6=$H7,$I7,0)</f>
        <v/>
      </c>
      <c r="AB7" s="182">
        <f>IF(AB$6=$H7,$I7,0)</f>
        <v/>
      </c>
      <c r="AC7" s="182">
        <f>IF(AC$6=$H7,$I7,0)</f>
        <v/>
      </c>
      <c r="AD7" s="182">
        <f>IF(AD$6=$H7,$I7,0)</f>
        <v/>
      </c>
      <c r="AE7" s="182">
        <f>IF(AE$6=$H7,$I7,0)</f>
        <v/>
      </c>
      <c r="AF7" s="182">
        <f>IF(AF$6=$H7,$I7,0)</f>
        <v/>
      </c>
      <c r="AG7" s="182">
        <f>IF(AG$6=$H7,$I7,0)</f>
        <v/>
      </c>
      <c r="AH7" s="182">
        <f>IF(AH$6=$H7,$I7,0)</f>
        <v/>
      </c>
      <c r="AI7" s="182">
        <f>IF(AI$6=$H7,$I7,0)</f>
        <v/>
      </c>
      <c r="AJ7" s="182">
        <f>IF(AJ$6=$H7,$I7,0)</f>
        <v/>
      </c>
      <c r="AK7" s="182">
        <f>IF(AK$6=$H7,$I7,0)</f>
        <v/>
      </c>
      <c r="AL7" s="213" t="n">
        <v>0</v>
      </c>
      <c r="AM7" s="213" t="inlineStr">
        <is>
          <t>Behoerdengebuehr (eMeldung Berlin) — hoheitliche Leistung, keine Umsatzsteuer, keine Vorsteuer.</t>
        </is>
      </c>
    </row>
    <row r="8" ht="26.25" customHeight="1" s="116">
      <c r="A8" s="194" t="n">
        <v>2</v>
      </c>
      <c r="B8" s="195" t="inlineStr">
        <is>
          <t>A</t>
        </is>
      </c>
      <c r="C8" s="196" t="inlineStr">
        <is>
          <t>UG: Notar + Handelsregister (Musterprotokoll)</t>
        </is>
      </c>
      <c r="D8" s="194" t="inlineStr">
        <is>
          <t>UG-Block</t>
        </is>
      </c>
      <c r="E8" s="179" t="n">
        <v>480</v>
      </c>
      <c r="F8" s="194" t="inlineStr">
        <is>
          <t>€ einmalig</t>
        </is>
      </c>
      <c r="G8" s="195" t="inlineStr">
        <is>
          <t>UG</t>
        </is>
      </c>
      <c r="H8" s="197" t="n"/>
      <c r="I8" s="198">
        <f>IF(F8="€/Monat",E8,IF(F8="€/Jahr",E8/12,IF(F8="USD/Monat",E8*'Plan-Annahmen'!$B$20,IF(F8="USD einmalig",E8*'Plan-Annahmen'!$B$20,E8))))</f>
        <v/>
      </c>
      <c r="J8" s="157" t="inlineStr">
        <is>
          <t>entscheidungen-fuer-sandy.md S-4 (Legal): 300–480 €, oberes Ende. Fällt erst im UG-Monat an, s. UG-Block unten.</t>
        </is>
      </c>
      <c r="N8" s="163" t="inlineStr">
        <is>
          <t>→ UG-Block unten</t>
        </is>
      </c>
      <c r="O8" s="139" t="n"/>
      <c r="P8" s="139" t="n"/>
      <c r="Q8" s="139" t="n"/>
      <c r="R8" s="139" t="n"/>
      <c r="S8" s="139" t="n"/>
      <c r="T8" s="139" t="n"/>
      <c r="U8" s="139" t="n"/>
      <c r="V8" s="139" t="n"/>
      <c r="W8" s="139" t="n"/>
      <c r="X8" s="139" t="n"/>
      <c r="Y8" s="139" t="n"/>
      <c r="Z8" s="139" t="n"/>
      <c r="AA8" s="139" t="n"/>
      <c r="AB8" s="139" t="n"/>
      <c r="AC8" s="139" t="n"/>
      <c r="AD8" s="139" t="n"/>
      <c r="AE8" s="139" t="n"/>
      <c r="AF8" s="139" t="n"/>
      <c r="AG8" s="139" t="n"/>
      <c r="AH8" s="139" t="n"/>
      <c r="AI8" s="139" t="n"/>
      <c r="AJ8" s="139" t="n"/>
      <c r="AK8" s="139" t="n"/>
      <c r="AL8" s="213" t="n">
        <v>0</v>
      </c>
      <c r="AM8" s="213" t="inlineStr">
        <is>
          <t>UG-Block, steht nicht in der Basissumme.</t>
        </is>
      </c>
    </row>
    <row r="9" ht="26.25" customHeight="1" s="116">
      <c r="A9" s="194" t="n">
        <v>3</v>
      </c>
      <c r="B9" s="195" t="inlineStr">
        <is>
          <t>A</t>
        </is>
      </c>
      <c r="C9" s="196" t="inlineStr">
        <is>
          <t>UG: Eröffnungsbilanz (Steuerberater)</t>
        </is>
      </c>
      <c r="D9" s="194" t="inlineStr">
        <is>
          <t>UG-Block</t>
        </is>
      </c>
      <c r="E9" s="179" t="n">
        <v>500</v>
      </c>
      <c r="F9" s="194" t="inlineStr">
        <is>
          <t>€ einmalig</t>
        </is>
      </c>
      <c r="G9" s="195" t="inlineStr">
        <is>
          <t>UG</t>
        </is>
      </c>
      <c r="H9" s="197" t="n"/>
      <c r="I9" s="198">
        <f>IF(F9="€/Monat",E9,IF(F9="€/Jahr",E9/12,IF(F9="USD/Monat",E9*'Plan-Annahmen'!$B$20,IF(F9="USD einmalig",E9*'Plan-Annahmen'!$B$20,E9))))</f>
        <v/>
      </c>
      <c r="J9" s="157" t="inlineStr">
        <is>
          <t>Teil der von Legal genannten Zusatzkosten im Gründungsjahr. Annahme.</t>
        </is>
      </c>
      <c r="N9" s="163" t="inlineStr">
        <is>
          <t>→ UG-Block unten</t>
        </is>
      </c>
      <c r="O9" s="139" t="n"/>
      <c r="P9" s="139" t="n"/>
      <c r="Q9" s="139" t="n"/>
      <c r="R9" s="139" t="n"/>
      <c r="S9" s="139" t="n"/>
      <c r="T9" s="139" t="n"/>
      <c r="U9" s="139" t="n"/>
      <c r="V9" s="139" t="n"/>
      <c r="W9" s="139" t="n"/>
      <c r="X9" s="139" t="n"/>
      <c r="Y9" s="139" t="n"/>
      <c r="Z9" s="139" t="n"/>
      <c r="AA9" s="139" t="n"/>
      <c r="AB9" s="139" t="n"/>
      <c r="AC9" s="139" t="n"/>
      <c r="AD9" s="139" t="n"/>
      <c r="AE9" s="139" t="n"/>
      <c r="AF9" s="139" t="n"/>
      <c r="AG9" s="139" t="n"/>
      <c r="AH9" s="139" t="n"/>
      <c r="AI9" s="139" t="n"/>
      <c r="AJ9" s="139" t="n"/>
      <c r="AK9" s="139" t="n"/>
      <c r="AL9" s="213" t="n">
        <v>0</v>
      </c>
      <c r="AM9" s="213" t="inlineStr">
        <is>
          <t>UG-Block, steht nicht in der Basissumme.</t>
        </is>
      </c>
    </row>
    <row r="10" ht="39" customHeight="1" s="116">
      <c r="A10" s="194" t="n">
        <v>4</v>
      </c>
      <c r="B10" s="195" t="inlineStr">
        <is>
          <t>A</t>
        </is>
      </c>
      <c r="C10" s="196" t="inlineStr">
        <is>
          <t>UG: Stammkapital (Einzahlung)</t>
        </is>
      </c>
      <c r="D10" s="194" t="inlineStr">
        <is>
          <t>UG-Reserve</t>
        </is>
      </c>
      <c r="E10" s="179" t="n">
        <v>1000</v>
      </c>
      <c r="F10" s="194" t="inlineStr">
        <is>
          <t>€ einmalig</t>
        </is>
      </c>
      <c r="G10" s="195" t="inlineStr">
        <is>
          <t>UG</t>
        </is>
      </c>
      <c r="H10" s="197" t="n"/>
      <c r="I10" s="198">
        <f>IF(F10="€/Monat",E10,IF(F10="€/Jahr",E10/12,IF(F10="USD/Monat",E10*'Plan-Annahmen'!$B$20,IF(F10="USD einmalig",E10*'Plan-Annahmen'!$B$20,E10))))</f>
        <v/>
      </c>
      <c r="J10" s="157" t="inlineStr">
        <is>
          <t>Legal: 1.000 €. Kein Aufwand — bleibt Vermögen der UG, bindet aber Liquidität ab dem UG-Monat. In der Einzelunternehmens-Phase entfällt die Bindung vollständig.</t>
        </is>
      </c>
      <c r="N10" s="163" t="inlineStr">
        <is>
          <t>→ UG-Block unten</t>
        </is>
      </c>
      <c r="O10" s="139" t="n"/>
      <c r="P10" s="139" t="n"/>
      <c r="Q10" s="139" t="n"/>
      <c r="R10" s="139" t="n"/>
      <c r="S10" s="139" t="n"/>
      <c r="T10" s="139" t="n"/>
      <c r="U10" s="139" t="n"/>
      <c r="V10" s="139" t="n"/>
      <c r="W10" s="139" t="n"/>
      <c r="X10" s="139" t="n"/>
      <c r="Y10" s="139" t="n"/>
      <c r="Z10" s="139" t="n"/>
      <c r="AA10" s="139" t="n"/>
      <c r="AB10" s="139" t="n"/>
      <c r="AC10" s="139" t="n"/>
      <c r="AD10" s="139" t="n"/>
      <c r="AE10" s="139" t="n"/>
      <c r="AF10" s="139" t="n"/>
      <c r="AG10" s="139" t="n"/>
      <c r="AH10" s="139" t="n"/>
      <c r="AI10" s="139" t="n"/>
      <c r="AJ10" s="139" t="n"/>
      <c r="AK10" s="139" t="n"/>
      <c r="AL10" s="213" t="n">
        <v>0</v>
      </c>
      <c r="AM10" s="213" t="inlineStr">
        <is>
          <t>Reserve, kein Aufwand.</t>
        </is>
      </c>
    </row>
    <row r="11" ht="26.25" customHeight="1" s="116">
      <c r="A11" s="199" t="n">
        <v>5</v>
      </c>
      <c r="B11" s="200" t="inlineStr">
        <is>
          <t>A</t>
        </is>
      </c>
      <c r="C11" s="126" t="inlineStr">
        <is>
          <t>Anwalt für individuelle Satzung</t>
        </is>
      </c>
      <c r="D11" s="199" t="inlineStr">
        <is>
          <t>nicht zutreffend</t>
        </is>
      </c>
      <c r="E11" s="201" t="n">
        <v>0</v>
      </c>
      <c r="F11" s="199" t="inlineStr">
        <is>
          <t>€ einmalig</t>
        </is>
      </c>
      <c r="G11" s="200" t="inlineStr">
        <is>
          <t>UG</t>
        </is>
      </c>
      <c r="H11" s="202" t="n"/>
      <c r="I11" s="154" t="n"/>
      <c r="J11" s="157" t="inlineStr">
        <is>
          <t>trifft nicht zu, weil Musterprotokoll (Ein-Personen-UG). Bei individueller Satzung 500–1.500 €.</t>
        </is>
      </c>
      <c r="N11" s="139" t="n"/>
      <c r="O11" s="139" t="n"/>
      <c r="P11" s="139" t="n"/>
      <c r="Q11" s="139" t="n"/>
      <c r="R11" s="139" t="n"/>
      <c r="S11" s="139" t="n"/>
      <c r="T11" s="139" t="n"/>
      <c r="U11" s="139" t="n"/>
      <c r="V11" s="139" t="n"/>
      <c r="W11" s="139" t="n"/>
      <c r="X11" s="139" t="n"/>
      <c r="Y11" s="139" t="n"/>
      <c r="Z11" s="139" t="n"/>
      <c r="AA11" s="139" t="n"/>
      <c r="AB11" s="139" t="n"/>
      <c r="AC11" s="139" t="n"/>
      <c r="AD11" s="139" t="n"/>
      <c r="AE11" s="139" t="n"/>
      <c r="AF11" s="139" t="n"/>
      <c r="AG11" s="139" t="n"/>
      <c r="AH11" s="139" t="n"/>
      <c r="AI11" s="139" t="n"/>
      <c r="AJ11" s="139" t="n"/>
      <c r="AK11" s="139" t="n"/>
      <c r="AL11" s="213" t="n">
        <v>0</v>
      </c>
      <c r="AM11" s="213" t="inlineStr">
        <is>
          <t>trifft nicht zu.</t>
        </is>
      </c>
    </row>
    <row r="12" ht="39" customHeight="1" s="116">
      <c r="A12" s="194" t="n">
        <v>6</v>
      </c>
      <c r="B12" s="195" t="inlineStr">
        <is>
          <t>A</t>
        </is>
      </c>
      <c r="C12" s="196" t="inlineStr">
        <is>
          <t>Geschäftskonto (Kontoführung)</t>
        </is>
      </c>
      <c r="D12" s="194" t="inlineStr">
        <is>
          <t>UG-Block</t>
        </is>
      </c>
      <c r="E12" s="179" t="n">
        <v>10</v>
      </c>
      <c r="F12" s="194" t="inlineStr">
        <is>
          <t>€/Monat</t>
        </is>
      </c>
      <c r="G12" s="195" t="inlineStr">
        <is>
          <t>UG</t>
        </is>
      </c>
      <c r="H12" s="197" t="n"/>
      <c r="I12" s="198">
        <f>IF(F12="€/Monat",E12,IF(F12="€/Jahr",E12/12,IF(F12="USD/Monat",E12*'Plan-Annahmen'!$B$20,IF(F12="USD einmalig",E12*'Plan-Annahmen'!$B$20,E12))))</f>
        <v/>
      </c>
      <c r="J12" s="157" t="inlineStr">
        <is>
          <t>Bei der UG zwingend, beim Einzelunternehmen nicht (Legal). Für die saubere Trennung privat/geschäftlich trotzdem empfehlenswert — dann hier auf 'immer' umstellen.</t>
        </is>
      </c>
      <c r="N12" s="163" t="inlineStr">
        <is>
          <t>→ UG-Block unten</t>
        </is>
      </c>
      <c r="O12" s="139" t="n"/>
      <c r="P12" s="139" t="n"/>
      <c r="Q12" s="139" t="n"/>
      <c r="R12" s="139" t="n"/>
      <c r="S12" s="139" t="n"/>
      <c r="T12" s="139" t="n"/>
      <c r="U12" s="139" t="n"/>
      <c r="V12" s="139" t="n"/>
      <c r="W12" s="139" t="n"/>
      <c r="X12" s="139" t="n"/>
      <c r="Y12" s="139" t="n"/>
      <c r="Z12" s="139" t="n"/>
      <c r="AA12" s="139" t="n"/>
      <c r="AB12" s="139" t="n"/>
      <c r="AC12" s="139" t="n"/>
      <c r="AD12" s="139" t="n"/>
      <c r="AE12" s="139" t="n"/>
      <c r="AF12" s="139" t="n"/>
      <c r="AG12" s="139" t="n"/>
      <c r="AH12" s="139" t="n"/>
      <c r="AI12" s="139" t="n"/>
      <c r="AJ12" s="139" t="n"/>
      <c r="AK12" s="139" t="n"/>
      <c r="AL12" s="213" t="n">
        <v>0</v>
      </c>
      <c r="AM12" s="213" t="inlineStr">
        <is>
          <t>UG-Block; Kontofuehrung ist ausserdem nach § 4 Nr. 8 UStG steuerfrei.</t>
        </is>
      </c>
    </row>
    <row r="13" ht="64.5" customHeight="1" s="116">
      <c r="A13" s="199" t="n">
        <v>7</v>
      </c>
      <c r="B13" s="200" t="inlineStr">
        <is>
          <t>A</t>
        </is>
      </c>
      <c r="C13" s="126" t="inlineStr">
        <is>
          <t>IHK-Beitrag</t>
        </is>
      </c>
      <c r="D13" s="199" t="inlineStr">
        <is>
          <t>nicht zutreffend</t>
        </is>
      </c>
      <c r="E13" s="201" t="n">
        <v>0</v>
      </c>
      <c r="F13" s="199" t="inlineStr">
        <is>
          <t>€/Jahr</t>
        </is>
      </c>
      <c r="G13" s="199" t="inlineStr">
        <is>
          <t>EU</t>
        </is>
      </c>
      <c r="H13" s="202" t="n"/>
      <c r="I13" s="154" t="n"/>
      <c r="J13" s="157" t="inlineStr">
        <is>
          <t>trifft in der Einzelunternehmens-Phase nicht zu: Existenzgründer sind in den ersten zwei Jahren beitragsfrei (§ 3 Abs. 3 IHKG, Gewerbeertrag unter 25.000 €, nicht im Handelsregister) — das ist genau der Planhorizont. Ab UG-Gründung fällt der Grundbeitrag an, s. UG-Block.</t>
        </is>
      </c>
      <c r="N13" s="139" t="n"/>
      <c r="O13" s="139" t="n"/>
      <c r="P13" s="139" t="n"/>
      <c r="Q13" s="139" t="n"/>
      <c r="R13" s="139" t="n"/>
      <c r="S13" s="139" t="n"/>
      <c r="T13" s="139" t="n"/>
      <c r="U13" s="139" t="n"/>
      <c r="V13" s="139" t="n"/>
      <c r="W13" s="139" t="n"/>
      <c r="X13" s="139" t="n"/>
      <c r="Y13" s="139" t="n"/>
      <c r="Z13" s="139" t="n"/>
      <c r="AA13" s="139" t="n"/>
      <c r="AB13" s="139" t="n"/>
      <c r="AC13" s="139" t="n"/>
      <c r="AD13" s="139" t="n"/>
      <c r="AE13" s="139" t="n"/>
      <c r="AF13" s="139" t="n"/>
      <c r="AG13" s="139" t="n"/>
      <c r="AH13" s="139" t="n"/>
      <c r="AI13" s="139" t="n"/>
      <c r="AJ13" s="139" t="n"/>
      <c r="AK13" s="139" t="n"/>
      <c r="AL13" s="213" t="n">
        <v>0</v>
      </c>
      <c r="AM13" s="213" t="inlineStr">
        <is>
          <t>trifft nicht zu.</t>
        </is>
      </c>
    </row>
    <row r="14" ht="39" customHeight="1" s="116">
      <c r="A14" s="194" t="n">
        <v>8</v>
      </c>
      <c r="B14" s="195" t="inlineStr">
        <is>
          <t>A</t>
        </is>
      </c>
      <c r="C14" s="196" t="inlineStr">
        <is>
          <t>IHK-Beitrag ab UG-Gründung</t>
        </is>
      </c>
      <c r="D14" s="194" t="inlineStr">
        <is>
          <t>UG-Block</t>
        </is>
      </c>
      <c r="E14" s="179" t="n">
        <v>200</v>
      </c>
      <c r="F14" s="194" t="inlineStr">
        <is>
          <t>€/Jahr</t>
        </is>
      </c>
      <c r="G14" s="195" t="inlineStr">
        <is>
          <t>UG</t>
        </is>
      </c>
      <c r="H14" s="197" t="n"/>
      <c r="I14" s="198">
        <f>IF(F14="€/Monat",E14,IF(F14="€/Jahr",E14/12,IF(F14="USD/Monat",E14*'Plan-Annahmen'!$B$20,IF(F14="USD einmalig",E14*'Plan-Annahmen'!$B$20,E14))))</f>
        <v/>
      </c>
      <c r="J14" s="157" t="inlineStr">
        <is>
          <t>Die UG ist im Handelsregister eingetragen, die Gründerbefreiung gilt dort nicht. Grundbeitrag je IHK und Stufe 30–300 €/Jahr, Annahme 200 €.</t>
        </is>
      </c>
      <c r="N14" s="163" t="inlineStr">
        <is>
          <t>→ UG-Block unten</t>
        </is>
      </c>
      <c r="O14" s="139" t="n"/>
      <c r="P14" s="139" t="n"/>
      <c r="Q14" s="139" t="n"/>
      <c r="R14" s="139" t="n"/>
      <c r="S14" s="139" t="n"/>
      <c r="T14" s="139" t="n"/>
      <c r="U14" s="139" t="n"/>
      <c r="V14" s="139" t="n"/>
      <c r="W14" s="139" t="n"/>
      <c r="X14" s="139" t="n"/>
      <c r="Y14" s="139" t="n"/>
      <c r="Z14" s="139" t="n"/>
      <c r="AA14" s="139" t="n"/>
      <c r="AB14" s="139" t="n"/>
      <c r="AC14" s="139" t="n"/>
      <c r="AD14" s="139" t="n"/>
      <c r="AE14" s="139" t="n"/>
      <c r="AF14" s="139" t="n"/>
      <c r="AG14" s="139" t="n"/>
      <c r="AH14" s="139" t="n"/>
      <c r="AI14" s="139" t="n"/>
      <c r="AJ14" s="139" t="n"/>
      <c r="AK14" s="139" t="n"/>
      <c r="AL14" s="213" t="n">
        <v>0</v>
      </c>
      <c r="AM14" s="213" t="inlineStr">
        <is>
          <t>UG-Block; Kammerbeitrag ohne Umsatzsteuer.</t>
        </is>
      </c>
    </row>
    <row r="15" ht="51.75" customHeight="1" s="116">
      <c r="A15" s="149" t="n">
        <v>9</v>
      </c>
      <c r="B15" s="155" t="inlineStr">
        <is>
          <t>B</t>
        </is>
      </c>
      <c r="C15" s="120" t="inlineStr">
        <is>
          <t>Anwaltliche Prüfung AGB / Datenschutz / AVV vor dem Launch</t>
        </is>
      </c>
      <c r="D15" s="149" t="inlineStr">
        <is>
          <t>einmalig</t>
        </is>
      </c>
      <c r="E15" s="181" t="n">
        <v>1500</v>
      </c>
      <c r="F15" s="149" t="inlineStr">
        <is>
          <t>€ einmalig</t>
        </is>
      </c>
      <c r="G15" s="149" t="inlineStr">
        <is>
          <t>immer</t>
        </is>
      </c>
      <c r="H15" s="203" t="n">
        <v>3</v>
      </c>
      <c r="I15" s="182">
        <f>IF(F15="€/Monat",E15,IF(F15="€/Jahr",E15/12,IF(F15="USD/Monat",E15*'Plan-Annahmen'!$B$20,IF(F15="USD einmalig",E15*'Plan-Annahmen'!$B$20,E15))))</f>
        <v/>
      </c>
      <c r="J15" s="157" t="inlineStr">
        <is>
          <t>Katalog B, Größenordnung 800–2.500 € für ein SaaS-Rechtstextpaket, vor Gate 1 angesetzt. Die interne Legal-Rolle ersetzt keine haftende Kanzlei — ob Sandy das will, ist ihre Entscheidung, die Position gehört aber in den Plan.</t>
        </is>
      </c>
      <c r="N15" s="182">
        <f>IF(N$6=$H15,$I15,0)</f>
        <v/>
      </c>
      <c r="O15" s="182">
        <f>IF(O$6=$H15,$I15,0)</f>
        <v/>
      </c>
      <c r="P15" s="182">
        <f>IF(P$6=$H15,$I15,0)</f>
        <v/>
      </c>
      <c r="Q15" s="182">
        <f>IF(Q$6=$H15,$I15,0)</f>
        <v/>
      </c>
      <c r="R15" s="182">
        <f>IF(R$6=$H15,$I15,0)</f>
        <v/>
      </c>
      <c r="S15" s="182">
        <f>IF(S$6=$H15,$I15,0)</f>
        <v/>
      </c>
      <c r="T15" s="182">
        <f>IF(T$6=$H15,$I15,0)</f>
        <v/>
      </c>
      <c r="U15" s="182">
        <f>IF(U$6=$H15,$I15,0)</f>
        <v/>
      </c>
      <c r="V15" s="182">
        <f>IF(V$6=$H15,$I15,0)</f>
        <v/>
      </c>
      <c r="W15" s="182">
        <f>IF(W$6=$H15,$I15,0)</f>
        <v/>
      </c>
      <c r="X15" s="182">
        <f>IF(X$6=$H15,$I15,0)</f>
        <v/>
      </c>
      <c r="Y15" s="182">
        <f>IF(Y$6=$H15,$I15,0)</f>
        <v/>
      </c>
      <c r="Z15" s="182">
        <f>IF(Z$6=$H15,$I15,0)</f>
        <v/>
      </c>
      <c r="AA15" s="182">
        <f>IF(AA$6=$H15,$I15,0)</f>
        <v/>
      </c>
      <c r="AB15" s="182">
        <f>IF(AB$6=$H15,$I15,0)</f>
        <v/>
      </c>
      <c r="AC15" s="182">
        <f>IF(AC$6=$H15,$I15,0)</f>
        <v/>
      </c>
      <c r="AD15" s="182">
        <f>IF(AD$6=$H15,$I15,0)</f>
        <v/>
      </c>
      <c r="AE15" s="182">
        <f>IF(AE$6=$H15,$I15,0)</f>
        <v/>
      </c>
      <c r="AF15" s="182">
        <f>IF(AF$6=$H15,$I15,0)</f>
        <v/>
      </c>
      <c r="AG15" s="182">
        <f>IF(AG$6=$H15,$I15,0)</f>
        <v/>
      </c>
      <c r="AH15" s="182">
        <f>IF(AH$6=$H15,$I15,0)</f>
        <v/>
      </c>
      <c r="AI15" s="182">
        <f>IF(AI$6=$H15,$I15,0)</f>
        <v/>
      </c>
      <c r="AJ15" s="182">
        <f>IF(AJ$6=$H15,$I15,0)</f>
        <v/>
      </c>
      <c r="AK15" s="182">
        <f>IF(AK$6=$H15,$I15,0)</f>
        <v/>
      </c>
      <c r="AL15" s="213" t="n">
        <v>0</v>
      </c>
      <c r="AM15" s="213" t="inlineStr">
        <is>
          <t>Honorarspanne aus B2B-Quellen = NETTO angesetzt. Unter Regelbesteuerung ist netto der richtige Planwert; ein zusaetzlicher Abzug waere doppelt gezaehlt.</t>
        </is>
      </c>
    </row>
    <row r="16" ht="39" customHeight="1" s="116">
      <c r="A16" s="149" t="n">
        <v>10</v>
      </c>
      <c r="B16" s="155" t="inlineStr">
        <is>
          <t>B</t>
        </is>
      </c>
      <c r="C16" s="120" t="inlineStr">
        <is>
          <t>Markenanmeldung DPMA (elektronisch, bis 3 Klassen)</t>
        </is>
      </c>
      <c r="D16" s="149" t="inlineStr">
        <is>
          <t>einmalig</t>
        </is>
      </c>
      <c r="E16" s="181" t="n">
        <v>290</v>
      </c>
      <c r="F16" s="149" t="inlineStr">
        <is>
          <t>€ einmalig</t>
        </is>
      </c>
      <c r="G16" s="149" t="inlineStr">
        <is>
          <t>immer</t>
        </is>
      </c>
      <c r="H16" s="203" t="n">
        <v>4</v>
      </c>
      <c r="I16" s="182">
        <f>IF(F16="€/Monat",E16,IF(F16="€/Jahr",E16/12,IF(F16="USD/Monat",E16*'Plan-Annahmen'!$B$20,IF(F16="USD einmalig",E16*'Plan-Annahmen'!$B$20,E16))))</f>
        <v/>
      </c>
      <c r="J16" s="157" t="inlineStr">
        <is>
          <t>DPMA-Gebührenverzeichnis (fixmarke.de): 290 € elektronisch inkl. 3 Klassen, je weitere Klasse 100 €, Verlängerung nach 10 Jahren 750 € (außerhalb des Horizonts).</t>
        </is>
      </c>
      <c r="N16" s="182">
        <f>IF(N$6=$H16,$I16,0)</f>
        <v/>
      </c>
      <c r="O16" s="182">
        <f>IF(O$6=$H16,$I16,0)</f>
        <v/>
      </c>
      <c r="P16" s="182">
        <f>IF(P$6=$H16,$I16,0)</f>
        <v/>
      </c>
      <c r="Q16" s="182">
        <f>IF(Q$6=$H16,$I16,0)</f>
        <v/>
      </c>
      <c r="R16" s="182">
        <f>IF(R$6=$H16,$I16,0)</f>
        <v/>
      </c>
      <c r="S16" s="182">
        <f>IF(S$6=$H16,$I16,0)</f>
        <v/>
      </c>
      <c r="T16" s="182">
        <f>IF(T$6=$H16,$I16,0)</f>
        <v/>
      </c>
      <c r="U16" s="182">
        <f>IF(U$6=$H16,$I16,0)</f>
        <v/>
      </c>
      <c r="V16" s="182">
        <f>IF(V$6=$H16,$I16,0)</f>
        <v/>
      </c>
      <c r="W16" s="182">
        <f>IF(W$6=$H16,$I16,0)</f>
        <v/>
      </c>
      <c r="X16" s="182">
        <f>IF(X$6=$H16,$I16,0)</f>
        <v/>
      </c>
      <c r="Y16" s="182">
        <f>IF(Y$6=$H16,$I16,0)</f>
        <v/>
      </c>
      <c r="Z16" s="182">
        <f>IF(Z$6=$H16,$I16,0)</f>
        <v/>
      </c>
      <c r="AA16" s="182">
        <f>IF(AA$6=$H16,$I16,0)</f>
        <v/>
      </c>
      <c r="AB16" s="182">
        <f>IF(AB$6=$H16,$I16,0)</f>
        <v/>
      </c>
      <c r="AC16" s="182">
        <f>IF(AC$6=$H16,$I16,0)</f>
        <v/>
      </c>
      <c r="AD16" s="182">
        <f>IF(AD$6=$H16,$I16,0)</f>
        <v/>
      </c>
      <c r="AE16" s="182">
        <f>IF(AE$6=$H16,$I16,0)</f>
        <v/>
      </c>
      <c r="AF16" s="182">
        <f>IF(AF$6=$H16,$I16,0)</f>
        <v/>
      </c>
      <c r="AG16" s="182">
        <f>IF(AG$6=$H16,$I16,0)</f>
        <v/>
      </c>
      <c r="AH16" s="182">
        <f>IF(AH$6=$H16,$I16,0)</f>
        <v/>
      </c>
      <c r="AI16" s="182">
        <f>IF(AI$6=$H16,$I16,0)</f>
        <v/>
      </c>
      <c r="AJ16" s="182">
        <f>IF(AJ$6=$H16,$I16,0)</f>
        <v/>
      </c>
      <c r="AK16" s="182">
        <f>IF(AK$6=$H16,$I16,0)</f>
        <v/>
      </c>
      <c r="AL16" s="213" t="n">
        <v>0</v>
      </c>
      <c r="AM16" s="213" t="inlineStr">
        <is>
          <t>DPMA-Amtsgebuehr, keine Umsatzsteuer.</t>
        </is>
      </c>
    </row>
    <row r="17" ht="15" customHeight="1" s="116">
      <c r="A17" s="149" t="n">
        <v>11</v>
      </c>
      <c r="B17" s="155" t="inlineStr">
        <is>
          <t>B</t>
        </is>
      </c>
      <c r="C17" s="120" t="inlineStr">
        <is>
          <t>DIN-Normtexte 18363 / 18365</t>
        </is>
      </c>
      <c r="D17" s="149" t="inlineStr">
        <is>
          <t>einmalig</t>
        </is>
      </c>
      <c r="E17" s="181" t="n">
        <v>150</v>
      </c>
      <c r="F17" s="149" t="inlineStr">
        <is>
          <t>€ einmalig</t>
        </is>
      </c>
      <c r="G17" s="149" t="inlineStr">
        <is>
          <t>immer</t>
        </is>
      </c>
      <c r="H17" s="203" t="n">
        <v>1</v>
      </c>
      <c r="I17" s="182">
        <f>IF(F17="€/Monat",E17,IF(F17="€/Jahr",E17/12,IF(F17="USD/Monat",E17*'Plan-Annahmen'!$B$20,IF(F17="USD einmalig",E17*'Plan-Annahmen'!$B$20,E17))))</f>
        <v/>
      </c>
      <c r="J17" s="157" t="inlineStr">
        <is>
          <t>CoS-F-Info 01.09.2026, von Sandy freigegeben; Beleg folgt.</t>
        </is>
      </c>
      <c r="N17" s="182">
        <f>IF(N$6=$H17,$I17,0)</f>
        <v/>
      </c>
      <c r="O17" s="182">
        <f>IF(O$6=$H17,$I17,0)</f>
        <v/>
      </c>
      <c r="P17" s="182">
        <f>IF(P$6=$H17,$I17,0)</f>
        <v/>
      </c>
      <c r="Q17" s="182">
        <f>IF(Q$6=$H17,$I17,0)</f>
        <v/>
      </c>
      <c r="R17" s="182">
        <f>IF(R$6=$H17,$I17,0)</f>
        <v/>
      </c>
      <c r="S17" s="182">
        <f>IF(S$6=$H17,$I17,0)</f>
        <v/>
      </c>
      <c r="T17" s="182">
        <f>IF(T$6=$H17,$I17,0)</f>
        <v/>
      </c>
      <c r="U17" s="182">
        <f>IF(U$6=$H17,$I17,0)</f>
        <v/>
      </c>
      <c r="V17" s="182">
        <f>IF(V$6=$H17,$I17,0)</f>
        <v/>
      </c>
      <c r="W17" s="182">
        <f>IF(W$6=$H17,$I17,0)</f>
        <v/>
      </c>
      <c r="X17" s="182">
        <f>IF(X$6=$H17,$I17,0)</f>
        <v/>
      </c>
      <c r="Y17" s="182">
        <f>IF(Y$6=$H17,$I17,0)</f>
        <v/>
      </c>
      <c r="Z17" s="182">
        <f>IF(Z$6=$H17,$I17,0)</f>
        <v/>
      </c>
      <c r="AA17" s="182">
        <f>IF(AA$6=$H17,$I17,0)</f>
        <v/>
      </c>
      <c r="AB17" s="182">
        <f>IF(AB$6=$H17,$I17,0)</f>
        <v/>
      </c>
      <c r="AC17" s="182">
        <f>IF(AC$6=$H17,$I17,0)</f>
        <v/>
      </c>
      <c r="AD17" s="182">
        <f>IF(AD$6=$H17,$I17,0)</f>
        <v/>
      </c>
      <c r="AE17" s="182">
        <f>IF(AE$6=$H17,$I17,0)</f>
        <v/>
      </c>
      <c r="AF17" s="182">
        <f>IF(AF$6=$H17,$I17,0)</f>
        <v/>
      </c>
      <c r="AG17" s="182">
        <f>IF(AG$6=$H17,$I17,0)</f>
        <v/>
      </c>
      <c r="AH17" s="182">
        <f>IF(AH$6=$H17,$I17,0)</f>
        <v/>
      </c>
      <c r="AI17" s="182">
        <f>IF(AI$6=$H17,$I17,0)</f>
        <v/>
      </c>
      <c r="AJ17" s="182">
        <f>IF(AJ$6=$H17,$I17,0)</f>
        <v/>
      </c>
      <c r="AK17" s="182">
        <f>IF(AK$6=$H17,$I17,0)</f>
        <v/>
      </c>
      <c r="AL17" s="213">
        <f>7/107</f>
        <v/>
      </c>
      <c r="AM17" s="213" t="inlineStr">
        <is>
          <t>Fachliteratur/E-Book: 7 % (§ 12 Abs. 2 Nr. 14 UStG), Betrag brutto — gemessen an Beleg 2026-018 (DIN Media, 54,00 € brutto = 50,47 + 3,53).</t>
        </is>
      </c>
    </row>
    <row r="18" ht="15" customHeight="1" s="116">
      <c r="A18" s="149" t="n">
        <v>12</v>
      </c>
      <c r="B18" s="155" t="inlineStr">
        <is>
          <t>B</t>
        </is>
      </c>
      <c r="C18" s="120" t="inlineStr">
        <is>
          <t>Weitere Normtexte bei neuen Gewerken</t>
        </is>
      </c>
      <c r="D18" s="149" t="inlineStr">
        <is>
          <t>laufend</t>
        </is>
      </c>
      <c r="E18" s="181" t="n">
        <v>150</v>
      </c>
      <c r="F18" s="149" t="inlineStr">
        <is>
          <t>€/Jahr</t>
        </is>
      </c>
      <c r="G18" s="149" t="inlineStr">
        <is>
          <t>immer</t>
        </is>
      </c>
      <c r="H18" s="203" t="n">
        <v>13</v>
      </c>
      <c r="I18" s="182">
        <f>IF(F18="€/Monat",E18,IF(F18="€/Jahr",E18/12,IF(F18="USD/Monat",E18*'Plan-Annahmen'!$B$20,IF(F18="USD einmalig",E18*'Plan-Annahmen'!$B$20,E18))))</f>
        <v/>
      </c>
      <c r="J18" s="157" t="inlineStr">
        <is>
          <t>Annahme: etwa ein weiterer Normtext pro Jahr ab Jahr 2.</t>
        </is>
      </c>
      <c r="N18" s="182">
        <f>IF(N$6&gt;=$H18,$I18,0)</f>
        <v/>
      </c>
      <c r="O18" s="182">
        <f>IF(O$6&gt;=$H18,$I18,0)</f>
        <v/>
      </c>
      <c r="P18" s="182">
        <f>IF(P$6&gt;=$H18,$I18,0)</f>
        <v/>
      </c>
      <c r="Q18" s="182">
        <f>IF(Q$6&gt;=$H18,$I18,0)</f>
        <v/>
      </c>
      <c r="R18" s="182">
        <f>IF(R$6&gt;=$H18,$I18,0)</f>
        <v/>
      </c>
      <c r="S18" s="182">
        <f>IF(S$6&gt;=$H18,$I18,0)</f>
        <v/>
      </c>
      <c r="T18" s="182">
        <f>IF(T$6&gt;=$H18,$I18,0)</f>
        <v/>
      </c>
      <c r="U18" s="182">
        <f>IF(U$6&gt;=$H18,$I18,0)</f>
        <v/>
      </c>
      <c r="V18" s="182">
        <f>IF(V$6&gt;=$H18,$I18,0)</f>
        <v/>
      </c>
      <c r="W18" s="182">
        <f>IF(W$6&gt;=$H18,$I18,0)</f>
        <v/>
      </c>
      <c r="X18" s="182">
        <f>IF(X$6&gt;=$H18,$I18,0)</f>
        <v/>
      </c>
      <c r="Y18" s="182">
        <f>IF(Y$6&gt;=$H18,$I18,0)</f>
        <v/>
      </c>
      <c r="Z18" s="182">
        <f>IF(Z$6&gt;=$H18,$I18,0)</f>
        <v/>
      </c>
      <c r="AA18" s="182">
        <f>IF(AA$6&gt;=$H18,$I18,0)</f>
        <v/>
      </c>
      <c r="AB18" s="182">
        <f>IF(AB$6&gt;=$H18,$I18,0)</f>
        <v/>
      </c>
      <c r="AC18" s="182">
        <f>IF(AC$6&gt;=$H18,$I18,0)</f>
        <v/>
      </c>
      <c r="AD18" s="182">
        <f>IF(AD$6&gt;=$H18,$I18,0)</f>
        <v/>
      </c>
      <c r="AE18" s="182">
        <f>IF(AE$6&gt;=$H18,$I18,0)</f>
        <v/>
      </c>
      <c r="AF18" s="182">
        <f>IF(AF$6&gt;=$H18,$I18,0)</f>
        <v/>
      </c>
      <c r="AG18" s="182">
        <f>IF(AG$6&gt;=$H18,$I18,0)</f>
        <v/>
      </c>
      <c r="AH18" s="182">
        <f>IF(AH$6&gt;=$H18,$I18,0)</f>
        <v/>
      </c>
      <c r="AI18" s="182">
        <f>IF(AI$6&gt;=$H18,$I18,0)</f>
        <v/>
      </c>
      <c r="AJ18" s="182">
        <f>IF(AJ$6&gt;=$H18,$I18,0)</f>
        <v/>
      </c>
      <c r="AK18" s="182">
        <f>IF(AK$6&gt;=$H18,$I18,0)</f>
        <v/>
      </c>
      <c r="AL18" s="213">
        <f>7/107</f>
        <v/>
      </c>
      <c r="AM18" s="213" t="inlineStr">
        <is>
          <t>wie Zeile darueber.</t>
        </is>
      </c>
    </row>
    <row r="19" ht="26.25" customHeight="1" s="116">
      <c r="A19" s="199" t="n">
        <v>13</v>
      </c>
      <c r="B19" s="200" t="inlineStr">
        <is>
          <t>B</t>
        </is>
      </c>
      <c r="C19" s="126" t="inlineStr">
        <is>
          <t>Rechtstexte-Abo statt Einzelprüfung</t>
        </is>
      </c>
      <c r="D19" s="199" t="inlineStr">
        <is>
          <t>nicht zutreffend</t>
        </is>
      </c>
      <c r="E19" s="201" t="n">
        <v>0</v>
      </c>
      <c r="F19" s="199" t="inlineStr">
        <is>
          <t>€/Monat</t>
        </is>
      </c>
      <c r="G19" s="199" t="inlineStr">
        <is>
          <t>immer</t>
        </is>
      </c>
      <c r="H19" s="202" t="n"/>
      <c r="I19" s="154" t="n"/>
      <c r="J19" s="157" t="inlineStr">
        <is>
          <t>trifft nicht zu, weil die Einzelprüfung angesetzt ist — nicht beides. Alternative 10–30 €/Monat.</t>
        </is>
      </c>
      <c r="N19" s="139" t="n"/>
      <c r="O19" s="139" t="n"/>
      <c r="P19" s="139" t="n"/>
      <c r="Q19" s="139" t="n"/>
      <c r="R19" s="139" t="n"/>
      <c r="S19" s="139" t="n"/>
      <c r="T19" s="139" t="n"/>
      <c r="U19" s="139" t="n"/>
      <c r="V19" s="139" t="n"/>
      <c r="W19" s="139" t="n"/>
      <c r="X19" s="139" t="n"/>
      <c r="Y19" s="139" t="n"/>
      <c r="Z19" s="139" t="n"/>
      <c r="AA19" s="139" t="n"/>
      <c r="AB19" s="139" t="n"/>
      <c r="AC19" s="139" t="n"/>
      <c r="AD19" s="139" t="n"/>
      <c r="AE19" s="139" t="n"/>
      <c r="AF19" s="139" t="n"/>
      <c r="AG19" s="139" t="n"/>
      <c r="AH19" s="139" t="n"/>
      <c r="AI19" s="139" t="n"/>
      <c r="AJ19" s="139" t="n"/>
      <c r="AK19" s="139" t="n"/>
      <c r="AL19" s="213" t="n">
        <v>0</v>
      </c>
      <c r="AM19" s="213" t="inlineStr">
        <is>
          <t>trifft nicht zu.</t>
        </is>
      </c>
    </row>
    <row r="20" ht="26.25" customHeight="1" s="116">
      <c r="A20" s="149" t="n">
        <v>14</v>
      </c>
      <c r="B20" s="155" t="inlineStr">
        <is>
          <t>B</t>
        </is>
      </c>
      <c r="C20" s="120" t="inlineStr">
        <is>
          <t>Rücklage Abmahnung / Rechtsstreit</t>
        </is>
      </c>
      <c r="D20" s="149" t="inlineStr">
        <is>
          <t>Reserve</t>
        </is>
      </c>
      <c r="E20" s="181" t="n">
        <v>1000</v>
      </c>
      <c r="F20" s="149" t="inlineStr">
        <is>
          <t>€ einmalig</t>
        </is>
      </c>
      <c r="G20" s="149" t="inlineStr">
        <is>
          <t>immer</t>
        </is>
      </c>
      <c r="H20" s="203" t="n">
        <v>5</v>
      </c>
      <c r="I20" s="182">
        <f>IF(F20="€/Monat",E20,IF(F20="€/Jahr",E20/12,IF(F20="USD/Monat",E20*'Plan-Annahmen'!$B$20,IF(F20="USD einmalig",E20*'Plan-Annahmen'!$B$20,E20))))</f>
        <v/>
      </c>
      <c r="J20" s="157" t="inlineStr">
        <is>
          <t>Katalog B: Liquiditätsreserve ab dem öffentlichen Launch, kein Aufwand.</t>
        </is>
      </c>
      <c r="N20" s="182">
        <f>IF(N$6=$H20,$I20,0)</f>
        <v/>
      </c>
      <c r="O20" s="182">
        <f>IF(O$6=$H20,$I20,0)</f>
        <v/>
      </c>
      <c r="P20" s="182">
        <f>IF(P$6=$H20,$I20,0)</f>
        <v/>
      </c>
      <c r="Q20" s="182">
        <f>IF(Q$6=$H20,$I20,0)</f>
        <v/>
      </c>
      <c r="R20" s="182">
        <f>IF(R$6=$H20,$I20,0)</f>
        <v/>
      </c>
      <c r="S20" s="182">
        <f>IF(S$6=$H20,$I20,0)</f>
        <v/>
      </c>
      <c r="T20" s="182">
        <f>IF(T$6=$H20,$I20,0)</f>
        <v/>
      </c>
      <c r="U20" s="182">
        <f>IF(U$6=$H20,$I20,0)</f>
        <v/>
      </c>
      <c r="V20" s="182">
        <f>IF(V$6=$H20,$I20,0)</f>
        <v/>
      </c>
      <c r="W20" s="182">
        <f>IF(W$6=$H20,$I20,0)</f>
        <v/>
      </c>
      <c r="X20" s="182">
        <f>IF(X$6=$H20,$I20,0)</f>
        <v/>
      </c>
      <c r="Y20" s="182">
        <f>IF(Y$6=$H20,$I20,0)</f>
        <v/>
      </c>
      <c r="Z20" s="182">
        <f>IF(Z$6=$H20,$I20,0)</f>
        <v/>
      </c>
      <c r="AA20" s="182">
        <f>IF(AA$6=$H20,$I20,0)</f>
        <v/>
      </c>
      <c r="AB20" s="182">
        <f>IF(AB$6=$H20,$I20,0)</f>
        <v/>
      </c>
      <c r="AC20" s="182">
        <f>IF(AC$6=$H20,$I20,0)</f>
        <v/>
      </c>
      <c r="AD20" s="182">
        <f>IF(AD$6=$H20,$I20,0)</f>
        <v/>
      </c>
      <c r="AE20" s="182">
        <f>IF(AE$6=$H20,$I20,0)</f>
        <v/>
      </c>
      <c r="AF20" s="182">
        <f>IF(AF$6=$H20,$I20,0)</f>
        <v/>
      </c>
      <c r="AG20" s="182">
        <f>IF(AG$6=$H20,$I20,0)</f>
        <v/>
      </c>
      <c r="AH20" s="182">
        <f>IF(AH$6=$H20,$I20,0)</f>
        <v/>
      </c>
      <c r="AI20" s="182">
        <f>IF(AI$6=$H20,$I20,0)</f>
        <v/>
      </c>
      <c r="AJ20" s="182">
        <f>IF(AJ$6=$H20,$I20,0)</f>
        <v/>
      </c>
      <c r="AK20" s="182">
        <f>IF(AK$6=$H20,$I20,0)</f>
        <v/>
      </c>
      <c r="AL20" s="213" t="n">
        <v>0</v>
      </c>
      <c r="AM20" s="213" t="inlineStr">
        <is>
          <t>Reserve, kein Aufwand.</t>
        </is>
      </c>
    </row>
    <row r="21" ht="39" customHeight="1" s="116">
      <c r="A21" s="204" t="n">
        <v>15</v>
      </c>
      <c r="B21" s="205" t="inlineStr">
        <is>
          <t>C</t>
        </is>
      </c>
      <c r="C21" s="138" t="inlineStr">
        <is>
          <t>IT-Vermögensschaden-Haftpflicht (exali/Markel, 1 Mio. €)</t>
        </is>
      </c>
      <c r="D21" s="204" t="inlineStr">
        <is>
          <t>laufend</t>
        </is>
      </c>
      <c r="E21" s="206" t="n">
        <v>300</v>
      </c>
      <c r="F21" s="204" t="inlineStr">
        <is>
          <t>€/Jahr</t>
        </is>
      </c>
      <c r="G21" s="204" t="inlineStr">
        <is>
          <t>immer</t>
        </is>
      </c>
      <c r="H21" s="207" t="n">
        <v>3</v>
      </c>
      <c r="I21" s="208">
        <f>IF(F21="€/Monat",E21,IF(F21="€/Jahr",E21/12,IF(F21="USD/Monat",E21*'Plan-Annahmen'!$B$20,IF(F21="USD einmalig",E21*'Plan-Annahmen'!$B$20,E21))))</f>
        <v/>
      </c>
      <c r="J21" s="157" t="inlineStr">
        <is>
          <t>OFFENE ZAHL — Beitrag unbekannt, S-4 wartet auf Sandy. Früherer Stand 200–400 €/Jahr, Platzhalter 300 €. Rechtsformunabhängig, also in beiden Phasen gleich (Legal).</t>
        </is>
      </c>
      <c r="N21" s="182">
        <f>IF(N$6&gt;=$H21,$I21,0)</f>
        <v/>
      </c>
      <c r="O21" s="182">
        <f>IF(O$6&gt;=$H21,$I21,0)</f>
        <v/>
      </c>
      <c r="P21" s="182">
        <f>IF(P$6&gt;=$H21,$I21,0)</f>
        <v/>
      </c>
      <c r="Q21" s="182">
        <f>IF(Q$6&gt;=$H21,$I21,0)</f>
        <v/>
      </c>
      <c r="R21" s="182">
        <f>IF(R$6&gt;=$H21,$I21,0)</f>
        <v/>
      </c>
      <c r="S21" s="182">
        <f>IF(S$6&gt;=$H21,$I21,0)</f>
        <v/>
      </c>
      <c r="T21" s="182">
        <f>IF(T$6&gt;=$H21,$I21,0)</f>
        <v/>
      </c>
      <c r="U21" s="182">
        <f>IF(U$6&gt;=$H21,$I21,0)</f>
        <v/>
      </c>
      <c r="V21" s="182">
        <f>IF(V$6&gt;=$H21,$I21,0)</f>
        <v/>
      </c>
      <c r="W21" s="182">
        <f>IF(W$6&gt;=$H21,$I21,0)</f>
        <v/>
      </c>
      <c r="X21" s="182">
        <f>IF(X$6&gt;=$H21,$I21,0)</f>
        <v/>
      </c>
      <c r="Y21" s="182">
        <f>IF(Y$6&gt;=$H21,$I21,0)</f>
        <v/>
      </c>
      <c r="Z21" s="182">
        <f>IF(Z$6&gt;=$H21,$I21,0)</f>
        <v/>
      </c>
      <c r="AA21" s="182">
        <f>IF(AA$6&gt;=$H21,$I21,0)</f>
        <v/>
      </c>
      <c r="AB21" s="182">
        <f>IF(AB$6&gt;=$H21,$I21,0)</f>
        <v/>
      </c>
      <c r="AC21" s="182">
        <f>IF(AC$6&gt;=$H21,$I21,0)</f>
        <v/>
      </c>
      <c r="AD21" s="182">
        <f>IF(AD$6&gt;=$H21,$I21,0)</f>
        <v/>
      </c>
      <c r="AE21" s="182">
        <f>IF(AE$6&gt;=$H21,$I21,0)</f>
        <v/>
      </c>
      <c r="AF21" s="182">
        <f>IF(AF$6&gt;=$H21,$I21,0)</f>
        <v/>
      </c>
      <c r="AG21" s="182">
        <f>IF(AG$6&gt;=$H21,$I21,0)</f>
        <v/>
      </c>
      <c r="AH21" s="182">
        <f>IF(AH$6&gt;=$H21,$I21,0)</f>
        <v/>
      </c>
      <c r="AI21" s="182">
        <f>IF(AI$6&gt;=$H21,$I21,0)</f>
        <v/>
      </c>
      <c r="AJ21" s="182">
        <f>IF(AJ$6&gt;=$H21,$I21,0)</f>
        <v/>
      </c>
      <c r="AK21" s="182">
        <f>IF(AK$6&gt;=$H21,$I21,0)</f>
        <v/>
      </c>
      <c r="AL21" s="213" t="n">
        <v>0</v>
      </c>
      <c r="AM21" s="213" t="inlineStr">
        <is>
          <t>Versicherungsbeitrag: steuerfrei nach § 4 Nr. 10 UStG (dafuer Versicherungsteuer) — keine Vorsteuer.</t>
        </is>
      </c>
    </row>
    <row r="22" ht="15" customHeight="1" s="116">
      <c r="A22" s="149" t="n">
        <v>16</v>
      </c>
      <c r="B22" s="155" t="inlineStr">
        <is>
          <t>C</t>
        </is>
      </c>
      <c r="C22" s="120" t="inlineStr">
        <is>
          <t>Betriebshaftpflicht</t>
        </is>
      </c>
      <c r="D22" s="149" t="inlineStr">
        <is>
          <t>laufend</t>
        </is>
      </c>
      <c r="E22" s="181" t="n">
        <v>100</v>
      </c>
      <c r="F22" s="149" t="inlineStr">
        <is>
          <t>€/Jahr</t>
        </is>
      </c>
      <c r="G22" s="149" t="inlineStr">
        <is>
          <t>immer</t>
        </is>
      </c>
      <c r="H22" s="203" t="n">
        <v>3</v>
      </c>
      <c r="I22" s="182">
        <f>IF(F22="€/Monat",E22,IF(F22="€/Jahr",E22/12,IF(F22="USD/Monat",E22*'Plan-Annahmen'!$B$20,IF(F22="USD einmalig",E22*'Plan-Annahmen'!$B$20,E22))))</f>
        <v/>
      </c>
      <c r="J22" s="157" t="inlineStr">
        <is>
          <t>Annahme 100 €/Jahr; prüfen, ob im exali-Paket enthalten — dann 0.</t>
        </is>
      </c>
      <c r="N22" s="182">
        <f>IF(N$6&gt;=$H22,$I22,0)</f>
        <v/>
      </c>
      <c r="O22" s="182">
        <f>IF(O$6&gt;=$H22,$I22,0)</f>
        <v/>
      </c>
      <c r="P22" s="182">
        <f>IF(P$6&gt;=$H22,$I22,0)</f>
        <v/>
      </c>
      <c r="Q22" s="182">
        <f>IF(Q$6&gt;=$H22,$I22,0)</f>
        <v/>
      </c>
      <c r="R22" s="182">
        <f>IF(R$6&gt;=$H22,$I22,0)</f>
        <v/>
      </c>
      <c r="S22" s="182">
        <f>IF(S$6&gt;=$H22,$I22,0)</f>
        <v/>
      </c>
      <c r="T22" s="182">
        <f>IF(T$6&gt;=$H22,$I22,0)</f>
        <v/>
      </c>
      <c r="U22" s="182">
        <f>IF(U$6&gt;=$H22,$I22,0)</f>
        <v/>
      </c>
      <c r="V22" s="182">
        <f>IF(V$6&gt;=$H22,$I22,0)</f>
        <v/>
      </c>
      <c r="W22" s="182">
        <f>IF(W$6&gt;=$H22,$I22,0)</f>
        <v/>
      </c>
      <c r="X22" s="182">
        <f>IF(X$6&gt;=$H22,$I22,0)</f>
        <v/>
      </c>
      <c r="Y22" s="182">
        <f>IF(Y$6&gt;=$H22,$I22,0)</f>
        <v/>
      </c>
      <c r="Z22" s="182">
        <f>IF(Z$6&gt;=$H22,$I22,0)</f>
        <v/>
      </c>
      <c r="AA22" s="182">
        <f>IF(AA$6&gt;=$H22,$I22,0)</f>
        <v/>
      </c>
      <c r="AB22" s="182">
        <f>IF(AB$6&gt;=$H22,$I22,0)</f>
        <v/>
      </c>
      <c r="AC22" s="182">
        <f>IF(AC$6&gt;=$H22,$I22,0)</f>
        <v/>
      </c>
      <c r="AD22" s="182">
        <f>IF(AD$6&gt;=$H22,$I22,0)</f>
        <v/>
      </c>
      <c r="AE22" s="182">
        <f>IF(AE$6&gt;=$H22,$I22,0)</f>
        <v/>
      </c>
      <c r="AF22" s="182">
        <f>IF(AF$6&gt;=$H22,$I22,0)</f>
        <v/>
      </c>
      <c r="AG22" s="182">
        <f>IF(AG$6&gt;=$H22,$I22,0)</f>
        <v/>
      </c>
      <c r="AH22" s="182">
        <f>IF(AH$6&gt;=$H22,$I22,0)</f>
        <v/>
      </c>
      <c r="AI22" s="182">
        <f>IF(AI$6&gt;=$H22,$I22,0)</f>
        <v/>
      </c>
      <c r="AJ22" s="182">
        <f>IF(AJ$6&gt;=$H22,$I22,0)</f>
        <v/>
      </c>
      <c r="AK22" s="182">
        <f>IF(AK$6&gt;=$H22,$I22,0)</f>
        <v/>
      </c>
      <c r="AL22" s="213" t="n">
        <v>0</v>
      </c>
      <c r="AM22" s="213" t="inlineStr">
        <is>
          <t>Versicherungsbeitrag: steuerfrei nach § 4 Nr. 10 UStG — keine Vorsteuer.</t>
        </is>
      </c>
    </row>
    <row r="23" ht="26.25" customHeight="1" s="116">
      <c r="A23" s="199" t="n">
        <v>17</v>
      </c>
      <c r="B23" s="200" t="inlineStr">
        <is>
          <t>C</t>
        </is>
      </c>
      <c r="C23" s="126" t="inlineStr">
        <is>
          <t>Cyber-Deckung</t>
        </is>
      </c>
      <c r="D23" s="199" t="inlineStr">
        <is>
          <t>nicht zutreffend</t>
        </is>
      </c>
      <c r="E23" s="201" t="n">
        <v>0</v>
      </c>
      <c r="F23" s="199" t="inlineStr">
        <is>
          <t>€/Jahr</t>
        </is>
      </c>
      <c r="G23" s="199" t="inlineStr">
        <is>
          <t>immer</t>
        </is>
      </c>
      <c r="H23" s="202" t="n"/>
      <c r="I23" s="154" t="n"/>
      <c r="J23" s="157" t="inlineStr">
        <is>
          <t>trifft nicht zu, weil der Cyber-Drittschaden bei der IT-Haftpflicht üblicherweise enthalten ist.</t>
        </is>
      </c>
      <c r="N23" s="139" t="n"/>
      <c r="O23" s="139" t="n"/>
      <c r="P23" s="139" t="n"/>
      <c r="Q23" s="139" t="n"/>
      <c r="R23" s="139" t="n"/>
      <c r="S23" s="139" t="n"/>
      <c r="T23" s="139" t="n"/>
      <c r="U23" s="139" t="n"/>
      <c r="V23" s="139" t="n"/>
      <c r="W23" s="139" t="n"/>
      <c r="X23" s="139" t="n"/>
      <c r="Y23" s="139" t="n"/>
      <c r="Z23" s="139" t="n"/>
      <c r="AA23" s="139" t="n"/>
      <c r="AB23" s="139" t="n"/>
      <c r="AC23" s="139" t="n"/>
      <c r="AD23" s="139" t="n"/>
      <c r="AE23" s="139" t="n"/>
      <c r="AF23" s="139" t="n"/>
      <c r="AG23" s="139" t="n"/>
      <c r="AH23" s="139" t="n"/>
      <c r="AI23" s="139" t="n"/>
      <c r="AJ23" s="139" t="n"/>
      <c r="AK23" s="139" t="n"/>
      <c r="AL23" s="213" t="n">
        <v>0</v>
      </c>
      <c r="AM23" s="213" t="inlineStr">
        <is>
          <t>trifft nicht zu.</t>
        </is>
      </c>
    </row>
    <row r="24" ht="77.25" customHeight="1" s="116">
      <c r="A24" s="204" t="n">
        <v>18</v>
      </c>
      <c r="B24" s="205" t="inlineStr">
        <is>
          <t>D</t>
        </is>
      </c>
      <c r="C24" s="138" t="inlineStr">
        <is>
          <t>Steuerberater / Buchhaltung — Einzelunternehmen (EÜR)</t>
        </is>
      </c>
      <c r="D24" s="204" t="inlineStr">
        <is>
          <t>laufend</t>
        </is>
      </c>
      <c r="E24" s="206" t="n">
        <v>800</v>
      </c>
      <c r="F24" s="204" t="inlineStr">
        <is>
          <t>€/Jahr</t>
        </is>
      </c>
      <c r="G24" s="204" t="inlineStr">
        <is>
          <t>EU</t>
        </is>
      </c>
      <c r="H24" s="209">
        <f>'Plan-Annahmen'!$B$58</f>
        <v/>
      </c>
      <c r="I24" s="208">
        <f>IF(F24="€/Monat",E24,IF(F24="€/Jahr",E24/12,IF(F24="USD/Monat",E24*'Plan-Annahmen'!$B$20,IF(F24="USD einmalig",E24*'Plan-Annahmen'!$B$20,E24))))</f>
        <v/>
      </c>
      <c r="J24" s="157" t="inlineStr">
        <is>
          <t>Legal nennt 0–800 €/Jahr; hier das obere Ende. ACHTUNG, eigener Hinweis: Diese Spanne setzt voraus, dass Sandy die laufende Buchhaltung selbst macht (Lexware) und höchstens die EÜR prüfen lässt. Für einen Steuerberater, der alles übernimmt, liegt die belegte Spanne bei 1.000–2.500 €/Jahr (onlinebilanz.de, 2026). Wenn Sandy abgeben will, hier auf ~1.500 € erhöhen.</t>
        </is>
      </c>
      <c r="N24" s="182">
        <f>IF(N$6&gt;=$H24,$I24,0)</f>
        <v/>
      </c>
      <c r="O24" s="182">
        <f>IF(O$6&gt;=$H24,$I24,0)</f>
        <v/>
      </c>
      <c r="P24" s="182">
        <f>IF(P$6&gt;=$H24,$I24,0)</f>
        <v/>
      </c>
      <c r="Q24" s="182">
        <f>IF(Q$6&gt;=$H24,$I24,0)</f>
        <v/>
      </c>
      <c r="R24" s="182">
        <f>IF(R$6&gt;=$H24,$I24,0)</f>
        <v/>
      </c>
      <c r="S24" s="182">
        <f>IF(S$6&gt;=$H24,$I24,0)</f>
        <v/>
      </c>
      <c r="T24" s="182">
        <f>IF(T$6&gt;=$H24,$I24,0)</f>
        <v/>
      </c>
      <c r="U24" s="182">
        <f>IF(U$6&gt;=$H24,$I24,0)</f>
        <v/>
      </c>
      <c r="V24" s="182">
        <f>IF(V$6&gt;=$H24,$I24,0)</f>
        <v/>
      </c>
      <c r="W24" s="182">
        <f>IF(W$6&gt;=$H24,$I24,0)</f>
        <v/>
      </c>
      <c r="X24" s="182">
        <f>IF(X$6&gt;=$H24,$I24,0)</f>
        <v/>
      </c>
      <c r="Y24" s="182">
        <f>IF(Y$6&gt;=$H24,$I24,0)</f>
        <v/>
      </c>
      <c r="Z24" s="182">
        <f>IF(Z$6&gt;=$H24,$I24,0)</f>
        <v/>
      </c>
      <c r="AA24" s="182">
        <f>IF(AA$6&gt;=$H24,$I24,0)</f>
        <v/>
      </c>
      <c r="AB24" s="182">
        <f>IF(AB$6&gt;=$H24,$I24,0)</f>
        <v/>
      </c>
      <c r="AC24" s="182">
        <f>IF(AC$6&gt;=$H24,$I24,0)</f>
        <v/>
      </c>
      <c r="AD24" s="182">
        <f>IF(AD$6&gt;=$H24,$I24,0)</f>
        <v/>
      </c>
      <c r="AE24" s="182">
        <f>IF(AE$6&gt;=$H24,$I24,0)</f>
        <v/>
      </c>
      <c r="AF24" s="182">
        <f>IF(AF$6&gt;=$H24,$I24,0)</f>
        <v/>
      </c>
      <c r="AG24" s="182">
        <f>IF(AG$6&gt;=$H24,$I24,0)</f>
        <v/>
      </c>
      <c r="AH24" s="182">
        <f>IF(AH$6&gt;=$H24,$I24,0)</f>
        <v/>
      </c>
      <c r="AI24" s="182">
        <f>IF(AI$6&gt;=$H24,$I24,0)</f>
        <v/>
      </c>
      <c r="AJ24" s="182">
        <f>IF(AJ$6&gt;=$H24,$I24,0)</f>
        <v/>
      </c>
      <c r="AK24" s="182">
        <f>IF(AK$6&gt;=$H24,$I24,0)</f>
        <v/>
      </c>
      <c r="AL24" s="213" t="n">
        <v>0</v>
      </c>
      <c r="AM24" s="213" t="inlineStr">
        <is>
          <t>Honorarspanne = NETTO angesetzt (Legal nennt 0–800 €/Jahr). Kein zusaetzlicher Abzug.</t>
        </is>
      </c>
    </row>
    <row r="25" ht="39" customHeight="1" s="116">
      <c r="A25" s="204" t="n">
        <v>19</v>
      </c>
      <c r="B25" s="205" t="inlineStr">
        <is>
          <t>D</t>
        </is>
      </c>
      <c r="C25" s="138" t="inlineStr">
        <is>
          <t>Steuerberater ab UG-Gründung (Bilanz, KSt/GewSt, Offenlegung)</t>
        </is>
      </c>
      <c r="D25" s="204" t="inlineStr">
        <is>
          <t>UG-Block</t>
        </is>
      </c>
      <c r="E25" s="206" t="n">
        <v>3000</v>
      </c>
      <c r="F25" s="204" t="inlineStr">
        <is>
          <t>€/Jahr</t>
        </is>
      </c>
      <c r="G25" s="205" t="inlineStr">
        <is>
          <t>UG</t>
        </is>
      </c>
      <c r="H25" s="207" t="n"/>
      <c r="I25" s="208">
        <f>IF(F25="€/Monat",E25,IF(F25="€/Jahr",E25/12,IF(F25="USD/Monat",E25*'Plan-Annahmen'!$B$20,IF(F25="USD einmalig",E25*'Plan-Annahmen'!$B$20,E25))))</f>
        <v/>
      </c>
      <c r="J25" s="157" t="inlineStr">
        <is>
          <t>onlinebilanz.de (2026): Kleinst-GmbH/UG 2.500–4.500 €/Jahr, Annahme 3.000 €. Im UG-Block wird nur die DIFFERENZ zum EÜR-Satz zugeschaltet, damit nichts doppelt zählt.</t>
        </is>
      </c>
      <c r="N25" s="163" t="inlineStr">
        <is>
          <t>→ UG-Block unten</t>
        </is>
      </c>
      <c r="O25" s="139" t="n"/>
      <c r="P25" s="139" t="n"/>
      <c r="Q25" s="139" t="n"/>
      <c r="R25" s="139" t="n"/>
      <c r="S25" s="139" t="n"/>
      <c r="T25" s="139" t="n"/>
      <c r="U25" s="139" t="n"/>
      <c r="V25" s="139" t="n"/>
      <c r="W25" s="139" t="n"/>
      <c r="X25" s="139" t="n"/>
      <c r="Y25" s="139" t="n"/>
      <c r="Z25" s="139" t="n"/>
      <c r="AA25" s="139" t="n"/>
      <c r="AB25" s="139" t="n"/>
      <c r="AC25" s="139" t="n"/>
      <c r="AD25" s="139" t="n"/>
      <c r="AE25" s="139" t="n"/>
      <c r="AF25" s="139" t="n"/>
      <c r="AG25" s="139" t="n"/>
      <c r="AH25" s="139" t="n"/>
      <c r="AI25" s="139" t="n"/>
      <c r="AJ25" s="139" t="n"/>
      <c r="AK25" s="139" t="n"/>
      <c r="AL25" s="213" t="n">
        <v>0</v>
      </c>
      <c r="AM25" s="213" t="inlineStr">
        <is>
          <t>UG-Block.</t>
        </is>
      </c>
    </row>
    <row r="26" ht="26.25" customHeight="1" s="116">
      <c r="A26" s="149" t="n">
        <v>20</v>
      </c>
      <c r="B26" s="155" t="inlineStr">
        <is>
          <t>D</t>
        </is>
      </c>
      <c r="C26" s="120" t="inlineStr">
        <is>
          <t>Buchhaltungssoftware (Lexware Office, Tarif M)</t>
        </is>
      </c>
      <c r="D26" s="149" t="inlineStr">
        <is>
          <t>laufend</t>
        </is>
      </c>
      <c r="E26" s="181" t="n">
        <v>14.16</v>
      </c>
      <c r="F26" s="149" t="inlineStr">
        <is>
          <t>€/Monat</t>
        </is>
      </c>
      <c r="G26" s="149" t="inlineStr">
        <is>
          <t>immer</t>
        </is>
      </c>
      <c r="H26" s="188">
        <f>'Plan-Annahmen'!$B$58</f>
        <v/>
      </c>
      <c r="I26" s="182">
        <f>IF(F26="€/Monat",E26,IF(F26="€/Jahr",E26/12,IF(F26="USD/Monat",E26*'Plan-Annahmen'!$B$20,IF(F26="USD einmalig",E26*'Plan-Annahmen'!$B$20,E26))))</f>
        <v/>
      </c>
      <c r="J26" s="157" t="inlineStr">
        <is>
          <t>trusted.de: 11,90 €/Monat netto = 14,16 € brutto.</t>
        </is>
      </c>
      <c r="N26" s="182">
        <f>IF(N$6&gt;=$H26,$I26,0)</f>
        <v/>
      </c>
      <c r="O26" s="182">
        <f>IF(O$6&gt;=$H26,$I26,0)</f>
        <v/>
      </c>
      <c r="P26" s="182">
        <f>IF(P$6&gt;=$H26,$I26,0)</f>
        <v/>
      </c>
      <c r="Q26" s="182">
        <f>IF(Q$6&gt;=$H26,$I26,0)</f>
        <v/>
      </c>
      <c r="R26" s="182">
        <f>IF(R$6&gt;=$H26,$I26,0)</f>
        <v/>
      </c>
      <c r="S26" s="182">
        <f>IF(S$6&gt;=$H26,$I26,0)</f>
        <v/>
      </c>
      <c r="T26" s="182">
        <f>IF(T$6&gt;=$H26,$I26,0)</f>
        <v/>
      </c>
      <c r="U26" s="182">
        <f>IF(U$6&gt;=$H26,$I26,0)</f>
        <v/>
      </c>
      <c r="V26" s="182">
        <f>IF(V$6&gt;=$H26,$I26,0)</f>
        <v/>
      </c>
      <c r="W26" s="182">
        <f>IF(W$6&gt;=$H26,$I26,0)</f>
        <v/>
      </c>
      <c r="X26" s="182">
        <f>IF(X$6&gt;=$H26,$I26,0)</f>
        <v/>
      </c>
      <c r="Y26" s="182">
        <f>IF(Y$6&gt;=$H26,$I26,0)</f>
        <v/>
      </c>
      <c r="Z26" s="182">
        <f>IF(Z$6&gt;=$H26,$I26,0)</f>
        <v/>
      </c>
      <c r="AA26" s="182">
        <f>IF(AA$6&gt;=$H26,$I26,0)</f>
        <v/>
      </c>
      <c r="AB26" s="182">
        <f>IF(AB$6&gt;=$H26,$I26,0)</f>
        <v/>
      </c>
      <c r="AC26" s="182">
        <f>IF(AC$6&gt;=$H26,$I26,0)</f>
        <v/>
      </c>
      <c r="AD26" s="182">
        <f>IF(AD$6&gt;=$H26,$I26,0)</f>
        <v/>
      </c>
      <c r="AE26" s="182">
        <f>IF(AE$6&gt;=$H26,$I26,0)</f>
        <v/>
      </c>
      <c r="AF26" s="182">
        <f>IF(AF$6&gt;=$H26,$I26,0)</f>
        <v/>
      </c>
      <c r="AG26" s="182">
        <f>IF(AG$6&gt;=$H26,$I26,0)</f>
        <v/>
      </c>
      <c r="AH26" s="182">
        <f>IF(AH$6&gt;=$H26,$I26,0)</f>
        <v/>
      </c>
      <c r="AI26" s="182">
        <f>IF(AI$6&gt;=$H26,$I26,0)</f>
        <v/>
      </c>
      <c r="AJ26" s="182">
        <f>IF(AJ$6&gt;=$H26,$I26,0)</f>
        <v/>
      </c>
      <c r="AK26" s="182">
        <f>IF(AK$6&gt;=$H26,$I26,0)</f>
        <v/>
      </c>
      <c r="AL26" s="213">
        <f>19/119</f>
        <v/>
      </c>
      <c r="AM26" s="213" t="inlineStr">
        <is>
          <t>Betrag ausdruecklich brutto (11,90 € netto = 14,16 € brutto, Quellenzeile daneben).</t>
        </is>
      </c>
    </row>
    <row r="27" ht="51.75" customHeight="1" s="116">
      <c r="A27" s="149" t="n">
        <v>21</v>
      </c>
      <c r="B27" s="155" t="inlineStr">
        <is>
          <t>D</t>
        </is>
      </c>
      <c r="C27" s="120" t="inlineStr">
        <is>
          <t>Einkommensteuer-Rücklage</t>
        </is>
      </c>
      <c r="D27" s="149" t="inlineStr">
        <is>
          <t>variabel</t>
        </is>
      </c>
      <c r="E27" s="210">
        <f>'Plan-Annahmen'!$B$82</f>
        <v/>
      </c>
      <c r="F27" s="149" t="inlineStr">
        <is>
          <t>% vom Gewinn</t>
        </is>
      </c>
      <c r="G27" s="149" t="inlineStr">
        <is>
          <t>immer</t>
        </is>
      </c>
      <c r="H27" s="203" t="n"/>
      <c r="I27" s="139" t="n"/>
      <c r="J27" s="157" t="inlineStr">
        <is>
          <t>Im Raster: Grenzsteuersatz auf positive Monatsergebnisse, sofort zurückgelegt statt erst beim Bescheid. In der Einzelunternehmens-Phase ist das die korrekte Rechnung (gewerbliche Einkünfte oben auf das Gehalt).</t>
        </is>
      </c>
      <c r="N27" s="139" t="n"/>
      <c r="O27" s="139" t="n"/>
      <c r="P27" s="139" t="n"/>
      <c r="Q27" s="139" t="n"/>
      <c r="R27" s="139" t="n"/>
      <c r="S27" s="139" t="n"/>
      <c r="T27" s="139" t="n"/>
      <c r="U27" s="139" t="n"/>
      <c r="V27" s="139" t="n"/>
      <c r="W27" s="139" t="n"/>
      <c r="X27" s="139" t="n"/>
      <c r="Y27" s="139" t="n"/>
      <c r="Z27" s="139" t="n"/>
      <c r="AA27" s="139" t="n"/>
      <c r="AB27" s="139" t="n"/>
      <c r="AC27" s="139" t="n"/>
      <c r="AD27" s="139" t="n"/>
      <c r="AE27" s="139" t="n"/>
      <c r="AF27" s="139" t="n"/>
      <c r="AG27" s="139" t="n"/>
      <c r="AH27" s="139" t="n"/>
      <c r="AI27" s="139" t="n"/>
      <c r="AJ27" s="139" t="n"/>
      <c r="AK27" s="139" t="n"/>
      <c r="AL27" s="213" t="n">
        <v>0</v>
      </c>
      <c r="AM27" s="213" t="inlineStr">
        <is>
          <t>Einkommensteuer, keine Vorsteuer.</t>
        </is>
      </c>
    </row>
    <row r="28" ht="51.75" customHeight="1" s="116">
      <c r="A28" s="199" t="n">
        <v>22</v>
      </c>
      <c r="B28" s="200" t="inlineStr">
        <is>
          <t>D</t>
        </is>
      </c>
      <c r="C28" s="126" t="inlineStr">
        <is>
          <t>Gewerbesteuer</t>
        </is>
      </c>
      <c r="D28" s="199" t="inlineStr">
        <is>
          <t>nicht zutreffend</t>
        </is>
      </c>
      <c r="E28" s="201" t="n">
        <v>0</v>
      </c>
      <c r="F28" s="199" t="inlineStr">
        <is>
          <t>€/Jahr</t>
        </is>
      </c>
      <c r="G28" s="199" t="inlineStr">
        <is>
          <t>EU</t>
        </is>
      </c>
      <c r="H28" s="202" t="n"/>
      <c r="I28" s="154" t="n"/>
      <c r="J28" s="157" t="inlineStr">
        <is>
          <t>trifft im ganzen Horizont nicht zu: Freibetrag 24.500 € Gewerbeertrag für natürliche Personen (§ 11 GewStG), der Gewinn bleibt weit darunter. Ab UG-Gründung entfällt der Freibetrag — Teil der nicht simulierten UG-Besteuerung.</t>
        </is>
      </c>
      <c r="N28" s="139" t="n"/>
      <c r="O28" s="139" t="n"/>
      <c r="P28" s="139" t="n"/>
      <c r="Q28" s="139" t="n"/>
      <c r="R28" s="139" t="n"/>
      <c r="S28" s="139" t="n"/>
      <c r="T28" s="139" t="n"/>
      <c r="U28" s="139" t="n"/>
      <c r="V28" s="139" t="n"/>
      <c r="W28" s="139" t="n"/>
      <c r="X28" s="139" t="n"/>
      <c r="Y28" s="139" t="n"/>
      <c r="Z28" s="139" t="n"/>
      <c r="AA28" s="139" t="n"/>
      <c r="AB28" s="139" t="n"/>
      <c r="AC28" s="139" t="n"/>
      <c r="AD28" s="139" t="n"/>
      <c r="AE28" s="139" t="n"/>
      <c r="AF28" s="139" t="n"/>
      <c r="AG28" s="139" t="n"/>
      <c r="AH28" s="139" t="n"/>
      <c r="AI28" s="139" t="n"/>
      <c r="AJ28" s="139" t="n"/>
      <c r="AK28" s="139" t="n"/>
      <c r="AL28" s="213" t="n">
        <v>0</v>
      </c>
      <c r="AM28" s="213" t="inlineStr">
        <is>
          <t>trifft nicht zu.</t>
        </is>
      </c>
    </row>
    <row r="29" ht="77.25" customHeight="1" s="116">
      <c r="A29" s="204" t="n">
        <v>23</v>
      </c>
      <c r="B29" s="205" t="inlineStr">
        <is>
          <t>D</t>
        </is>
      </c>
      <c r="C29" s="138" t="inlineStr">
        <is>
          <t>Körperschaft- und Gewerbesteuer der UG</t>
        </is>
      </c>
      <c r="D29" s="204" t="inlineStr">
        <is>
          <t>nicht simuliert</t>
        </is>
      </c>
      <c r="E29" s="206" t="n">
        <v>0</v>
      </c>
      <c r="F29" s="204" t="inlineStr">
        <is>
          <t>—</t>
        </is>
      </c>
      <c r="G29" s="205" t="inlineStr">
        <is>
          <t>UG</t>
        </is>
      </c>
      <c r="H29" s="207" t="n"/>
      <c r="I29" s="211" t="n"/>
      <c r="J29" s="157" t="inlineStr">
        <is>
          <t>VORBEHALT, hängt am UG-Schalter: Für die Einzelunternehmens-Phase ist er gegenstandslos, das Raster rechnet dort korrekt. Ab dem UG-Monat gilt er unverändert: KSt 15 % + Soli + Gewerbesteuer auf Gesellschaftsebene, danach erst Geschäftsführergehalt oder Ausschüttung. Das ist eine Steuerberater-Rechnung, die ich nicht verbindlich aufstellen darf.</t>
        </is>
      </c>
      <c r="N29" s="139" t="n"/>
      <c r="O29" s="139" t="n"/>
      <c r="P29" s="139" t="n"/>
      <c r="Q29" s="139" t="n"/>
      <c r="R29" s="139" t="n"/>
      <c r="S29" s="139" t="n"/>
      <c r="T29" s="139" t="n"/>
      <c r="U29" s="139" t="n"/>
      <c r="V29" s="139" t="n"/>
      <c r="W29" s="139" t="n"/>
      <c r="X29" s="139" t="n"/>
      <c r="Y29" s="139" t="n"/>
      <c r="Z29" s="139" t="n"/>
      <c r="AA29" s="139" t="n"/>
      <c r="AB29" s="139" t="n"/>
      <c r="AC29" s="139" t="n"/>
      <c r="AD29" s="139" t="n"/>
      <c r="AE29" s="139" t="n"/>
      <c r="AF29" s="139" t="n"/>
      <c r="AG29" s="139" t="n"/>
      <c r="AH29" s="139" t="n"/>
      <c r="AI29" s="139" t="n"/>
      <c r="AJ29" s="139" t="n"/>
      <c r="AK29" s="139" t="n"/>
      <c r="AL29" s="213" t="n">
        <v>0</v>
      </c>
      <c r="AM29" s="213" t="inlineStr">
        <is>
          <t>nicht simuliert.</t>
        </is>
      </c>
    </row>
    <row r="30" ht="26.25" customHeight="1" s="116">
      <c r="A30" s="199" t="n">
        <v>24</v>
      </c>
      <c r="B30" s="200" t="inlineStr">
        <is>
          <t>D</t>
        </is>
      </c>
      <c r="C30" s="126" t="inlineStr">
        <is>
          <t>Solidaritätszuschlag</t>
        </is>
      </c>
      <c r="D30" s="199" t="inlineStr">
        <is>
          <t>nicht zutreffend</t>
        </is>
      </c>
      <c r="E30" s="201" t="n">
        <v>0</v>
      </c>
      <c r="F30" s="199" t="inlineStr">
        <is>
          <t>€/Jahr</t>
        </is>
      </c>
      <c r="G30" s="199" t="inlineStr">
        <is>
          <t>EU</t>
        </is>
      </c>
      <c r="H30" s="202" t="n"/>
      <c r="I30" s="154" t="n"/>
      <c r="J30" s="157" t="inlineStr">
        <is>
          <t>trifft nicht zu (Freigrenze nicht erreicht). Bei der UG fällt Soli auf die Körperschaftsteuer an.</t>
        </is>
      </c>
      <c r="N30" s="139" t="n"/>
      <c r="O30" s="139" t="n"/>
      <c r="P30" s="139" t="n"/>
      <c r="Q30" s="139" t="n"/>
      <c r="R30" s="139" t="n"/>
      <c r="S30" s="139" t="n"/>
      <c r="T30" s="139" t="n"/>
      <c r="U30" s="139" t="n"/>
      <c r="V30" s="139" t="n"/>
      <c r="W30" s="139" t="n"/>
      <c r="X30" s="139" t="n"/>
      <c r="Y30" s="139" t="n"/>
      <c r="Z30" s="139" t="n"/>
      <c r="AA30" s="139" t="n"/>
      <c r="AB30" s="139" t="n"/>
      <c r="AC30" s="139" t="n"/>
      <c r="AD30" s="139" t="n"/>
      <c r="AE30" s="139" t="n"/>
      <c r="AF30" s="139" t="n"/>
      <c r="AG30" s="139" t="n"/>
      <c r="AH30" s="139" t="n"/>
      <c r="AI30" s="139" t="n"/>
      <c r="AJ30" s="139" t="n"/>
      <c r="AK30" s="139" t="n"/>
      <c r="AL30" s="213" t="n">
        <v>0</v>
      </c>
      <c r="AM30" s="213" t="inlineStr">
        <is>
          <t>trifft nicht zu.</t>
        </is>
      </c>
    </row>
    <row r="31" ht="51.75" customHeight="1" s="116">
      <c r="A31" s="149" t="n">
        <v>25</v>
      </c>
      <c r="B31" s="155" t="inlineStr">
        <is>
          <t>D</t>
        </is>
      </c>
      <c r="C31" s="120" t="inlineStr">
        <is>
          <t>Umsatzsteuer / Vorsteuer</t>
        </is>
      </c>
      <c r="D31" s="149" t="inlineStr">
        <is>
          <t>variabel</t>
        </is>
      </c>
      <c r="E31" s="188">
        <f>'Plan-Annahmen'!$B$61</f>
        <v/>
      </c>
      <c r="F31" s="149" t="inlineStr">
        <is>
          <t>Schalter</t>
        </is>
      </c>
      <c r="G31" s="149" t="inlineStr">
        <is>
          <t>immer</t>
        </is>
      </c>
      <c r="H31" s="203" t="n"/>
      <c r="I31" s="139" t="n"/>
      <c r="J31" s="157" t="inlineStr">
        <is>
          <t>Beide Varianten rechenbar. Die Preise sind netto und die Kunden Unternehmen — die Umsatzsteuer läuft durch, die Wirkung liegt allein im Vorsteuerabzug (Zeile unten). Die Kleinunternehmergrenze wird im Horizont nicht gerissen, s. Deckblatt.</t>
        </is>
      </c>
      <c r="N31" s="139" t="n"/>
      <c r="O31" s="139" t="n"/>
      <c r="P31" s="139" t="n"/>
      <c r="Q31" s="139" t="n"/>
      <c r="R31" s="139" t="n"/>
      <c r="S31" s="139" t="n"/>
      <c r="T31" s="139" t="n"/>
      <c r="U31" s="139" t="n"/>
      <c r="V31" s="139" t="n"/>
      <c r="W31" s="139" t="n"/>
      <c r="X31" s="139" t="n"/>
      <c r="Y31" s="139" t="n"/>
      <c r="Z31" s="139" t="n"/>
      <c r="AA31" s="139" t="n"/>
      <c r="AB31" s="139" t="n"/>
      <c r="AC31" s="139" t="n"/>
      <c r="AD31" s="139" t="n"/>
      <c r="AE31" s="139" t="n"/>
      <c r="AF31" s="139" t="n"/>
      <c r="AG31" s="139" t="n"/>
      <c r="AH31" s="139" t="n"/>
      <c r="AI31" s="139" t="n"/>
      <c r="AJ31" s="139" t="n"/>
      <c r="AK31" s="139" t="n"/>
      <c r="AL31" s="213" t="n">
        <v>0</v>
      </c>
      <c r="AM31" s="213" t="inlineStr">
        <is>
          <t>Schalterzeile, kein Betrag.</t>
        </is>
      </c>
    </row>
    <row r="32" ht="39" customHeight="1" s="116">
      <c r="A32" s="149" t="n">
        <v>26</v>
      </c>
      <c r="B32" s="155" t="inlineStr">
        <is>
          <t>D</t>
        </is>
      </c>
      <c r="C32" s="120" t="inlineStr">
        <is>
          <t>Vorsteuer-Erstattung bei Regelbesteuerung (mindernd, Näherung)</t>
        </is>
      </c>
      <c r="D32" s="149" t="inlineStr">
        <is>
          <t>variabel</t>
        </is>
      </c>
      <c r="E32" s="181" t="n">
        <v>0</v>
      </c>
      <c r="F32" s="149" t="inlineStr">
        <is>
          <t>€</t>
        </is>
      </c>
      <c r="G32" s="149" t="inlineStr">
        <is>
          <t>immer</t>
        </is>
      </c>
      <c r="H32" s="203" t="n"/>
      <c r="I32" s="139" t="n"/>
      <c r="J32" s="157" t="inlineStr">
        <is>
          <t>Im Raster als negative Kostenzeile: (laufende + einmalige Kosten) × vorsteuerfähiger Anteil × 19/119 × Schalter. Bei ausgeschaltetem Schalter 0.</t>
        </is>
      </c>
      <c r="N32" s="139" t="n"/>
      <c r="O32" s="139" t="n"/>
      <c r="P32" s="139" t="n"/>
      <c r="Q32" s="139" t="n"/>
      <c r="R32" s="139" t="n"/>
      <c r="S32" s="139" t="n"/>
      <c r="T32" s="139" t="n"/>
      <c r="U32" s="139" t="n"/>
      <c r="V32" s="139" t="n"/>
      <c r="W32" s="139" t="n"/>
      <c r="X32" s="139" t="n"/>
      <c r="Y32" s="139" t="n"/>
      <c r="Z32" s="139" t="n"/>
      <c r="AA32" s="139" t="n"/>
      <c r="AB32" s="139" t="n"/>
      <c r="AC32" s="139" t="n"/>
      <c r="AD32" s="139" t="n"/>
      <c r="AE32" s="139" t="n"/>
      <c r="AF32" s="139" t="n"/>
      <c r="AG32" s="139" t="n"/>
      <c r="AH32" s="139" t="n"/>
      <c r="AI32" s="139" t="n"/>
      <c r="AJ32" s="139" t="n"/>
      <c r="AK32" s="139" t="n"/>
      <c r="AL32" s="213" t="n">
        <v>0</v>
      </c>
      <c r="AM32" s="213" t="inlineStr">
        <is>
          <t>Ergebniszeile, wird unten gerechnet.</t>
        </is>
      </c>
    </row>
    <row r="33" ht="64.5" customHeight="1" s="116">
      <c r="A33" s="149" t="n">
        <v>27</v>
      </c>
      <c r="B33" s="155" t="inlineStr">
        <is>
          <t>E</t>
        </is>
      </c>
      <c r="C33" s="120" t="inlineStr">
        <is>
          <t>Supabase (2 Projekte, Pro-Tarif, flach)</t>
        </is>
      </c>
      <c r="D33" s="149" t="inlineStr">
        <is>
          <t>laufend</t>
        </is>
      </c>
      <c r="E33" s="181" t="n">
        <v>50</v>
      </c>
      <c r="F33" s="149" t="inlineStr">
        <is>
          <t>USD/Monat</t>
        </is>
      </c>
      <c r="G33" s="149" t="inlineStr">
        <is>
          <t>immer</t>
        </is>
      </c>
      <c r="H33" s="203" t="n">
        <v>1</v>
      </c>
      <c r="I33" s="182">
        <f>IF(F33="€/Monat",E33,IF(F33="€/Jahr",E33/12,IF(F33="USD/Monat",E33*'Plan-Annahmen'!$B$20,IF(F33="USD einmalig",E33*'Plan-Annahmen'!$B$20,E33))))</f>
        <v/>
      </c>
      <c r="J33" s="157" t="inlineStr">
        <is>
          <t>CoS-P-008 (Platform): 2 × 25 $ Pro-Tarif, 0 % Nutzungsaufschlag (DB 22 MB von 8 GB, Speicher 87 MB von 100 GB). Flach, wächst bis weit über den Horizont hinaus nicht mit der Kundenzahl. Der letzte Einzelbeleg lag bei 53,83 $, noch vor der Bereinigung der Extra-Projekte.</t>
        </is>
      </c>
      <c r="N33" s="182">
        <f>IF(N$6&gt;=$H33,$I33,0)</f>
        <v/>
      </c>
      <c r="O33" s="182">
        <f>IF(O$6&gt;=$H33,$I33,0)</f>
        <v/>
      </c>
      <c r="P33" s="182">
        <f>IF(P$6&gt;=$H33,$I33,0)</f>
        <v/>
      </c>
      <c r="Q33" s="182">
        <f>IF(Q$6&gt;=$H33,$I33,0)</f>
        <v/>
      </c>
      <c r="R33" s="182">
        <f>IF(R$6&gt;=$H33,$I33,0)</f>
        <v/>
      </c>
      <c r="S33" s="182">
        <f>IF(S$6&gt;=$H33,$I33,0)</f>
        <v/>
      </c>
      <c r="T33" s="182">
        <f>IF(T$6&gt;=$H33,$I33,0)</f>
        <v/>
      </c>
      <c r="U33" s="182">
        <f>IF(U$6&gt;=$H33,$I33,0)</f>
        <v/>
      </c>
      <c r="V33" s="182">
        <f>IF(V$6&gt;=$H33,$I33,0)</f>
        <v/>
      </c>
      <c r="W33" s="182">
        <f>IF(W$6&gt;=$H33,$I33,0)</f>
        <v/>
      </c>
      <c r="X33" s="182">
        <f>IF(X$6&gt;=$H33,$I33,0)</f>
        <v/>
      </c>
      <c r="Y33" s="182">
        <f>IF(Y$6&gt;=$H33,$I33,0)</f>
        <v/>
      </c>
      <c r="Z33" s="182">
        <f>IF(Z$6&gt;=$H33,$I33,0)</f>
        <v/>
      </c>
      <c r="AA33" s="182">
        <f>IF(AA$6&gt;=$H33,$I33,0)</f>
        <v/>
      </c>
      <c r="AB33" s="182">
        <f>IF(AB$6&gt;=$H33,$I33,0)</f>
        <v/>
      </c>
      <c r="AC33" s="182">
        <f>IF(AC$6&gt;=$H33,$I33,0)</f>
        <v/>
      </c>
      <c r="AD33" s="182">
        <f>IF(AD$6&gt;=$H33,$I33,0)</f>
        <v/>
      </c>
      <c r="AE33" s="182">
        <f>IF(AE$6&gt;=$H33,$I33,0)</f>
        <v/>
      </c>
      <c r="AF33" s="182">
        <f>IF(AF$6&gt;=$H33,$I33,0)</f>
        <v/>
      </c>
      <c r="AG33" s="182">
        <f>IF(AG$6&gt;=$H33,$I33,0)</f>
        <v/>
      </c>
      <c r="AH33" s="182">
        <f>IF(AH$6&gt;=$H33,$I33,0)</f>
        <v/>
      </c>
      <c r="AI33" s="182">
        <f>IF(AI$6&gt;=$H33,$I33,0)</f>
        <v/>
      </c>
      <c r="AJ33" s="182">
        <f>IF(AJ$6&gt;=$H33,$I33,0)</f>
        <v/>
      </c>
      <c r="AK33" s="182">
        <f>IF(AK$6&gt;=$H33,$I33,0)</f>
        <v/>
      </c>
      <c r="AL33" s="213" t="n">
        <v>0</v>
      </c>
      <c r="AM33" s="213" t="inlineStr">
        <is>
          <t>Reverse Charge § 13b UStG: Supabase weist keine USt aus. Unter Regelbesteuerung angemeldet und im selben Zug gezogen — durchlaufend, Saldo null.</t>
        </is>
      </c>
    </row>
    <row r="34" ht="26.25" customHeight="1" s="116">
      <c r="A34" s="149" t="n">
        <v>28</v>
      </c>
      <c r="B34" s="155" t="inlineStr">
        <is>
          <t>E</t>
        </is>
      </c>
      <c r="C34" s="120" t="inlineStr">
        <is>
          <t>Vercel (Pro-Seat)</t>
        </is>
      </c>
      <c r="D34" s="149" t="inlineStr">
        <is>
          <t>laufend</t>
        </is>
      </c>
      <c r="E34" s="181" t="n">
        <v>23.8</v>
      </c>
      <c r="F34" s="149" t="inlineStr">
        <is>
          <t>USD/Monat</t>
        </is>
      </c>
      <c r="G34" s="149" t="inlineStr">
        <is>
          <t>immer</t>
        </is>
      </c>
      <c r="H34" s="203" t="n">
        <v>1</v>
      </c>
      <c r="I34" s="182">
        <f>IF(F34="€/Monat",E34,IF(F34="€/Jahr",E34/12,IF(F34="USD/Monat",E34*'Plan-Annahmen'!$B$20,IF(F34="USD einmalig",E34*'Plan-Annahmen'!$B$20,E34))))</f>
        <v/>
      </c>
      <c r="J34" s="157" t="inlineStr">
        <is>
          <t>Stabil über vier Belege (Journal 2026-002/005/007/015), inkl. USt. Wächst mit Personal, nicht mit Kunden.</t>
        </is>
      </c>
      <c r="N34" s="182">
        <f>IF(N$6&gt;=$H34,$I34,0)</f>
        <v/>
      </c>
      <c r="O34" s="182">
        <f>IF(O$6&gt;=$H34,$I34,0)</f>
        <v/>
      </c>
      <c r="P34" s="182">
        <f>IF(P$6&gt;=$H34,$I34,0)</f>
        <v/>
      </c>
      <c r="Q34" s="182">
        <f>IF(Q$6&gt;=$H34,$I34,0)</f>
        <v/>
      </c>
      <c r="R34" s="182">
        <f>IF(R$6&gt;=$H34,$I34,0)</f>
        <v/>
      </c>
      <c r="S34" s="182">
        <f>IF(S$6&gt;=$H34,$I34,0)</f>
        <v/>
      </c>
      <c r="T34" s="182">
        <f>IF(T$6&gt;=$H34,$I34,0)</f>
        <v/>
      </c>
      <c r="U34" s="182">
        <f>IF(U$6&gt;=$H34,$I34,0)</f>
        <v/>
      </c>
      <c r="V34" s="182">
        <f>IF(V$6&gt;=$H34,$I34,0)</f>
        <v/>
      </c>
      <c r="W34" s="182">
        <f>IF(W$6&gt;=$H34,$I34,0)</f>
        <v/>
      </c>
      <c r="X34" s="182">
        <f>IF(X$6&gt;=$H34,$I34,0)</f>
        <v/>
      </c>
      <c r="Y34" s="182">
        <f>IF(Y$6&gt;=$H34,$I34,0)</f>
        <v/>
      </c>
      <c r="Z34" s="182">
        <f>IF(Z$6&gt;=$H34,$I34,0)</f>
        <v/>
      </c>
      <c r="AA34" s="182">
        <f>IF(AA$6&gt;=$H34,$I34,0)</f>
        <v/>
      </c>
      <c r="AB34" s="182">
        <f>IF(AB$6&gt;=$H34,$I34,0)</f>
        <v/>
      </c>
      <c r="AC34" s="182">
        <f>IF(AC$6&gt;=$H34,$I34,0)</f>
        <v/>
      </c>
      <c r="AD34" s="182">
        <f>IF(AD$6&gt;=$H34,$I34,0)</f>
        <v/>
      </c>
      <c r="AE34" s="182">
        <f>IF(AE$6&gt;=$H34,$I34,0)</f>
        <v/>
      </c>
      <c r="AF34" s="182">
        <f>IF(AF$6&gt;=$H34,$I34,0)</f>
        <v/>
      </c>
      <c r="AG34" s="182">
        <f>IF(AG$6&gt;=$H34,$I34,0)</f>
        <v/>
      </c>
      <c r="AH34" s="182">
        <f>IF(AH$6&gt;=$H34,$I34,0)</f>
        <v/>
      </c>
      <c r="AI34" s="182">
        <f>IF(AI$6&gt;=$H34,$I34,0)</f>
        <v/>
      </c>
      <c r="AJ34" s="182">
        <f>IF(AJ$6&gt;=$H34,$I34,0)</f>
        <v/>
      </c>
      <c r="AK34" s="182">
        <f>IF(AK$6&gt;=$H34,$I34,0)</f>
        <v/>
      </c>
      <c r="AL34" s="213">
        <f>19/119</f>
        <v/>
      </c>
      <c r="AM34" s="213" t="inlineStr">
        <is>
          <t>Beleg brutto inkl. 19 % (Journal 2026-002/005/007/015, EU VAT EU056329113) — Vercel rechnet KEIN Reverse Charge ab.</t>
        </is>
      </c>
    </row>
    <row r="35" ht="39" customHeight="1" s="116">
      <c r="A35" s="204" t="n">
        <v>29</v>
      </c>
      <c r="B35" s="205" t="inlineStr">
        <is>
          <t>E</t>
        </is>
      </c>
      <c r="C35" s="138" t="inlineStr">
        <is>
          <t>Anthropic — direkt (KI-Rollen, Entwicklung)</t>
        </is>
      </c>
      <c r="D35" s="204" t="inlineStr">
        <is>
          <t>laufend</t>
        </is>
      </c>
      <c r="E35" s="206" t="n">
        <v>53.55</v>
      </c>
      <c r="F35" s="204" t="inlineStr">
        <is>
          <t>USD/Monat</t>
        </is>
      </c>
      <c r="G35" s="204" t="inlineStr">
        <is>
          <t>immer</t>
        </is>
      </c>
      <c r="H35" s="207" t="n">
        <v>1</v>
      </c>
      <c r="I35" s="208">
        <f>IF(F35="€/Monat",E35,IF(F35="€/Jahr",E35/12,IF(F35="USD/Monat",E35*'Plan-Annahmen'!$B$20,IF(F35="USD einmalig",E35*'Plan-Annahmen'!$B$20,E35))))</f>
        <v/>
      </c>
      <c r="J35" s="157" t="inlineStr">
        <is>
          <t>Journal 2026-010 vom 17.08.2026. OFFEN, ob wiederkehrend oder einmaliger Nachkauf — hier vorsichtshalber monatlich (46 €/Monat Unterschied).</t>
        </is>
      </c>
      <c r="N35" s="182">
        <f>IF(N$6&gt;=$H35,$I35,0)</f>
        <v/>
      </c>
      <c r="O35" s="182">
        <f>IF(O$6&gt;=$H35,$I35,0)</f>
        <v/>
      </c>
      <c r="P35" s="182">
        <f>IF(P$6&gt;=$H35,$I35,0)</f>
        <v/>
      </c>
      <c r="Q35" s="182">
        <f>IF(Q$6&gt;=$H35,$I35,0)</f>
        <v/>
      </c>
      <c r="R35" s="182">
        <f>IF(R$6&gt;=$H35,$I35,0)</f>
        <v/>
      </c>
      <c r="S35" s="182">
        <f>IF(S$6&gt;=$H35,$I35,0)</f>
        <v/>
      </c>
      <c r="T35" s="182">
        <f>IF(T$6&gt;=$H35,$I35,0)</f>
        <v/>
      </c>
      <c r="U35" s="182">
        <f>IF(U$6&gt;=$H35,$I35,0)</f>
        <v/>
      </c>
      <c r="V35" s="182">
        <f>IF(V$6&gt;=$H35,$I35,0)</f>
        <v/>
      </c>
      <c r="W35" s="182">
        <f>IF(W$6&gt;=$H35,$I35,0)</f>
        <v/>
      </c>
      <c r="X35" s="182">
        <f>IF(X$6&gt;=$H35,$I35,0)</f>
        <v/>
      </c>
      <c r="Y35" s="182">
        <f>IF(Y$6&gt;=$H35,$I35,0)</f>
        <v/>
      </c>
      <c r="Z35" s="182">
        <f>IF(Z$6&gt;=$H35,$I35,0)</f>
        <v/>
      </c>
      <c r="AA35" s="182">
        <f>IF(AA$6&gt;=$H35,$I35,0)</f>
        <v/>
      </c>
      <c r="AB35" s="182">
        <f>IF(AB$6&gt;=$H35,$I35,0)</f>
        <v/>
      </c>
      <c r="AC35" s="182">
        <f>IF(AC$6&gt;=$H35,$I35,0)</f>
        <v/>
      </c>
      <c r="AD35" s="182">
        <f>IF(AD$6&gt;=$H35,$I35,0)</f>
        <v/>
      </c>
      <c r="AE35" s="182">
        <f>IF(AE$6&gt;=$H35,$I35,0)</f>
        <v/>
      </c>
      <c r="AF35" s="182">
        <f>IF(AF$6&gt;=$H35,$I35,0)</f>
        <v/>
      </c>
      <c r="AG35" s="182">
        <f>IF(AG$6&gt;=$H35,$I35,0)</f>
        <v/>
      </c>
      <c r="AH35" s="182">
        <f>IF(AH$6&gt;=$H35,$I35,0)</f>
        <v/>
      </c>
      <c r="AI35" s="182">
        <f>IF(AI$6&gt;=$H35,$I35,0)</f>
        <v/>
      </c>
      <c r="AJ35" s="182">
        <f>IF(AJ$6&gt;=$H35,$I35,0)</f>
        <v/>
      </c>
      <c r="AK35" s="182">
        <f>IF(AK$6&gt;=$H35,$I35,0)</f>
        <v/>
      </c>
      <c r="AL35" s="213">
        <f>19/119</f>
        <v/>
      </c>
      <c r="AM35" s="213" t="inlineStr">
        <is>
          <t>Beleg brutto inkl. 19 % (Journal 2026-010, EU VAT IE4276970QH).</t>
        </is>
      </c>
    </row>
    <row r="36" ht="26.25" customHeight="1" s="116">
      <c r="A36" s="149" t="n">
        <v>30</v>
      </c>
      <c r="B36" s="155" t="inlineStr">
        <is>
          <t>E</t>
        </is>
      </c>
      <c r="C36" s="120" t="inlineStr">
        <is>
          <t>Claude Pro (Apple/iTunes)</t>
        </is>
      </c>
      <c r="D36" s="149" t="inlineStr">
        <is>
          <t>laufend</t>
        </is>
      </c>
      <c r="E36" s="181" t="n">
        <v>22</v>
      </c>
      <c r="F36" s="149" t="inlineStr">
        <is>
          <t>€/Monat</t>
        </is>
      </c>
      <c r="G36" s="149" t="inlineStr">
        <is>
          <t>immer</t>
        </is>
      </c>
      <c r="H36" s="203" t="n">
        <v>1</v>
      </c>
      <c r="I36" s="182">
        <f>IF(F36="€/Monat",E36,IF(F36="€/Jahr",E36/12,IF(F36="USD/Monat",E36*'Plan-Annahmen'!$B$20,IF(F36="USD einmalig",E36*'Plan-Annahmen'!$B$20,E36))))</f>
        <v/>
      </c>
      <c r="J36" s="157" t="inlineStr">
        <is>
          <t>Von Sandy als geschäftlich bestätigt (03.09.2026). Monatlich, automatische Verlängerung.</t>
        </is>
      </c>
      <c r="N36" s="182">
        <f>IF(N$6&gt;=$H36,$I36,0)</f>
        <v/>
      </c>
      <c r="O36" s="182">
        <f>IF(O$6&gt;=$H36,$I36,0)</f>
        <v/>
      </c>
      <c r="P36" s="182">
        <f>IF(P$6&gt;=$H36,$I36,0)</f>
        <v/>
      </c>
      <c r="Q36" s="182">
        <f>IF(Q$6&gt;=$H36,$I36,0)</f>
        <v/>
      </c>
      <c r="R36" s="182">
        <f>IF(R$6&gt;=$H36,$I36,0)</f>
        <v/>
      </c>
      <c r="S36" s="182">
        <f>IF(S$6&gt;=$H36,$I36,0)</f>
        <v/>
      </c>
      <c r="T36" s="182">
        <f>IF(T$6&gt;=$H36,$I36,0)</f>
        <v/>
      </c>
      <c r="U36" s="182">
        <f>IF(U$6&gt;=$H36,$I36,0)</f>
        <v/>
      </c>
      <c r="V36" s="182">
        <f>IF(V$6&gt;=$H36,$I36,0)</f>
        <v/>
      </c>
      <c r="W36" s="182">
        <f>IF(W$6&gt;=$H36,$I36,0)</f>
        <v/>
      </c>
      <c r="X36" s="182">
        <f>IF(X$6&gt;=$H36,$I36,0)</f>
        <v/>
      </c>
      <c r="Y36" s="182">
        <f>IF(Y$6&gt;=$H36,$I36,0)</f>
        <v/>
      </c>
      <c r="Z36" s="182">
        <f>IF(Z$6&gt;=$H36,$I36,0)</f>
        <v/>
      </c>
      <c r="AA36" s="182">
        <f>IF(AA$6&gt;=$H36,$I36,0)</f>
        <v/>
      </c>
      <c r="AB36" s="182">
        <f>IF(AB$6&gt;=$H36,$I36,0)</f>
        <v/>
      </c>
      <c r="AC36" s="182">
        <f>IF(AC$6&gt;=$H36,$I36,0)</f>
        <v/>
      </c>
      <c r="AD36" s="182">
        <f>IF(AD$6&gt;=$H36,$I36,0)</f>
        <v/>
      </c>
      <c r="AE36" s="182">
        <f>IF(AE$6&gt;=$H36,$I36,0)</f>
        <v/>
      </c>
      <c r="AF36" s="182">
        <f>IF(AF$6&gt;=$H36,$I36,0)</f>
        <v/>
      </c>
      <c r="AG36" s="182">
        <f>IF(AG$6&gt;=$H36,$I36,0)</f>
        <v/>
      </c>
      <c r="AH36" s="182">
        <f>IF(AH$6&gt;=$H36,$I36,0)</f>
        <v/>
      </c>
      <c r="AI36" s="182">
        <f>IF(AI$6&gt;=$H36,$I36,0)</f>
        <v/>
      </c>
      <c r="AJ36" s="182">
        <f>IF(AJ$6&gt;=$H36,$I36,0)</f>
        <v/>
      </c>
      <c r="AK36" s="182">
        <f>IF(AK$6&gt;=$H36,$I36,0)</f>
        <v/>
      </c>
      <c r="AL36" s="213">
        <f>19/119</f>
        <v/>
      </c>
      <c r="AM36" s="213" t="inlineStr">
        <is>
          <t>Beleg brutto inkl. 19 % (Journal 2026-001/009, Apple Distribution International).</t>
        </is>
      </c>
    </row>
    <row r="37" ht="51.75" customHeight="1" s="116">
      <c r="A37" s="149" t="n">
        <v>31</v>
      </c>
      <c r="B37" s="155" t="inlineStr">
        <is>
          <t>E</t>
        </is>
      </c>
      <c r="C37" s="120" t="inlineStr">
        <is>
          <t>Domain / IONOS (nur Sofortangebot-Anteil)</t>
        </is>
      </c>
      <c r="D37" s="149" t="inlineStr">
        <is>
          <t>laufend</t>
        </is>
      </c>
      <c r="E37" s="184">
        <f>2.5+13/12</f>
        <v/>
      </c>
      <c r="F37" s="149" t="inlineStr">
        <is>
          <t>€/Monat</t>
        </is>
      </c>
      <c r="G37" s="149" t="inlineStr">
        <is>
          <t>immer</t>
        </is>
      </c>
      <c r="H37" s="203" t="n">
        <v>1</v>
      </c>
      <c r="I37" s="182">
        <f>IF(F37="€/Monat",E37,IF(F37="€/Jahr",E37/12,IF(F37="USD/Monat",E37*'Plan-Annahmen'!$B$20,IF(F37="USD einmalig",E37*'Plan-Annahmen'!$B$20,E37))))</f>
        <v/>
      </c>
      <c r="J37" s="157" t="inlineStr">
        <is>
          <t>2,50 €/Monat (IONOS Mail Basic 5) + 13,00 €/Jahr (Domain .app + Domain Guard) anteilig = 2,50 + 13/12. Fremde Domains auf denselben Rechnungen bleiben ausgeschlossen (Rechnungsjournal, Spalte 'Sofortangebot-Anteil').</t>
        </is>
      </c>
      <c r="N37" s="182">
        <f>IF(N$6&gt;=$H37,$I37,0)</f>
        <v/>
      </c>
      <c r="O37" s="182">
        <f>IF(O$6&gt;=$H37,$I37,0)</f>
        <v/>
      </c>
      <c r="P37" s="182">
        <f>IF(P$6&gt;=$H37,$I37,0)</f>
        <v/>
      </c>
      <c r="Q37" s="182">
        <f>IF(Q$6&gt;=$H37,$I37,0)</f>
        <v/>
      </c>
      <c r="R37" s="182">
        <f>IF(R$6&gt;=$H37,$I37,0)</f>
        <v/>
      </c>
      <c r="S37" s="182">
        <f>IF(S$6&gt;=$H37,$I37,0)</f>
        <v/>
      </c>
      <c r="T37" s="182">
        <f>IF(T$6&gt;=$H37,$I37,0)</f>
        <v/>
      </c>
      <c r="U37" s="182">
        <f>IF(U$6&gt;=$H37,$I37,0)</f>
        <v/>
      </c>
      <c r="V37" s="182">
        <f>IF(V$6&gt;=$H37,$I37,0)</f>
        <v/>
      </c>
      <c r="W37" s="182">
        <f>IF(W$6&gt;=$H37,$I37,0)</f>
        <v/>
      </c>
      <c r="X37" s="182">
        <f>IF(X$6&gt;=$H37,$I37,0)</f>
        <v/>
      </c>
      <c r="Y37" s="182">
        <f>IF(Y$6&gt;=$H37,$I37,0)</f>
        <v/>
      </c>
      <c r="Z37" s="182">
        <f>IF(Z$6&gt;=$H37,$I37,0)</f>
        <v/>
      </c>
      <c r="AA37" s="182">
        <f>IF(AA$6&gt;=$H37,$I37,0)</f>
        <v/>
      </c>
      <c r="AB37" s="182">
        <f>IF(AB$6&gt;=$H37,$I37,0)</f>
        <v/>
      </c>
      <c r="AC37" s="182">
        <f>IF(AC$6&gt;=$H37,$I37,0)</f>
        <v/>
      </c>
      <c r="AD37" s="182">
        <f>IF(AD$6&gt;=$H37,$I37,0)</f>
        <v/>
      </c>
      <c r="AE37" s="182">
        <f>IF(AE$6&gt;=$H37,$I37,0)</f>
        <v/>
      </c>
      <c r="AF37" s="182">
        <f>IF(AF$6&gt;=$H37,$I37,0)</f>
        <v/>
      </c>
      <c r="AG37" s="182">
        <f>IF(AG$6&gt;=$H37,$I37,0)</f>
        <v/>
      </c>
      <c r="AH37" s="182">
        <f>IF(AH$6&gt;=$H37,$I37,0)</f>
        <v/>
      </c>
      <c r="AI37" s="182">
        <f>IF(AI$6&gt;=$H37,$I37,0)</f>
        <v/>
      </c>
      <c r="AJ37" s="182">
        <f>IF(AJ$6&gt;=$H37,$I37,0)</f>
        <v/>
      </c>
      <c r="AK37" s="182">
        <f>IF(AK$6&gt;=$H37,$I37,0)</f>
        <v/>
      </c>
      <c r="AL37" s="213">
        <f>19/119</f>
        <v/>
      </c>
      <c r="AM37" s="213" t="inlineStr">
        <is>
          <t>Beleg brutto inkl. 19 % (Journal 2026-011 bis -017, IONOS SE, USt-IdNr. DE815563912).</t>
        </is>
      </c>
    </row>
    <row r="38" ht="15" customHeight="1" s="116">
      <c r="A38" s="149" t="n">
        <v>32</v>
      </c>
      <c r="B38" s="155" t="inlineStr">
        <is>
          <t>E</t>
        </is>
      </c>
      <c r="C38" s="120" t="inlineStr">
        <is>
          <t>Resend / Sentry / GitHub-Plan</t>
        </is>
      </c>
      <c r="D38" s="149" t="inlineStr">
        <is>
          <t>laufend</t>
        </is>
      </c>
      <c r="E38" s="181" t="n">
        <v>0</v>
      </c>
      <c r="F38" s="149" t="inlineStr">
        <is>
          <t>€/Monat</t>
        </is>
      </c>
      <c r="G38" s="149" t="inlineStr">
        <is>
          <t>immer</t>
        </is>
      </c>
      <c r="H38" s="203" t="n">
        <v>1</v>
      </c>
      <c r="I38" s="182">
        <f>IF(F38="€/Monat",E38,IF(F38="€/Jahr",E38/12,IF(F38="USD/Monat",E38*'Plan-Annahmen'!$B$20,IF(F38="USD einmalig",E38*'Plan-Annahmen'!$B$20,E38))))</f>
        <v/>
      </c>
      <c r="J38" s="157" t="inlineStr">
        <is>
          <t>Aktuell 0 € (Free-Tier, keine Belege). Im Code bestätigt.</t>
        </is>
      </c>
      <c r="N38" s="182">
        <f>IF(N$6&gt;=$H38,$I38,0)</f>
        <v/>
      </c>
      <c r="O38" s="182">
        <f>IF(O$6&gt;=$H38,$I38,0)</f>
        <v/>
      </c>
      <c r="P38" s="182">
        <f>IF(P$6&gt;=$H38,$I38,0)</f>
        <v/>
      </c>
      <c r="Q38" s="182">
        <f>IF(Q$6&gt;=$H38,$I38,0)</f>
        <v/>
      </c>
      <c r="R38" s="182">
        <f>IF(R$6&gt;=$H38,$I38,0)</f>
        <v/>
      </c>
      <c r="S38" s="182">
        <f>IF(S$6&gt;=$H38,$I38,0)</f>
        <v/>
      </c>
      <c r="T38" s="182">
        <f>IF(T$6&gt;=$H38,$I38,0)</f>
        <v/>
      </c>
      <c r="U38" s="182">
        <f>IF(U$6&gt;=$H38,$I38,0)</f>
        <v/>
      </c>
      <c r="V38" s="182">
        <f>IF(V$6&gt;=$H38,$I38,0)</f>
        <v/>
      </c>
      <c r="W38" s="182">
        <f>IF(W$6&gt;=$H38,$I38,0)</f>
        <v/>
      </c>
      <c r="X38" s="182">
        <f>IF(X$6&gt;=$H38,$I38,0)</f>
        <v/>
      </c>
      <c r="Y38" s="182">
        <f>IF(Y$6&gt;=$H38,$I38,0)</f>
        <v/>
      </c>
      <c r="Z38" s="182">
        <f>IF(Z$6&gt;=$H38,$I38,0)</f>
        <v/>
      </c>
      <c r="AA38" s="182">
        <f>IF(AA$6&gt;=$H38,$I38,0)</f>
        <v/>
      </c>
      <c r="AB38" s="182">
        <f>IF(AB$6&gt;=$H38,$I38,0)</f>
        <v/>
      </c>
      <c r="AC38" s="182">
        <f>IF(AC$6&gt;=$H38,$I38,0)</f>
        <v/>
      </c>
      <c r="AD38" s="182">
        <f>IF(AD$6&gt;=$H38,$I38,0)</f>
        <v/>
      </c>
      <c r="AE38" s="182">
        <f>IF(AE$6&gt;=$H38,$I38,0)</f>
        <v/>
      </c>
      <c r="AF38" s="182">
        <f>IF(AF$6&gt;=$H38,$I38,0)</f>
        <v/>
      </c>
      <c r="AG38" s="182">
        <f>IF(AG$6&gt;=$H38,$I38,0)</f>
        <v/>
      </c>
      <c r="AH38" s="182">
        <f>IF(AH$6&gt;=$H38,$I38,0)</f>
        <v/>
      </c>
      <c r="AI38" s="182">
        <f>IF(AI$6&gt;=$H38,$I38,0)</f>
        <v/>
      </c>
      <c r="AJ38" s="182">
        <f>IF(AJ$6&gt;=$H38,$I38,0)</f>
        <v/>
      </c>
      <c r="AK38" s="182">
        <f>IF(AK$6&gt;=$H38,$I38,0)</f>
        <v/>
      </c>
      <c r="AL38" s="213" t="n">
        <v>0</v>
      </c>
      <c r="AM38" s="213" t="inlineStr">
        <is>
          <t>Betrag 0.</t>
        </is>
      </c>
    </row>
    <row r="39" ht="26.25" customHeight="1" s="116">
      <c r="A39" s="199" t="n">
        <v>33</v>
      </c>
      <c r="B39" s="200" t="inlineStr">
        <is>
          <t>E</t>
        </is>
      </c>
      <c r="C39" s="126" t="inlineStr">
        <is>
          <t>Resend Pro ab ~200 aktiven Betrieben</t>
        </is>
      </c>
      <c r="D39" s="199" t="inlineStr">
        <is>
          <t>nicht zutreffend</t>
        </is>
      </c>
      <c r="E39" s="201" t="n">
        <v>0</v>
      </c>
      <c r="F39" s="199" t="inlineStr">
        <is>
          <t>USD/Monat</t>
        </is>
      </c>
      <c r="G39" s="199" t="inlineStr">
        <is>
          <t>immer</t>
        </is>
      </c>
      <c r="H39" s="202" t="n"/>
      <c r="I39" s="154" t="n"/>
      <c r="J39" s="157" t="inlineStr">
        <is>
          <t>trifft im Horizont nicht zu: selbst das optimistische Szenario erreicht keine 200 Betriebe (Schwelle aus CoS-P-008).</t>
        </is>
      </c>
      <c r="N39" s="139" t="n"/>
      <c r="O39" s="139" t="n"/>
      <c r="P39" s="139" t="n"/>
      <c r="Q39" s="139" t="n"/>
      <c r="R39" s="139" t="n"/>
      <c r="S39" s="139" t="n"/>
      <c r="T39" s="139" t="n"/>
      <c r="U39" s="139" t="n"/>
      <c r="V39" s="139" t="n"/>
      <c r="W39" s="139" t="n"/>
      <c r="X39" s="139" t="n"/>
      <c r="Y39" s="139" t="n"/>
      <c r="Z39" s="139" t="n"/>
      <c r="AA39" s="139" t="n"/>
      <c r="AB39" s="139" t="n"/>
      <c r="AC39" s="139" t="n"/>
      <c r="AD39" s="139" t="n"/>
      <c r="AE39" s="139" t="n"/>
      <c r="AF39" s="139" t="n"/>
      <c r="AG39" s="139" t="n"/>
      <c r="AH39" s="139" t="n"/>
      <c r="AI39" s="139" t="n"/>
      <c r="AJ39" s="139" t="n"/>
      <c r="AK39" s="139" t="n"/>
      <c r="AL39" s="213" t="n">
        <v>0</v>
      </c>
      <c r="AM39" s="213" t="inlineStr">
        <is>
          <t>trifft nicht zu.</t>
        </is>
      </c>
    </row>
    <row r="40" ht="26.25" customHeight="1" s="116">
      <c r="A40" s="149" t="n">
        <v>34</v>
      </c>
      <c r="B40" s="155" t="inlineStr">
        <is>
          <t>E</t>
        </is>
      </c>
      <c r="C40" s="120" t="inlineStr">
        <is>
          <t>OpenAI (Whisper + GPT-4o) — KI-Kosten je Angebot</t>
        </is>
      </c>
      <c r="D40" s="149" t="inlineStr">
        <is>
          <t>variabel</t>
        </is>
      </c>
      <c r="E40" s="188">
        <f>'Plan-Annahmen'!$B$17</f>
        <v/>
      </c>
      <c r="F40" s="149" t="inlineStr">
        <is>
          <t>Cent/Angebot</t>
        </is>
      </c>
      <c r="G40" s="149" t="inlineStr">
        <is>
          <t>immer</t>
        </is>
      </c>
      <c r="H40" s="203" t="n"/>
      <c r="I40" s="139" t="n"/>
      <c r="J40" s="157" t="inlineStr">
        <is>
          <t>Im Raster: aktive Kunden × Angebote × 2,5 Cent. Bewusst nicht zusätzlich als Fixkosten — sonst Doppelzählung.</t>
        </is>
      </c>
      <c r="N40" s="139" t="n"/>
      <c r="O40" s="139" t="n"/>
      <c r="P40" s="139" t="n"/>
      <c r="Q40" s="139" t="n"/>
      <c r="R40" s="139" t="n"/>
      <c r="S40" s="139" t="n"/>
      <c r="T40" s="139" t="n"/>
      <c r="U40" s="139" t="n"/>
      <c r="V40" s="139" t="n"/>
      <c r="W40" s="139" t="n"/>
      <c r="X40" s="139" t="n"/>
      <c r="Y40" s="139" t="n"/>
      <c r="Z40" s="139" t="n"/>
      <c r="AA40" s="139" t="n"/>
      <c r="AB40" s="139" t="n"/>
      <c r="AC40" s="139" t="n"/>
      <c r="AD40" s="139" t="n"/>
      <c r="AE40" s="139" t="n"/>
      <c r="AF40" s="139" t="n"/>
      <c r="AG40" s="139" t="n"/>
      <c r="AH40" s="139" t="n"/>
      <c r="AI40" s="139" t="n"/>
      <c r="AJ40" s="139" t="n"/>
      <c r="AK40" s="139" t="n"/>
      <c r="AL40" s="213" t="n">
        <v>0</v>
      </c>
      <c r="AM40" s="213" t="inlineStr">
        <is>
          <t>variabel, laeuft im Raster ueber Plan-24M Spalte K (unveraendert). Die 2,5 Cent sind ein Netto-Listenpreis in USD — unter Regelbesteuerung damit bereits der richtige Kostenwert.</t>
        </is>
      </c>
    </row>
    <row r="41" ht="15" customHeight="1" s="116">
      <c r="A41" s="149" t="n">
        <v>35</v>
      </c>
      <c r="B41" s="155" t="inlineStr">
        <is>
          <t>E</t>
        </is>
      </c>
      <c r="C41" s="120" t="inlineStr">
        <is>
          <t>Stripe-Transaktionsgebühren</t>
        </is>
      </c>
      <c r="D41" s="149" t="inlineStr">
        <is>
          <t>variabel</t>
        </is>
      </c>
      <c r="E41" s="210">
        <f>'Plan-Annahmen'!$B$18</f>
        <v/>
      </c>
      <c r="F41" s="149" t="inlineStr">
        <is>
          <t>% + fix</t>
        </is>
      </c>
      <c r="G41" s="149" t="inlineStr">
        <is>
          <t>immer</t>
        </is>
      </c>
      <c r="H41" s="203" t="n"/>
      <c r="I41" s="139" t="n"/>
      <c r="J41" s="157" t="inlineStr">
        <is>
          <t>Im Raster je zahlendem Kunden und Monat: 1,5 % + 0,25 €.</t>
        </is>
      </c>
      <c r="N41" s="139" t="n"/>
      <c r="O41" s="139" t="n"/>
      <c r="P41" s="139" t="n"/>
      <c r="Q41" s="139" t="n"/>
      <c r="R41" s="139" t="n"/>
      <c r="S41" s="139" t="n"/>
      <c r="T41" s="139" t="n"/>
      <c r="U41" s="139" t="n"/>
      <c r="V41" s="139" t="n"/>
      <c r="W41" s="139" t="n"/>
      <c r="X41" s="139" t="n"/>
      <c r="Y41" s="139" t="n"/>
      <c r="Z41" s="139" t="n"/>
      <c r="AA41" s="139" t="n"/>
      <c r="AB41" s="139" t="n"/>
      <c r="AC41" s="139" t="n"/>
      <c r="AD41" s="139" t="n"/>
      <c r="AE41" s="139" t="n"/>
      <c r="AF41" s="139" t="n"/>
      <c r="AG41" s="139" t="n"/>
      <c r="AH41" s="139" t="n"/>
      <c r="AI41" s="139" t="n"/>
      <c r="AJ41" s="139" t="n"/>
      <c r="AK41" s="139" t="n"/>
      <c r="AL41" s="213" t="n">
        <v>0</v>
      </c>
      <c r="AM41" s="213" t="inlineStr">
        <is>
          <t>Zahlungsdienstleistung, steuerfrei nach § 4 Nr. 8 UStG — keine Vorsteuer.</t>
        </is>
      </c>
    </row>
    <row r="42" ht="51.75" customHeight="1" s="116">
      <c r="A42" s="199" t="n">
        <v>36</v>
      </c>
      <c r="B42" s="200" t="inlineStr">
        <is>
          <t>E</t>
        </is>
      </c>
      <c r="C42" s="126" t="inlineStr">
        <is>
          <t>Objektspeicher Sprachaufnahmen / Fotos</t>
        </is>
      </c>
      <c r="D42" s="199" t="inlineStr">
        <is>
          <t>nicht zutreffend</t>
        </is>
      </c>
      <c r="E42" s="201" t="n">
        <v>0</v>
      </c>
      <c r="F42" s="199" t="inlineStr">
        <is>
          <t>€/Monat</t>
        </is>
      </c>
      <c r="G42" s="199" t="inlineStr">
        <is>
          <t>immer</t>
        </is>
      </c>
      <c r="H42" s="202" t="n"/>
      <c r="I42" s="154" t="n"/>
      <c r="J42" s="157" t="inlineStr">
        <is>
          <t>trifft im Horizont nicht zu: 87 MB von 100 GB inklusive. Vorbehalt Platform: der 30-Tage-Aufräumjob läuft noch nicht (CRON_SECRET) — auch linear wachsend bleibt es weit unter dem Limit.</t>
        </is>
      </c>
      <c r="N42" s="139" t="n"/>
      <c r="O42" s="139" t="n"/>
      <c r="P42" s="139" t="n"/>
      <c r="Q42" s="139" t="n"/>
      <c r="R42" s="139" t="n"/>
      <c r="S42" s="139" t="n"/>
      <c r="T42" s="139" t="n"/>
      <c r="U42" s="139" t="n"/>
      <c r="V42" s="139" t="n"/>
      <c r="W42" s="139" t="n"/>
      <c r="X42" s="139" t="n"/>
      <c r="Y42" s="139" t="n"/>
      <c r="Z42" s="139" t="n"/>
      <c r="AA42" s="139" t="n"/>
      <c r="AB42" s="139" t="n"/>
      <c r="AC42" s="139" t="n"/>
      <c r="AD42" s="139" t="n"/>
      <c r="AE42" s="139" t="n"/>
      <c r="AF42" s="139" t="n"/>
      <c r="AG42" s="139" t="n"/>
      <c r="AH42" s="139" t="n"/>
      <c r="AI42" s="139" t="n"/>
      <c r="AJ42" s="139" t="n"/>
      <c r="AK42" s="139" t="n"/>
      <c r="AL42" s="213" t="n">
        <v>0</v>
      </c>
      <c r="AM42" s="213" t="inlineStr">
        <is>
          <t>trifft nicht zu.</t>
        </is>
      </c>
    </row>
    <row r="43" ht="26.25" customHeight="1" s="116">
      <c r="A43" s="149" t="n">
        <v>37</v>
      </c>
      <c r="B43" s="155" t="inlineStr">
        <is>
          <t>E</t>
        </is>
      </c>
      <c r="C43" s="120" t="inlineStr">
        <is>
          <t>Apple Developer Program (native App)</t>
        </is>
      </c>
      <c r="D43" s="149" t="inlineStr">
        <is>
          <t>laufend</t>
        </is>
      </c>
      <c r="E43" s="181" t="n">
        <v>99</v>
      </c>
      <c r="F43" s="149" t="inlineStr">
        <is>
          <t>€/Jahr</t>
        </is>
      </c>
      <c r="G43" s="149" t="inlineStr">
        <is>
          <t>immer</t>
        </is>
      </c>
      <c r="H43" s="203" t="n">
        <v>10</v>
      </c>
      <c r="I43" s="182">
        <f>IF(F43="€/Monat",E43,IF(F43="€/Jahr",E43/12,IF(F43="USD/Monat",E43*'Plan-Annahmen'!$B$20,IF(F43="USD einmalig",E43*'Plan-Annahmen'!$B$20,E43))))</f>
        <v/>
      </c>
      <c r="J43" s="157" t="inlineStr">
        <is>
          <t>99 €/Jahr; native App ab Mitte 2027 fest eingeplant (docs/vision-strategie.md) = Monat 10.</t>
        </is>
      </c>
      <c r="N43" s="182">
        <f>IF(N$6&gt;=$H43,$I43,0)</f>
        <v/>
      </c>
      <c r="O43" s="182">
        <f>IF(O$6&gt;=$H43,$I43,0)</f>
        <v/>
      </c>
      <c r="P43" s="182">
        <f>IF(P$6&gt;=$H43,$I43,0)</f>
        <v/>
      </c>
      <c r="Q43" s="182">
        <f>IF(Q$6&gt;=$H43,$I43,0)</f>
        <v/>
      </c>
      <c r="R43" s="182">
        <f>IF(R$6&gt;=$H43,$I43,0)</f>
        <v/>
      </c>
      <c r="S43" s="182">
        <f>IF(S$6&gt;=$H43,$I43,0)</f>
        <v/>
      </c>
      <c r="T43" s="182">
        <f>IF(T$6&gt;=$H43,$I43,0)</f>
        <v/>
      </c>
      <c r="U43" s="182">
        <f>IF(U$6&gt;=$H43,$I43,0)</f>
        <v/>
      </c>
      <c r="V43" s="182">
        <f>IF(V$6&gt;=$H43,$I43,0)</f>
        <v/>
      </c>
      <c r="W43" s="182">
        <f>IF(W$6&gt;=$H43,$I43,0)</f>
        <v/>
      </c>
      <c r="X43" s="182">
        <f>IF(X$6&gt;=$H43,$I43,0)</f>
        <v/>
      </c>
      <c r="Y43" s="182">
        <f>IF(Y$6&gt;=$H43,$I43,0)</f>
        <v/>
      </c>
      <c r="Z43" s="182">
        <f>IF(Z$6&gt;=$H43,$I43,0)</f>
        <v/>
      </c>
      <c r="AA43" s="182">
        <f>IF(AA$6&gt;=$H43,$I43,0)</f>
        <v/>
      </c>
      <c r="AB43" s="182">
        <f>IF(AB$6&gt;=$H43,$I43,0)</f>
        <v/>
      </c>
      <c r="AC43" s="182">
        <f>IF(AC$6&gt;=$H43,$I43,0)</f>
        <v/>
      </c>
      <c r="AD43" s="182">
        <f>IF(AD$6&gt;=$H43,$I43,0)</f>
        <v/>
      </c>
      <c r="AE43" s="182">
        <f>IF(AE$6&gt;=$H43,$I43,0)</f>
        <v/>
      </c>
      <c r="AF43" s="182">
        <f>IF(AF$6&gt;=$H43,$I43,0)</f>
        <v/>
      </c>
      <c r="AG43" s="182">
        <f>IF(AG$6&gt;=$H43,$I43,0)</f>
        <v/>
      </c>
      <c r="AH43" s="182">
        <f>IF(AH$6&gt;=$H43,$I43,0)</f>
        <v/>
      </c>
      <c r="AI43" s="182">
        <f>IF(AI$6&gt;=$H43,$I43,0)</f>
        <v/>
      </c>
      <c r="AJ43" s="182">
        <f>IF(AJ$6&gt;=$H43,$I43,0)</f>
        <v/>
      </c>
      <c r="AK43" s="182">
        <f>IF(AK$6&gt;=$H43,$I43,0)</f>
        <v/>
      </c>
      <c r="AL43" s="213" t="n">
        <v>0</v>
      </c>
      <c r="AM43" s="213" t="inlineStr">
        <is>
          <t>als NETTO angesetzt, bis der erste Beleg vorliegt: Apple stellt Entwicklern mit USt-IdNr. ohne deutsche USt. Sobald ein Beleg mit USt-Ausweis da ist, hier 19/119 eintragen.</t>
        </is>
      </c>
    </row>
    <row r="44" ht="26.25" customHeight="1" s="116">
      <c r="A44" s="149" t="n">
        <v>38</v>
      </c>
      <c r="B44" s="155" t="inlineStr">
        <is>
          <t>E</t>
        </is>
      </c>
      <c r="C44" s="120" t="inlineStr">
        <is>
          <t>Google Play Console (Registrierung)</t>
        </is>
      </c>
      <c r="D44" s="149" t="inlineStr">
        <is>
          <t>einmalig</t>
        </is>
      </c>
      <c r="E44" s="181" t="n">
        <v>25</v>
      </c>
      <c r="F44" s="149" t="inlineStr">
        <is>
          <t>USD einmalig</t>
        </is>
      </c>
      <c r="G44" s="149" t="inlineStr">
        <is>
          <t>immer</t>
        </is>
      </c>
      <c r="H44" s="203" t="n">
        <v>10</v>
      </c>
      <c r="I44" s="182">
        <f>IF(F44="€/Monat",E44,IF(F44="€/Jahr",E44/12,IF(F44="USD/Monat",E44*'Plan-Annahmen'!$B$20,IF(F44="USD einmalig",E44*'Plan-Annahmen'!$B$20,E44))))</f>
        <v/>
      </c>
      <c r="J44" s="157" t="inlineStr">
        <is>
          <t>25 $ einmalig. Im Katalog fehlten die Store-Gebühren neben Apple — ergänzt.</t>
        </is>
      </c>
      <c r="N44" s="182">
        <f>IF(N$6=$H44,$I44,0)</f>
        <v/>
      </c>
      <c r="O44" s="182">
        <f>IF(O$6=$H44,$I44,0)</f>
        <v/>
      </c>
      <c r="P44" s="182">
        <f>IF(P$6=$H44,$I44,0)</f>
        <v/>
      </c>
      <c r="Q44" s="182">
        <f>IF(Q$6=$H44,$I44,0)</f>
        <v/>
      </c>
      <c r="R44" s="182">
        <f>IF(R$6=$H44,$I44,0)</f>
        <v/>
      </c>
      <c r="S44" s="182">
        <f>IF(S$6=$H44,$I44,0)</f>
        <v/>
      </c>
      <c r="T44" s="182">
        <f>IF(T$6=$H44,$I44,0)</f>
        <v/>
      </c>
      <c r="U44" s="182">
        <f>IF(U$6=$H44,$I44,0)</f>
        <v/>
      </c>
      <c r="V44" s="182">
        <f>IF(V$6=$H44,$I44,0)</f>
        <v/>
      </c>
      <c r="W44" s="182">
        <f>IF(W$6=$H44,$I44,0)</f>
        <v/>
      </c>
      <c r="X44" s="182">
        <f>IF(X$6=$H44,$I44,0)</f>
        <v/>
      </c>
      <c r="Y44" s="182">
        <f>IF(Y$6=$H44,$I44,0)</f>
        <v/>
      </c>
      <c r="Z44" s="182">
        <f>IF(Z$6=$H44,$I44,0)</f>
        <v/>
      </c>
      <c r="AA44" s="182">
        <f>IF(AA$6=$H44,$I44,0)</f>
        <v/>
      </c>
      <c r="AB44" s="182">
        <f>IF(AB$6=$H44,$I44,0)</f>
        <v/>
      </c>
      <c r="AC44" s="182">
        <f>IF(AC$6=$H44,$I44,0)</f>
        <v/>
      </c>
      <c r="AD44" s="182">
        <f>IF(AD$6=$H44,$I44,0)</f>
        <v/>
      </c>
      <c r="AE44" s="182">
        <f>IF(AE$6=$H44,$I44,0)</f>
        <v/>
      </c>
      <c r="AF44" s="182">
        <f>IF(AF$6=$H44,$I44,0)</f>
        <v/>
      </c>
      <c r="AG44" s="182">
        <f>IF(AG$6=$H44,$I44,0)</f>
        <v/>
      </c>
      <c r="AH44" s="182">
        <f>IF(AH$6=$H44,$I44,0)</f>
        <v/>
      </c>
      <c r="AI44" s="182">
        <f>IF(AI$6=$H44,$I44,0)</f>
        <v/>
      </c>
      <c r="AJ44" s="182">
        <f>IF(AJ$6=$H44,$I44,0)</f>
        <v/>
      </c>
      <c r="AK44" s="182">
        <f>IF(AK$6=$H44,$I44,0)</f>
        <v/>
      </c>
      <c r="AL44" s="213" t="n">
        <v>0</v>
      </c>
      <c r="AM44" s="213" t="inlineStr">
        <is>
          <t>als NETTO angesetzt, bis der erste Beleg vorliegt — wie Apple Developer.</t>
        </is>
      </c>
    </row>
    <row r="45" ht="39" customHeight="1" s="116">
      <c r="A45" s="149" t="n">
        <v>39</v>
      </c>
      <c r="B45" s="155" t="inlineStr">
        <is>
          <t>E</t>
        </is>
      </c>
      <c r="C45" s="120" t="inlineStr">
        <is>
          <t>KI-Rollen-Ausbau nach Gate 1</t>
        </is>
      </c>
      <c r="D45" s="149" t="inlineStr">
        <is>
          <t>laufend</t>
        </is>
      </c>
      <c r="E45" s="181" t="n">
        <v>50</v>
      </c>
      <c r="F45" s="149" t="inlineStr">
        <is>
          <t>USD/Monat</t>
        </is>
      </c>
      <c r="G45" s="149" t="inlineStr">
        <is>
          <t>immer</t>
        </is>
      </c>
      <c r="H45" s="203" t="n">
        <v>7</v>
      </c>
      <c r="I45" s="182">
        <f>IF(F45="€/Monat",E45,IF(F45="€/Jahr",E45/12,IF(F45="USD/Monat",E45*'Plan-Annahmen'!$B$20,IF(F45="USD einmalig",E45*'Plan-Annahmen'!$B$20,E45))))</f>
        <v/>
      </c>
      <c r="J45" s="157" t="inlineStr">
        <is>
          <t>Das Team besteht aus KI-Rollen: jede neue Rolle erhöht die Anthropic-Kosten statt der Lohnkosten. Platzhalter +50 $/Monat, Höhe und Zeitpunkt offen.</t>
        </is>
      </c>
      <c r="N45" s="182">
        <f>IF(N$6&gt;=$H45,$I45,0)</f>
        <v/>
      </c>
      <c r="O45" s="182">
        <f>IF(O$6&gt;=$H45,$I45,0)</f>
        <v/>
      </c>
      <c r="P45" s="182">
        <f>IF(P$6&gt;=$H45,$I45,0)</f>
        <v/>
      </c>
      <c r="Q45" s="182">
        <f>IF(Q$6&gt;=$H45,$I45,0)</f>
        <v/>
      </c>
      <c r="R45" s="182">
        <f>IF(R$6&gt;=$H45,$I45,0)</f>
        <v/>
      </c>
      <c r="S45" s="182">
        <f>IF(S$6&gt;=$H45,$I45,0)</f>
        <v/>
      </c>
      <c r="T45" s="182">
        <f>IF(T$6&gt;=$H45,$I45,0)</f>
        <v/>
      </c>
      <c r="U45" s="182">
        <f>IF(U$6&gt;=$H45,$I45,0)</f>
        <v/>
      </c>
      <c r="V45" s="182">
        <f>IF(V$6&gt;=$H45,$I45,0)</f>
        <v/>
      </c>
      <c r="W45" s="182">
        <f>IF(W$6&gt;=$H45,$I45,0)</f>
        <v/>
      </c>
      <c r="X45" s="182">
        <f>IF(X$6&gt;=$H45,$I45,0)</f>
        <v/>
      </c>
      <c r="Y45" s="182">
        <f>IF(Y$6&gt;=$H45,$I45,0)</f>
        <v/>
      </c>
      <c r="Z45" s="182">
        <f>IF(Z$6&gt;=$H45,$I45,0)</f>
        <v/>
      </c>
      <c r="AA45" s="182">
        <f>IF(AA$6&gt;=$H45,$I45,0)</f>
        <v/>
      </c>
      <c r="AB45" s="182">
        <f>IF(AB$6&gt;=$H45,$I45,0)</f>
        <v/>
      </c>
      <c r="AC45" s="182">
        <f>IF(AC$6&gt;=$H45,$I45,0)</f>
        <v/>
      </c>
      <c r="AD45" s="182">
        <f>IF(AD$6&gt;=$H45,$I45,0)</f>
        <v/>
      </c>
      <c r="AE45" s="182">
        <f>IF(AE$6&gt;=$H45,$I45,0)</f>
        <v/>
      </c>
      <c r="AF45" s="182">
        <f>IF(AF$6&gt;=$H45,$I45,0)</f>
        <v/>
      </c>
      <c r="AG45" s="182">
        <f>IF(AG$6&gt;=$H45,$I45,0)</f>
        <v/>
      </c>
      <c r="AH45" s="182">
        <f>IF(AH$6&gt;=$H45,$I45,0)</f>
        <v/>
      </c>
      <c r="AI45" s="182">
        <f>IF(AI$6&gt;=$H45,$I45,0)</f>
        <v/>
      </c>
      <c r="AJ45" s="182">
        <f>IF(AJ$6&gt;=$H45,$I45,0)</f>
        <v/>
      </c>
      <c r="AK45" s="182">
        <f>IF(AK$6&gt;=$H45,$I45,0)</f>
        <v/>
      </c>
      <c r="AL45" s="213">
        <f>19/119</f>
        <v/>
      </c>
      <c r="AM45" s="213" t="inlineStr">
        <is>
          <t>Platzhalter fuer zusaetzliche Anthropic-Kosten — wie Zeile 29 brutto inkl. 19 %.</t>
        </is>
      </c>
    </row>
    <row r="46" ht="26.25" customHeight="1" s="116">
      <c r="A46" s="199" t="n">
        <v>40</v>
      </c>
      <c r="B46" s="200" t="inlineStr">
        <is>
          <t>F</t>
        </is>
      </c>
      <c r="C46" s="126" t="inlineStr">
        <is>
          <t>Bezahltes Werbebudget</t>
        </is>
      </c>
      <c r="D46" s="199" t="inlineStr">
        <is>
          <t>nicht zutreffend</t>
        </is>
      </c>
      <c r="E46" s="201" t="n">
        <v>0</v>
      </c>
      <c r="F46" s="199" t="inlineStr">
        <is>
          <t>€/Monat</t>
        </is>
      </c>
      <c r="G46" s="199" t="inlineStr">
        <is>
          <t>immer</t>
        </is>
      </c>
      <c r="H46" s="202" t="n"/>
      <c r="I46" s="154" t="n"/>
      <c r="J46" s="157" t="inlineStr">
        <is>
          <t>trifft nicht zu — bewusste Festlegung (docs/vision-strategie.md). Der Kanalplan rechnet ausdrücklich ohne Werbebudget.</t>
        </is>
      </c>
      <c r="N46" s="139" t="n"/>
      <c r="O46" s="139" t="n"/>
      <c r="P46" s="139" t="n"/>
      <c r="Q46" s="139" t="n"/>
      <c r="R46" s="139" t="n"/>
      <c r="S46" s="139" t="n"/>
      <c r="T46" s="139" t="n"/>
      <c r="U46" s="139" t="n"/>
      <c r="V46" s="139" t="n"/>
      <c r="W46" s="139" t="n"/>
      <c r="X46" s="139" t="n"/>
      <c r="Y46" s="139" t="n"/>
      <c r="Z46" s="139" t="n"/>
      <c r="AA46" s="139" t="n"/>
      <c r="AB46" s="139" t="n"/>
      <c r="AC46" s="139" t="n"/>
      <c r="AD46" s="139" t="n"/>
      <c r="AE46" s="139" t="n"/>
      <c r="AF46" s="139" t="n"/>
      <c r="AG46" s="139" t="n"/>
      <c r="AH46" s="139" t="n"/>
      <c r="AI46" s="139" t="n"/>
      <c r="AJ46" s="139" t="n"/>
      <c r="AK46" s="139" t="n"/>
      <c r="AL46" s="213" t="n">
        <v>0</v>
      </c>
      <c r="AM46" s="213" t="inlineStr">
        <is>
          <t>trifft nicht zu.</t>
        </is>
      </c>
    </row>
    <row r="47" ht="51.75" customHeight="1" s="116">
      <c r="A47" s="149" t="n">
        <v>41</v>
      </c>
      <c r="B47" s="155" t="inlineStr">
        <is>
          <t>F</t>
        </is>
      </c>
      <c r="C47" s="120" t="inlineStr">
        <is>
          <t>Marketing-Sachkosten laut Kanalplan</t>
        </is>
      </c>
      <c r="D47" s="149" t="inlineStr">
        <is>
          <t>Monatsvektor</t>
        </is>
      </c>
      <c r="E47" s="181" t="n">
        <v>1350</v>
      </c>
      <c r="F47" s="149" t="inlineStr">
        <is>
          <t>€ Σ 24 M</t>
        </is>
      </c>
      <c r="G47" s="149" t="inlineStr">
        <is>
          <t>immer</t>
        </is>
      </c>
      <c r="H47" s="203" t="n"/>
      <c r="I47" s="139" t="n"/>
      <c r="J47" s="157" t="inlineStr">
        <is>
          <t>Zulieferung Marketing (gtm-kanalplan.xlsx, 'Sachkosten — gesamt'): Oktober 180 € (Flyer, Aufsteller, Ansteckmikro/Stativ), dann 10–20 €/Monat, ab April 2027 je 100 € pro kaltem Fachhandel-Laden. Summe 1.350 €. Werte je Monat rechts — Größenordnungen, keine Angebote. Alle Beträge BRUTTO (von Marketing am 23.09.2026 bestätigt) — Vorsteuer siehe Spalte AL/AM. GEÄNDERT am 23.09.2026: die zwei Dessau-Fahrten im Oktober 2026 (vorher 80 €) stehen auf 0 €, weil Sandys Deutschlandticket sie abdeckt — die Summe sinkt von 1.430 € auf 1.350 €.</t>
        </is>
      </c>
      <c r="N47" s="212" t="n">
        <v>0</v>
      </c>
      <c r="O47" s="212" t="n">
        <v>180</v>
      </c>
      <c r="P47" s="212" t="n">
        <v>0</v>
      </c>
      <c r="Q47" s="212" t="n">
        <v>20</v>
      </c>
      <c r="R47" s="212" t="n">
        <v>20</v>
      </c>
      <c r="S47" s="212" t="n">
        <v>20</v>
      </c>
      <c r="T47" s="212" t="n">
        <v>20</v>
      </c>
      <c r="U47" s="212" t="n">
        <v>120</v>
      </c>
      <c r="V47" s="212" t="n">
        <v>20</v>
      </c>
      <c r="W47" s="212" t="n">
        <v>110</v>
      </c>
      <c r="X47" s="212" t="n">
        <v>10</v>
      </c>
      <c r="Y47" s="212" t="n">
        <v>110</v>
      </c>
      <c r="Z47" s="212" t="n">
        <v>10</v>
      </c>
      <c r="AA47" s="212" t="n">
        <v>110</v>
      </c>
      <c r="AB47" s="212" t="n">
        <v>10</v>
      </c>
      <c r="AC47" s="212" t="n">
        <v>110</v>
      </c>
      <c r="AD47" s="212" t="n">
        <v>10</v>
      </c>
      <c r="AE47" s="212" t="n">
        <v>110</v>
      </c>
      <c r="AF47" s="212" t="n">
        <v>10</v>
      </c>
      <c r="AG47" s="212" t="n">
        <v>110</v>
      </c>
      <c r="AH47" s="212" t="n">
        <v>10</v>
      </c>
      <c r="AI47" s="212" t="n">
        <v>110</v>
      </c>
      <c r="AJ47" s="212" t="n">
        <v>10</v>
      </c>
      <c r="AK47" s="212" t="n">
        <v>110</v>
      </c>
      <c r="AL47" s="213">
        <f>(660*19/119+360*7/107+60*19/119+270*19/119)/1350</f>
        <v/>
      </c>
      <c r="AM47" s="213" t="inlineStr">
        <is>
          <t>Groessenordnungen von Marketing (gtm-kanalplan.xlsx, Blatt „Annahmen"), am 23.09.2026 von Marketing ausdruecklich als BRUTTO bestaetigt (Endpreise inkl. USt). STAND 23.09.2026, 10:00 UTC — ERSETZT die Fassung von 07:00 UTC (1.430 EUR / 186,85 EUR), weil Sandy die Fahrtfrage beantwortet hat. Zusammensetzung der 1.350 EUR und Steuersaetze: Druck Flyer/Aufsteller 660 EUR zu 19 % = 105,38 EUR - Fahrten 360 EUR zu 7 % = 23,55 EUR - Ausruestung Ansteckmikro/Stativ 60 EUR zu 19 % = 9,58 EUR - laufender Kleinbedarf 270 EUR zu 19 % = 43,11 EUR. Summe Vorsteuer ueber 24 Monate 181,62 EUR, Anteil am Betrag 0,1345323176. FAHRTEN — zwei verschiedene Faelle, bewusst unterschiedlich behandelt: (a) Die zwei Dessau-Fahrten im Oktober 2026 (frueher 2 x 40 EUR = 80 EUR) stehen auf 0 EUR. Sandy faehrt mit dem Deutschlandticket, das sie fuer ihren Angestelltenjob ohnehin haelt und privat bezahlt (Sandys Antwort, 23.09.2026). Eine privat gehaltene Monatskarte, die ohne den Betrieb genauso gekauft wuerde, verursacht keine zusaetzliche Betriebsausgabe; es gibt keine auf den Betrieb lautende Rechnung und damit auch keinen Vorsteuerabzug nach § 15 Abs. 1 UStG. Deshalb 0 EUR Kosten UND 0 EUR Vorsteuer, nicht 80 EUR zu 7 %. (b) Die 9 Fahrten zu kalten Fachhandel-Laeden ab April 2027 (9 x 40 EUR = 360 EUR) bleiben mit 7 % stehen. Begruendung: das Ticket haengt an Sandys Angestelltenjob, dieser Kanal startet erst in 19 Monaten, und welche Laeden es werden, steht nicht fest. Das ist der vorsichtige Ansatz - faellt das Ticket dort ebenfalls an, wird der Plan um bis zu 360 EUR billiger, nicht teurer. UEBERNACHTUNG: keine eigene Zeile, und das ist eine Entscheidung. Dessau ist von Berlin mit dem RE7 ohne Umsteigen in rund zwei Stunden je Richtung erreichbar; alle Besuche sind als Tagesfahrten geplant (Marketing, gtm-kanalplan.xlsx Feld F2). Sandy hat am 23.09.2026 zusaetzlich gesagt, sie koenne „ggfs" kostenlos bei Clemens uebernachten - das ist eine Moeglichkeit, keine Zusage, und der Plan stuetzt sich nicht darauf. Groessenordnung, falls doch: eine Uebernachtung in Dessau kostet 60-90 EUR brutto (7 % auf die Beherbergung, § 12 Abs. 2 Nr. 11 UStG, 19 % auf Fruehstueck). Ab etwa vier Uebernachtungen in den 24 Monaten waere eine eigene Zeile faellig; darunter geht es im Kleinbedarf unter. MISCHSATZ: Die Zelle traegt bewusst einen Mischsatz, weil die Spalte genau einen Faktor je Zeile erlaubt, die Zeile aber ein Monatsvektor mit wechselnder Zusammensetzung ist. Ueber die 24 Monate stimmt die Vorsteuer auf den Cent (181,6186 EUR exakt wie gemischt). Die groesste Abweichung in einem einzelnen Monat ist jetzt 4,52 EUR und liegt im Oktober 2026 (exakt 28,74 EUR, gemischt 24,22 EUR) - vorher waren es 0,58 EUR. Der Sprung kommt daher, dass der Oktober nach dem Wegfall der Bahnfahrten nur noch 19-%-Posten enthaelt, der Mischsatz aber die 7 % der spaeteren Fahrten mittraegt. Eine eigene Zeile fuer die Fahrten wuerde das auf null bringen, verschoebe aber die Zeilennummern, an denen $AL$7:$AL$55 und die Raster haengen; 4,52 EUR in einem einzigen Monat rechtfertigen dieses Risiko nicht. In allen uebrigen Monaten liegt die Abweichung unter 1,01 EUR. VORBEHALT: Die 270 EUR Kleinbedarf sind nicht aufgeschluesselt; Kleinkram ohne Rechnung mit ausgewiesener Steuer senkt die 43,11 EUR, schlimmstenfalls auf 0. Loest der erste echte Beleg, nicht eine weitere Frage. Quellen: Antwort Head of Marketing 23.09.2026 07:20 UTC und Kanalplan-Stand 09:52 UTC (Felder F2, F4, F6, A13, A14) - Sandys Antwort zur Fahrtfrage, weitergegeben vom Chief of Staff, 23.09.2026 08:10 UTC, docs/chief-of-staff-finance-todos.md - § 12 Abs. 2 Nr. 10 UStG (Schienen-Nahverkehr 7 %) - § 15 Abs. 1 UStG (Vorsteuerabzug setzt Leistungsbezug fuer das Unternehmen voraus).</t>
        </is>
      </c>
    </row>
    <row r="48" ht="26.25" customHeight="1" s="116">
      <c r="A48" s="199" t="n">
        <v>42</v>
      </c>
      <c r="B48" s="200" t="inlineStr">
        <is>
          <t>F</t>
        </is>
      </c>
      <c r="C48" s="126" t="inlineStr">
        <is>
          <t>Social-Media- / Scheduling-Tools</t>
        </is>
      </c>
      <c r="D48" s="199" t="inlineStr">
        <is>
          <t>nicht zutreffend</t>
        </is>
      </c>
      <c r="E48" s="201" t="n">
        <v>0</v>
      </c>
      <c r="F48" s="199" t="inlineStr">
        <is>
          <t>€/Monat</t>
        </is>
      </c>
      <c r="G48" s="199" t="inlineStr">
        <is>
          <t>immer</t>
        </is>
      </c>
      <c r="H48" s="202" t="n"/>
      <c r="I48" s="154" t="n"/>
      <c r="J48" s="157" t="inlineStr">
        <is>
          <t>trifft nach Marketing-Einschätzung nicht zu: die kostenlosen Stufen sollten reichen.</t>
        </is>
      </c>
      <c r="N48" s="139" t="n"/>
      <c r="O48" s="139" t="n"/>
      <c r="P48" s="139" t="n"/>
      <c r="Q48" s="139" t="n"/>
      <c r="R48" s="139" t="n"/>
      <c r="S48" s="139" t="n"/>
      <c r="T48" s="139" t="n"/>
      <c r="U48" s="139" t="n"/>
      <c r="V48" s="139" t="n"/>
      <c r="W48" s="139" t="n"/>
      <c r="X48" s="139" t="n"/>
      <c r="Y48" s="139" t="n"/>
      <c r="Z48" s="139" t="n"/>
      <c r="AA48" s="139" t="n"/>
      <c r="AB48" s="139" t="n"/>
      <c r="AC48" s="139" t="n"/>
      <c r="AD48" s="139" t="n"/>
      <c r="AE48" s="139" t="n"/>
      <c r="AF48" s="139" t="n"/>
      <c r="AG48" s="139" t="n"/>
      <c r="AH48" s="139" t="n"/>
      <c r="AI48" s="139" t="n"/>
      <c r="AJ48" s="139" t="n"/>
      <c r="AK48" s="139" t="n"/>
      <c r="AL48" s="213" t="n">
        <v>0</v>
      </c>
      <c r="AM48" s="213" t="inlineStr">
        <is>
          <t>trifft nicht zu.</t>
        </is>
      </c>
    </row>
    <row r="49" ht="26.25" customHeight="1" s="116">
      <c r="A49" s="199" t="n">
        <v>43</v>
      </c>
      <c r="B49" s="200" t="inlineStr">
        <is>
          <t>F</t>
        </is>
      </c>
      <c r="C49" s="126" t="inlineStr">
        <is>
          <t>Domain- / Markenvarianten</t>
        </is>
      </c>
      <c r="D49" s="199" t="inlineStr">
        <is>
          <t>nicht zutreffend</t>
        </is>
      </c>
      <c r="E49" s="214">
        <f>2.5+13/12</f>
        <v/>
      </c>
      <c r="F49" s="199" t="inlineStr">
        <is>
          <t>€/Jahr</t>
        </is>
      </c>
      <c r="G49" s="199" t="inlineStr">
        <is>
          <t>immer</t>
        </is>
      </c>
      <c r="H49" s="202" t="n"/>
      <c r="I49" s="154" t="n"/>
      <c r="J49" s="157" t="inlineStr">
        <is>
          <t>trifft nicht zu: die weiteren Domains auf den IONOS-Rechnungen gehören anderen Projekten.</t>
        </is>
      </c>
      <c r="N49" s="139" t="n"/>
      <c r="O49" s="139" t="n"/>
      <c r="P49" s="139" t="n"/>
      <c r="Q49" s="139" t="n"/>
      <c r="R49" s="139" t="n"/>
      <c r="S49" s="139" t="n"/>
      <c r="T49" s="139" t="n"/>
      <c r="U49" s="139" t="n"/>
      <c r="V49" s="139" t="n"/>
      <c r="W49" s="139" t="n"/>
      <c r="X49" s="139" t="n"/>
      <c r="Y49" s="139" t="n"/>
      <c r="Z49" s="139" t="n"/>
      <c r="AA49" s="139" t="n"/>
      <c r="AB49" s="139" t="n"/>
      <c r="AC49" s="139" t="n"/>
      <c r="AD49" s="139" t="n"/>
      <c r="AE49" s="139" t="n"/>
      <c r="AF49" s="139" t="n"/>
      <c r="AG49" s="139" t="n"/>
      <c r="AH49" s="139" t="n"/>
      <c r="AI49" s="139" t="n"/>
      <c r="AJ49" s="139" t="n"/>
      <c r="AK49" s="139" t="n"/>
      <c r="AL49" s="213" t="n">
        <v>0</v>
      </c>
      <c r="AM49" s="213" t="inlineStr">
        <is>
          <t>trifft nicht zu.</t>
        </is>
      </c>
    </row>
    <row r="50" ht="26.25" customHeight="1" s="116">
      <c r="A50" s="199" t="n">
        <v>44</v>
      </c>
      <c r="B50" s="200" t="inlineStr">
        <is>
          <t>F</t>
        </is>
      </c>
      <c r="C50" s="126" t="inlineStr">
        <is>
          <t>Arbeitszeit Sandy / Clemens / KI-Rollen</t>
        </is>
      </c>
      <c r="D50" s="199" t="inlineStr">
        <is>
          <t>nicht zutreffend</t>
        </is>
      </c>
      <c r="E50" s="201" t="n">
        <v>0</v>
      </c>
      <c r="F50" s="199" t="inlineStr">
        <is>
          <t>€</t>
        </is>
      </c>
      <c r="G50" s="199" t="inlineStr">
        <is>
          <t>immer</t>
        </is>
      </c>
      <c r="H50" s="202" t="n"/>
      <c r="I50" s="154" t="n"/>
      <c r="J50" s="157" t="inlineStr">
        <is>
          <t>kein Geldposten — aber der eigentliche Engpass. Als Stundenmodell auf 'Plan-Kunden' geführt.</t>
        </is>
      </c>
      <c r="N50" s="139" t="n"/>
      <c r="O50" s="139" t="n"/>
      <c r="P50" s="139" t="n"/>
      <c r="Q50" s="139" t="n"/>
      <c r="R50" s="139" t="n"/>
      <c r="S50" s="139" t="n"/>
      <c r="T50" s="139" t="n"/>
      <c r="U50" s="139" t="n"/>
      <c r="V50" s="139" t="n"/>
      <c r="W50" s="139" t="n"/>
      <c r="X50" s="139" t="n"/>
      <c r="Y50" s="139" t="n"/>
      <c r="Z50" s="139" t="n"/>
      <c r="AA50" s="139" t="n"/>
      <c r="AB50" s="139" t="n"/>
      <c r="AC50" s="139" t="n"/>
      <c r="AD50" s="139" t="n"/>
      <c r="AE50" s="139" t="n"/>
      <c r="AF50" s="139" t="n"/>
      <c r="AG50" s="139" t="n"/>
      <c r="AH50" s="139" t="n"/>
      <c r="AI50" s="139" t="n"/>
      <c r="AJ50" s="139" t="n"/>
      <c r="AK50" s="139" t="n"/>
      <c r="AL50" s="213" t="n">
        <v>0</v>
      </c>
      <c r="AM50" s="213" t="inlineStr">
        <is>
          <t>trifft nicht zu.</t>
        </is>
      </c>
    </row>
    <row r="51" ht="15" customHeight="1" s="116">
      <c r="A51" s="149" t="n">
        <v>45</v>
      </c>
      <c r="B51" s="155" t="inlineStr">
        <is>
          <t>G</t>
        </is>
      </c>
      <c r="C51" s="120" t="inlineStr">
        <is>
          <t>Zahlungsausfälle / Lastschrift-Rückläufer</t>
        </is>
      </c>
      <c r="D51" s="149" t="inlineStr">
        <is>
          <t>variabel</t>
        </is>
      </c>
      <c r="E51" s="210">
        <f>'Plan-Annahmen'!$B$52</f>
        <v/>
      </c>
      <c r="F51" s="149" t="inlineStr">
        <is>
          <t>% vom Umsatz</t>
        </is>
      </c>
      <c r="G51" s="149" t="inlineStr">
        <is>
          <t>immer</t>
        </is>
      </c>
      <c r="H51" s="203" t="n"/>
      <c r="I51" s="139" t="n"/>
      <c r="J51" s="157" t="inlineStr">
        <is>
          <t>Im Raster als Abzug vom Umsatz.</t>
        </is>
      </c>
      <c r="N51" s="139" t="n"/>
      <c r="O51" s="139" t="n"/>
      <c r="P51" s="139" t="n"/>
      <c r="Q51" s="139" t="n"/>
      <c r="R51" s="139" t="n"/>
      <c r="S51" s="139" t="n"/>
      <c r="T51" s="139" t="n"/>
      <c r="U51" s="139" t="n"/>
      <c r="V51" s="139" t="n"/>
      <c r="W51" s="139" t="n"/>
      <c r="X51" s="139" t="n"/>
      <c r="Y51" s="139" t="n"/>
      <c r="Z51" s="139" t="n"/>
      <c r="AA51" s="139" t="n"/>
      <c r="AB51" s="139" t="n"/>
      <c r="AC51" s="139" t="n"/>
      <c r="AD51" s="139" t="n"/>
      <c r="AE51" s="139" t="n"/>
      <c r="AF51" s="139" t="n"/>
      <c r="AG51" s="139" t="n"/>
      <c r="AH51" s="139" t="n"/>
      <c r="AI51" s="139" t="n"/>
      <c r="AJ51" s="139" t="n"/>
      <c r="AK51" s="139" t="n"/>
      <c r="AL51" s="213" t="n">
        <v>0</v>
      </c>
      <c r="AM51" s="213" t="inlineStr">
        <is>
          <t>Erloesminderung, keine Vorsteuer.</t>
        </is>
      </c>
    </row>
    <row r="52" ht="15" customHeight="1" s="116">
      <c r="A52" s="149" t="n">
        <v>46</v>
      </c>
      <c r="B52" s="155" t="inlineStr">
        <is>
          <t>G</t>
        </is>
      </c>
      <c r="C52" s="120" t="inlineStr">
        <is>
          <t>Kulanz / Erstattungen</t>
        </is>
      </c>
      <c r="D52" s="149" t="inlineStr">
        <is>
          <t>variabel</t>
        </is>
      </c>
      <c r="E52" s="210">
        <f>'Plan-Annahmen'!$B$53</f>
        <v/>
      </c>
      <c r="F52" s="149" t="inlineStr">
        <is>
          <t>% vom Umsatz</t>
        </is>
      </c>
      <c r="G52" s="149" t="inlineStr">
        <is>
          <t>immer</t>
        </is>
      </c>
      <c r="H52" s="203" t="n"/>
      <c r="I52" s="139" t="n"/>
      <c r="J52" s="157" t="inlineStr">
        <is>
          <t>Im Raster als Abzug vom Umsatz.</t>
        </is>
      </c>
      <c r="N52" s="139" t="n"/>
      <c r="O52" s="139" t="n"/>
      <c r="P52" s="139" t="n"/>
      <c r="Q52" s="139" t="n"/>
      <c r="R52" s="139" t="n"/>
      <c r="S52" s="139" t="n"/>
      <c r="T52" s="139" t="n"/>
      <c r="U52" s="139" t="n"/>
      <c r="V52" s="139" t="n"/>
      <c r="W52" s="139" t="n"/>
      <c r="X52" s="139" t="n"/>
      <c r="Y52" s="139" t="n"/>
      <c r="Z52" s="139" t="n"/>
      <c r="AA52" s="139" t="n"/>
      <c r="AB52" s="139" t="n"/>
      <c r="AC52" s="139" t="n"/>
      <c r="AD52" s="139" t="n"/>
      <c r="AE52" s="139" t="n"/>
      <c r="AF52" s="139" t="n"/>
      <c r="AG52" s="139" t="n"/>
      <c r="AH52" s="139" t="n"/>
      <c r="AI52" s="139" t="n"/>
      <c r="AJ52" s="139" t="n"/>
      <c r="AK52" s="139" t="n"/>
      <c r="AL52" s="213" t="n">
        <v>0</v>
      </c>
      <c r="AM52" s="213" t="inlineStr">
        <is>
          <t>Erloesminderung, keine Vorsteuer.</t>
        </is>
      </c>
    </row>
    <row r="53" ht="39" customHeight="1" s="116">
      <c r="A53" s="149" t="n">
        <v>47</v>
      </c>
      <c r="B53" s="155" t="inlineStr">
        <is>
          <t>G</t>
        </is>
      </c>
      <c r="C53" s="120" t="inlineStr">
        <is>
          <t>Gründerpreis 29 € dauerhaft für die ersten 25</t>
        </is>
      </c>
      <c r="D53" s="149" t="inlineStr">
        <is>
          <t>variabel</t>
        </is>
      </c>
      <c r="E53" s="188">
        <f>'Plan-Annahmen'!$B$16</f>
        <v/>
      </c>
      <c r="F53" s="149" t="inlineStr">
        <is>
          <t>Kunden</t>
        </is>
      </c>
      <c r="G53" s="149" t="inlineStr">
        <is>
          <t>immer</t>
        </is>
      </c>
      <c r="H53" s="203" t="n"/>
      <c r="I53" s="139" t="n"/>
      <c r="J53" s="157" t="inlineStr">
        <is>
          <t>Im Kundenmodell explizit abgebildet: die Gründerkohorte wird getrennt geführt, mit eigener, niedrigerer Abwanderungsrate. Frei werdende Gründerplätze werden NICHT neu vergeben — vorsichtig.</t>
        </is>
      </c>
      <c r="N53" s="139" t="n"/>
      <c r="O53" s="139" t="n"/>
      <c r="P53" s="139" t="n"/>
      <c r="Q53" s="139" t="n"/>
      <c r="R53" s="139" t="n"/>
      <c r="S53" s="139" t="n"/>
      <c r="T53" s="139" t="n"/>
      <c r="U53" s="139" t="n"/>
      <c r="V53" s="139" t="n"/>
      <c r="W53" s="139" t="n"/>
      <c r="X53" s="139" t="n"/>
      <c r="Y53" s="139" t="n"/>
      <c r="Z53" s="139" t="n"/>
      <c r="AA53" s="139" t="n"/>
      <c r="AB53" s="139" t="n"/>
      <c r="AC53" s="139" t="n"/>
      <c r="AD53" s="139" t="n"/>
      <c r="AE53" s="139" t="n"/>
      <c r="AF53" s="139" t="n"/>
      <c r="AG53" s="139" t="n"/>
      <c r="AH53" s="139" t="n"/>
      <c r="AI53" s="139" t="n"/>
      <c r="AJ53" s="139" t="n"/>
      <c r="AK53" s="139" t="n"/>
      <c r="AL53" s="213" t="n">
        <v>0</v>
      </c>
      <c r="AM53" s="213" t="inlineStr">
        <is>
          <t>Preiszeile, kein Kostenbetrag.</t>
        </is>
      </c>
    </row>
    <row r="54" ht="39" customHeight="1" s="116">
      <c r="A54" s="149" t="n">
        <v>48</v>
      </c>
      <c r="B54" s="155" t="inlineStr">
        <is>
          <t>G</t>
        </is>
      </c>
      <c r="C54" s="120" t="inlineStr">
        <is>
          <t>Empfehlungs-Anreiz 'ein Kollege, ein Monat geschenkt'</t>
        </is>
      </c>
      <c r="D54" s="149" t="inlineStr">
        <is>
          <t>variabel</t>
        </is>
      </c>
      <c r="E54" s="188">
        <f>'Plan-Annahmen'!$B$50</f>
        <v/>
      </c>
      <c r="F54" s="149" t="inlineStr">
        <is>
          <t>Schalter</t>
        </is>
      </c>
      <c r="G54" s="149" t="inlineStr">
        <is>
          <t>immer</t>
        </is>
      </c>
      <c r="H54" s="203" t="n"/>
      <c r="I54" s="139" t="n"/>
      <c r="J54" s="157" t="inlineStr">
        <is>
          <t>Marketing schlägt vor, Sandy entscheidet — Schalter, standardmäßig aus. Bei 1 kostet jede Empfehlungs-Neukundin einmalig 49 € Umsatz.</t>
        </is>
      </c>
      <c r="N54" s="139" t="n"/>
      <c r="O54" s="139" t="n"/>
      <c r="P54" s="139" t="n"/>
      <c r="Q54" s="139" t="n"/>
      <c r="R54" s="139" t="n"/>
      <c r="S54" s="139" t="n"/>
      <c r="T54" s="139" t="n"/>
      <c r="U54" s="139" t="n"/>
      <c r="V54" s="139" t="n"/>
      <c r="W54" s="139" t="n"/>
      <c r="X54" s="139" t="n"/>
      <c r="Y54" s="139" t="n"/>
      <c r="Z54" s="139" t="n"/>
      <c r="AA54" s="139" t="n"/>
      <c r="AB54" s="139" t="n"/>
      <c r="AC54" s="139" t="n"/>
      <c r="AD54" s="139" t="n"/>
      <c r="AE54" s="139" t="n"/>
      <c r="AF54" s="139" t="n"/>
      <c r="AG54" s="139" t="n"/>
      <c r="AH54" s="139" t="n"/>
      <c r="AI54" s="139" t="n"/>
      <c r="AJ54" s="139" t="n"/>
      <c r="AK54" s="139" t="n"/>
      <c r="AL54" s="213" t="n">
        <v>0</v>
      </c>
      <c r="AM54" s="213" t="inlineStr">
        <is>
          <t>Schalterzeile, kein Betrag.</t>
        </is>
      </c>
    </row>
    <row r="55" ht="26.25" customHeight="1" s="116">
      <c r="A55" s="199" t="n">
        <v>49</v>
      </c>
      <c r="B55" s="200" t="inlineStr">
        <is>
          <t>H</t>
        </is>
      </c>
      <c r="C55" s="126" t="inlineStr">
        <is>
          <t>Netto-Bedarf, Krankenversicherung, Altersvorsorge, Übergangspuffer</t>
        </is>
      </c>
      <c r="D55" s="199" t="inlineStr">
        <is>
          <t>nicht zutreffend</t>
        </is>
      </c>
      <c r="E55" s="201" t="n">
        <v>0</v>
      </c>
      <c r="F55" s="199" t="inlineStr">
        <is>
          <t>€</t>
        </is>
      </c>
      <c r="G55" s="199" t="inlineStr">
        <is>
          <t>immer</t>
        </is>
      </c>
      <c r="H55" s="202" t="n"/>
      <c r="I55" s="154" t="n"/>
      <c r="J55" s="157" t="inlineStr">
        <is>
          <t>keine Betriebskosten — vollständig auf 'Plan-Phase B' als Stufenmodell gerechnet.</t>
        </is>
      </c>
      <c r="N55" s="139" t="n"/>
      <c r="O55" s="139" t="n"/>
      <c r="P55" s="139" t="n"/>
      <c r="Q55" s="139" t="n"/>
      <c r="R55" s="139" t="n"/>
      <c r="S55" s="139" t="n"/>
      <c r="T55" s="139" t="n"/>
      <c r="U55" s="139" t="n"/>
      <c r="V55" s="139" t="n"/>
      <c r="W55" s="139" t="n"/>
      <c r="X55" s="139" t="n"/>
      <c r="Y55" s="139" t="n"/>
      <c r="Z55" s="139" t="n"/>
      <c r="AA55" s="139" t="n"/>
      <c r="AB55" s="139" t="n"/>
      <c r="AC55" s="139" t="n"/>
      <c r="AD55" s="139" t="n"/>
      <c r="AE55" s="139" t="n"/>
      <c r="AF55" s="139" t="n"/>
      <c r="AG55" s="139" t="n"/>
      <c r="AH55" s="139" t="n"/>
      <c r="AI55" s="139" t="n"/>
      <c r="AJ55" s="139" t="n"/>
      <c r="AK55" s="139" t="n"/>
      <c r="AL55" s="213" t="n">
        <v>0</v>
      </c>
      <c r="AM55" s="213" t="inlineStr">
        <is>
          <t>trifft nicht zu.</t>
        </is>
      </c>
    </row>
    <row r="57" ht="15" customHeight="1" s="116">
      <c r="A57" s="130" t="n"/>
      <c r="B57" s="130" t="n"/>
      <c r="C57" s="129" t="inlineStr">
        <is>
          <t>Summe laufende Kosten Basis (€/Monat)</t>
        </is>
      </c>
      <c r="D57" s="130" t="n"/>
      <c r="E57" s="130" t="n"/>
      <c r="F57" s="130" t="n"/>
      <c r="G57" s="130" t="n"/>
      <c r="H57" s="130" t="n"/>
      <c r="I57" s="130" t="n"/>
      <c r="J57" s="130" t="n"/>
      <c r="K57" s="130" t="n"/>
      <c r="L57" s="130" t="n"/>
      <c r="M57" s="130" t="n"/>
      <c r="N57" s="132">
        <f>SUMIF($D$7:$D$55,"laufend",N7:N55)+SUMIF($D$7:$D$55,"Monatsvektor",N7:N55)</f>
        <v/>
      </c>
      <c r="O57" s="132">
        <f>SUMIF($D$7:$D$55,"laufend",O7:O55)+SUMIF($D$7:$D$55,"Monatsvektor",O7:O55)</f>
        <v/>
      </c>
      <c r="P57" s="132">
        <f>SUMIF($D$7:$D$55,"laufend",P7:P55)+SUMIF($D$7:$D$55,"Monatsvektor",P7:P55)</f>
        <v/>
      </c>
      <c r="Q57" s="132">
        <f>SUMIF($D$7:$D$55,"laufend",Q7:Q55)+SUMIF($D$7:$D$55,"Monatsvektor",Q7:Q55)</f>
        <v/>
      </c>
      <c r="R57" s="132">
        <f>SUMIF($D$7:$D$55,"laufend",R7:R55)+SUMIF($D$7:$D$55,"Monatsvektor",R7:R55)</f>
        <v/>
      </c>
      <c r="S57" s="132">
        <f>SUMIF($D$7:$D$55,"laufend",S7:S55)+SUMIF($D$7:$D$55,"Monatsvektor",S7:S55)</f>
        <v/>
      </c>
      <c r="T57" s="132">
        <f>SUMIF($D$7:$D$55,"laufend",T7:T55)+SUMIF($D$7:$D$55,"Monatsvektor",T7:T55)</f>
        <v/>
      </c>
      <c r="U57" s="132">
        <f>SUMIF($D$7:$D$55,"laufend",U7:U55)+SUMIF($D$7:$D$55,"Monatsvektor",U7:U55)</f>
        <v/>
      </c>
      <c r="V57" s="132">
        <f>SUMIF($D$7:$D$55,"laufend",V7:V55)+SUMIF($D$7:$D$55,"Monatsvektor",V7:V55)</f>
        <v/>
      </c>
      <c r="W57" s="132">
        <f>SUMIF($D$7:$D$55,"laufend",W7:W55)+SUMIF($D$7:$D$55,"Monatsvektor",W7:W55)</f>
        <v/>
      </c>
      <c r="X57" s="132">
        <f>SUMIF($D$7:$D$55,"laufend",X7:X55)+SUMIF($D$7:$D$55,"Monatsvektor",X7:X55)</f>
        <v/>
      </c>
      <c r="Y57" s="132">
        <f>SUMIF($D$7:$D$55,"laufend",Y7:Y55)+SUMIF($D$7:$D$55,"Monatsvektor",Y7:Y55)</f>
        <v/>
      </c>
      <c r="Z57" s="132">
        <f>SUMIF($D$7:$D$55,"laufend",Z7:Z55)+SUMIF($D$7:$D$55,"Monatsvektor",Z7:Z55)</f>
        <v/>
      </c>
      <c r="AA57" s="132">
        <f>SUMIF($D$7:$D$55,"laufend",AA7:AA55)+SUMIF($D$7:$D$55,"Monatsvektor",AA7:AA55)</f>
        <v/>
      </c>
      <c r="AB57" s="132">
        <f>SUMIF($D$7:$D$55,"laufend",AB7:AB55)+SUMIF($D$7:$D$55,"Monatsvektor",AB7:AB55)</f>
        <v/>
      </c>
      <c r="AC57" s="132">
        <f>SUMIF($D$7:$D$55,"laufend",AC7:AC55)+SUMIF($D$7:$D$55,"Monatsvektor",AC7:AC55)</f>
        <v/>
      </c>
      <c r="AD57" s="132">
        <f>SUMIF($D$7:$D$55,"laufend",AD7:AD55)+SUMIF($D$7:$D$55,"Monatsvektor",AD7:AD55)</f>
        <v/>
      </c>
      <c r="AE57" s="132">
        <f>SUMIF($D$7:$D$55,"laufend",AE7:AE55)+SUMIF($D$7:$D$55,"Monatsvektor",AE7:AE55)</f>
        <v/>
      </c>
      <c r="AF57" s="132">
        <f>SUMIF($D$7:$D$55,"laufend",AF7:AF55)+SUMIF($D$7:$D$55,"Monatsvektor",AF7:AF55)</f>
        <v/>
      </c>
      <c r="AG57" s="132">
        <f>SUMIF($D$7:$D$55,"laufend",AG7:AG55)+SUMIF($D$7:$D$55,"Monatsvektor",AG7:AG55)</f>
        <v/>
      </c>
      <c r="AH57" s="132">
        <f>SUMIF($D$7:$D$55,"laufend",AH7:AH55)+SUMIF($D$7:$D$55,"Monatsvektor",AH7:AH55)</f>
        <v/>
      </c>
      <c r="AI57" s="132">
        <f>SUMIF($D$7:$D$55,"laufend",AI7:AI55)+SUMIF($D$7:$D$55,"Monatsvektor",AI7:AI55)</f>
        <v/>
      </c>
      <c r="AJ57" s="132">
        <f>SUMIF($D$7:$D$55,"laufend",AJ7:AJ55)+SUMIF($D$7:$D$55,"Monatsvektor",AJ7:AJ55)</f>
        <v/>
      </c>
      <c r="AK57" s="132">
        <f>SUMIF($D$7:$D$55,"laufend",AK7:AK55)+SUMIF($D$7:$D$55,"Monatsvektor",AK7:AK55)</f>
        <v/>
      </c>
    </row>
    <row r="58" ht="15" customHeight="1" s="116">
      <c r="A58" s="130" t="n"/>
      <c r="B58" s="130" t="n"/>
      <c r="C58" s="129" t="inlineStr">
        <is>
          <t>Summe Einmalkosten Basis (€ im Monat)</t>
        </is>
      </c>
      <c r="D58" s="130" t="n"/>
      <c r="E58" s="130" t="n"/>
      <c r="F58" s="130" t="n"/>
      <c r="G58" s="130" t="n"/>
      <c r="H58" s="130" t="n"/>
      <c r="I58" s="130" t="n"/>
      <c r="J58" s="130" t="n"/>
      <c r="K58" s="130" t="n"/>
      <c r="L58" s="130" t="n"/>
      <c r="M58" s="130" t="n"/>
      <c r="N58" s="132">
        <f>SUMIF($D$7:$D$55,"einmalig",N7:N55)</f>
        <v/>
      </c>
      <c r="O58" s="132">
        <f>SUMIF($D$7:$D$55,"einmalig",O7:O55)</f>
        <v/>
      </c>
      <c r="P58" s="132">
        <f>SUMIF($D$7:$D$55,"einmalig",P7:P55)</f>
        <v/>
      </c>
      <c r="Q58" s="132">
        <f>SUMIF($D$7:$D$55,"einmalig",Q7:Q55)</f>
        <v/>
      </c>
      <c r="R58" s="132">
        <f>SUMIF($D$7:$D$55,"einmalig",R7:R55)</f>
        <v/>
      </c>
      <c r="S58" s="132">
        <f>SUMIF($D$7:$D$55,"einmalig",S7:S55)</f>
        <v/>
      </c>
      <c r="T58" s="132">
        <f>SUMIF($D$7:$D$55,"einmalig",T7:T55)</f>
        <v/>
      </c>
      <c r="U58" s="132">
        <f>SUMIF($D$7:$D$55,"einmalig",U7:U55)</f>
        <v/>
      </c>
      <c r="V58" s="132">
        <f>SUMIF($D$7:$D$55,"einmalig",V7:V55)</f>
        <v/>
      </c>
      <c r="W58" s="132">
        <f>SUMIF($D$7:$D$55,"einmalig",W7:W55)</f>
        <v/>
      </c>
      <c r="X58" s="132">
        <f>SUMIF($D$7:$D$55,"einmalig",X7:X55)</f>
        <v/>
      </c>
      <c r="Y58" s="132">
        <f>SUMIF($D$7:$D$55,"einmalig",Y7:Y55)</f>
        <v/>
      </c>
      <c r="Z58" s="132">
        <f>SUMIF($D$7:$D$55,"einmalig",Z7:Z55)</f>
        <v/>
      </c>
      <c r="AA58" s="132">
        <f>SUMIF($D$7:$D$55,"einmalig",AA7:AA55)</f>
        <v/>
      </c>
      <c r="AB58" s="132">
        <f>SUMIF($D$7:$D$55,"einmalig",AB7:AB55)</f>
        <v/>
      </c>
      <c r="AC58" s="132">
        <f>SUMIF($D$7:$D$55,"einmalig",AC7:AC55)</f>
        <v/>
      </c>
      <c r="AD58" s="132">
        <f>SUMIF($D$7:$D$55,"einmalig",AD7:AD55)</f>
        <v/>
      </c>
      <c r="AE58" s="132">
        <f>SUMIF($D$7:$D$55,"einmalig",AE7:AE55)</f>
        <v/>
      </c>
      <c r="AF58" s="132">
        <f>SUMIF($D$7:$D$55,"einmalig",AF7:AF55)</f>
        <v/>
      </c>
      <c r="AG58" s="132">
        <f>SUMIF($D$7:$D$55,"einmalig",AG7:AG55)</f>
        <v/>
      </c>
      <c r="AH58" s="132">
        <f>SUMIF($D$7:$D$55,"einmalig",AH7:AH55)</f>
        <v/>
      </c>
      <c r="AI58" s="132">
        <f>SUMIF($D$7:$D$55,"einmalig",AI7:AI55)</f>
        <v/>
      </c>
      <c r="AJ58" s="132">
        <f>SUMIF($D$7:$D$55,"einmalig",AJ7:AJ55)</f>
        <v/>
      </c>
      <c r="AK58" s="132">
        <f>SUMIF($D$7:$D$55,"einmalig",AK7:AK55)</f>
        <v/>
      </c>
    </row>
    <row r="59" ht="15" customHeight="1" s="116">
      <c r="A59" s="130" t="n"/>
      <c r="B59" s="130" t="n"/>
      <c r="C59" s="129" t="inlineStr">
        <is>
          <t>Summe Reserven Basis (€ im Monat)</t>
        </is>
      </c>
      <c r="D59" s="130" t="n"/>
      <c r="E59" s="130" t="n"/>
      <c r="F59" s="130" t="n"/>
      <c r="G59" s="130" t="n"/>
      <c r="H59" s="130" t="n"/>
      <c r="I59" s="130" t="n"/>
      <c r="J59" s="130" t="n"/>
      <c r="K59" s="130" t="n"/>
      <c r="L59" s="130" t="n"/>
      <c r="M59" s="130" t="n"/>
      <c r="N59" s="132">
        <f>SUMIF($D$7:$D$55,"Reserve",N7:N55)</f>
        <v/>
      </c>
      <c r="O59" s="132">
        <f>SUMIF($D$7:$D$55,"Reserve",O7:O55)</f>
        <v/>
      </c>
      <c r="P59" s="132">
        <f>SUMIF($D$7:$D$55,"Reserve",P7:P55)</f>
        <v/>
      </c>
      <c r="Q59" s="132">
        <f>SUMIF($D$7:$D$55,"Reserve",Q7:Q55)</f>
        <v/>
      </c>
      <c r="R59" s="132">
        <f>SUMIF($D$7:$D$55,"Reserve",R7:R55)</f>
        <v/>
      </c>
      <c r="S59" s="132">
        <f>SUMIF($D$7:$D$55,"Reserve",S7:S55)</f>
        <v/>
      </c>
      <c r="T59" s="132">
        <f>SUMIF($D$7:$D$55,"Reserve",T7:T55)</f>
        <v/>
      </c>
      <c r="U59" s="132">
        <f>SUMIF($D$7:$D$55,"Reserve",U7:U55)</f>
        <v/>
      </c>
      <c r="V59" s="132">
        <f>SUMIF($D$7:$D$55,"Reserve",V7:V55)</f>
        <v/>
      </c>
      <c r="W59" s="132">
        <f>SUMIF($D$7:$D$55,"Reserve",W7:W55)</f>
        <v/>
      </c>
      <c r="X59" s="132">
        <f>SUMIF($D$7:$D$55,"Reserve",X7:X55)</f>
        <v/>
      </c>
      <c r="Y59" s="132">
        <f>SUMIF($D$7:$D$55,"Reserve",Y7:Y55)</f>
        <v/>
      </c>
      <c r="Z59" s="132">
        <f>SUMIF($D$7:$D$55,"Reserve",Z7:Z55)</f>
        <v/>
      </c>
      <c r="AA59" s="132">
        <f>SUMIF($D$7:$D$55,"Reserve",AA7:AA55)</f>
        <v/>
      </c>
      <c r="AB59" s="132">
        <f>SUMIF($D$7:$D$55,"Reserve",AB7:AB55)</f>
        <v/>
      </c>
      <c r="AC59" s="132">
        <f>SUMIF($D$7:$D$55,"Reserve",AC7:AC55)</f>
        <v/>
      </c>
      <c r="AD59" s="132">
        <f>SUMIF($D$7:$D$55,"Reserve",AD7:AD55)</f>
        <v/>
      </c>
      <c r="AE59" s="132">
        <f>SUMIF($D$7:$D$55,"Reserve",AE7:AE55)</f>
        <v/>
      </c>
      <c r="AF59" s="132">
        <f>SUMIF($D$7:$D$55,"Reserve",AF7:AF55)</f>
        <v/>
      </c>
      <c r="AG59" s="132">
        <f>SUMIF($D$7:$D$55,"Reserve",AG7:AG55)</f>
        <v/>
      </c>
      <c r="AH59" s="132">
        <f>SUMIF($D$7:$D$55,"Reserve",AH7:AH55)</f>
        <v/>
      </c>
      <c r="AI59" s="132">
        <f>SUMIF($D$7:$D$55,"Reserve",AI7:AI55)</f>
        <v/>
      </c>
      <c r="AJ59" s="132">
        <f>SUMIF($D$7:$D$55,"Reserve",AJ7:AJ55)</f>
        <v/>
      </c>
      <c r="AK59" s="132">
        <f>SUMIF($D$7:$D$55,"Reserve",AK7:AK55)</f>
        <v/>
      </c>
    </row>
    <row r="60" ht="15" customHeight="1" s="116">
      <c r="C60" s="133" t="inlineStr">
        <is>
          <t>Vorsteuer-Erstattung bei Regelbesteuerung (mindernd) — je Zeile aus Spalte AL, nicht pauschal</t>
        </is>
      </c>
      <c r="N60" s="215">
        <f>-SUMPRODUCT($AL$7:$AL$55,IF(ISNUMBER(N$7:N$55),N$7:N$55,0))*'Plan-Annahmen'!$B$61</f>
        <v/>
      </c>
      <c r="O60" s="215">
        <f>-SUMPRODUCT($AL$7:$AL$55,IF(ISNUMBER(O$7:O$55),O$7:O$55,0))*'Plan-Annahmen'!$B$61</f>
        <v/>
      </c>
      <c r="P60" s="215">
        <f>-SUMPRODUCT($AL$7:$AL$55,IF(ISNUMBER(P$7:P$55),P$7:P$55,0))*'Plan-Annahmen'!$B$61</f>
        <v/>
      </c>
      <c r="Q60" s="215">
        <f>-SUMPRODUCT($AL$7:$AL$55,IF(ISNUMBER(Q$7:Q$55),Q$7:Q$55,0))*'Plan-Annahmen'!$B$61</f>
        <v/>
      </c>
      <c r="R60" s="215">
        <f>-SUMPRODUCT($AL$7:$AL$55,IF(ISNUMBER(R$7:R$55),R$7:R$55,0))*'Plan-Annahmen'!$B$61</f>
        <v/>
      </c>
      <c r="S60" s="215">
        <f>-SUMPRODUCT($AL$7:$AL$55,IF(ISNUMBER(S$7:S$55),S$7:S$55,0))*'Plan-Annahmen'!$B$61</f>
        <v/>
      </c>
      <c r="T60" s="215">
        <f>-SUMPRODUCT($AL$7:$AL$55,IF(ISNUMBER(T$7:T$55),T$7:T$55,0))*'Plan-Annahmen'!$B$61</f>
        <v/>
      </c>
      <c r="U60" s="215">
        <f>-SUMPRODUCT($AL$7:$AL$55,IF(ISNUMBER(U$7:U$55),U$7:U$55,0))*'Plan-Annahmen'!$B$61</f>
        <v/>
      </c>
      <c r="V60" s="215">
        <f>-SUMPRODUCT($AL$7:$AL$55,IF(ISNUMBER(V$7:V$55),V$7:V$55,0))*'Plan-Annahmen'!$B$61</f>
        <v/>
      </c>
      <c r="W60" s="215">
        <f>-SUMPRODUCT($AL$7:$AL$55,IF(ISNUMBER(W$7:W$55),W$7:W$55,0))*'Plan-Annahmen'!$B$61</f>
        <v/>
      </c>
      <c r="X60" s="215">
        <f>-SUMPRODUCT($AL$7:$AL$55,IF(ISNUMBER(X$7:X$55),X$7:X$55,0))*'Plan-Annahmen'!$B$61</f>
        <v/>
      </c>
      <c r="Y60" s="215">
        <f>-SUMPRODUCT($AL$7:$AL$55,IF(ISNUMBER(Y$7:Y$55),Y$7:Y$55,0))*'Plan-Annahmen'!$B$61</f>
        <v/>
      </c>
      <c r="Z60" s="215">
        <f>-SUMPRODUCT($AL$7:$AL$55,IF(ISNUMBER(Z$7:Z$55),Z$7:Z$55,0))*'Plan-Annahmen'!$B$61</f>
        <v/>
      </c>
      <c r="AA60" s="215">
        <f>-SUMPRODUCT($AL$7:$AL$55,IF(ISNUMBER(AA$7:AA$55),AA$7:AA$55,0))*'Plan-Annahmen'!$B$61</f>
        <v/>
      </c>
      <c r="AB60" s="215">
        <f>-SUMPRODUCT($AL$7:$AL$55,IF(ISNUMBER(AB$7:AB$55),AB$7:AB$55,0))*'Plan-Annahmen'!$B$61</f>
        <v/>
      </c>
      <c r="AC60" s="215">
        <f>-SUMPRODUCT($AL$7:$AL$55,IF(ISNUMBER(AC$7:AC$55),AC$7:AC$55,0))*'Plan-Annahmen'!$B$61</f>
        <v/>
      </c>
      <c r="AD60" s="215">
        <f>-SUMPRODUCT($AL$7:$AL$55,IF(ISNUMBER(AD$7:AD$55),AD$7:AD$55,0))*'Plan-Annahmen'!$B$61</f>
        <v/>
      </c>
      <c r="AE60" s="215">
        <f>-SUMPRODUCT($AL$7:$AL$55,IF(ISNUMBER(AE$7:AE$55),AE$7:AE$55,0))*'Plan-Annahmen'!$B$61</f>
        <v/>
      </c>
      <c r="AF60" s="215">
        <f>-SUMPRODUCT($AL$7:$AL$55,IF(ISNUMBER(AF$7:AF$55),AF$7:AF$55,0))*'Plan-Annahmen'!$B$61</f>
        <v/>
      </c>
      <c r="AG60" s="215">
        <f>-SUMPRODUCT($AL$7:$AL$55,IF(ISNUMBER(AG$7:AG$55),AG$7:AG$55,0))*'Plan-Annahmen'!$B$61</f>
        <v/>
      </c>
      <c r="AH60" s="215">
        <f>-SUMPRODUCT($AL$7:$AL$55,IF(ISNUMBER(AH$7:AH$55),AH$7:AH$55,0))*'Plan-Annahmen'!$B$61</f>
        <v/>
      </c>
      <c r="AI60" s="215">
        <f>-SUMPRODUCT($AL$7:$AL$55,IF(ISNUMBER(AI$7:AI$55),AI$7:AI$55,0))*'Plan-Annahmen'!$B$61</f>
        <v/>
      </c>
      <c r="AJ60" s="215">
        <f>-SUMPRODUCT($AL$7:$AL$55,IF(ISNUMBER(AJ$7:AJ$55),AJ$7:AJ$55,0))*'Plan-Annahmen'!$B$61</f>
        <v/>
      </c>
      <c r="AK60" s="215">
        <f>-SUMPRODUCT($AL$7:$AL$55,IF(ISNUMBER(AK$7:AK$55),AK$7:AK$55,0))*'Plan-Annahmen'!$B$61</f>
        <v/>
      </c>
    </row>
    <row r="61" ht="15" customHeight="1" s="116">
      <c r="A61" s="130" t="n"/>
      <c r="B61" s="130" t="n"/>
      <c r="C61" s="129" t="inlineStr">
        <is>
          <t>Laufende Kosten Basis nach Vorsteuer (€/Monat) — geht ins Raster</t>
        </is>
      </c>
      <c r="D61" s="130" t="n"/>
      <c r="E61" s="130" t="n"/>
      <c r="F61" s="130" t="n"/>
      <c r="G61" s="130" t="n"/>
      <c r="H61" s="130" t="n"/>
      <c r="I61" s="130" t="n"/>
      <c r="J61" s="130" t="n"/>
      <c r="K61" s="130" t="n"/>
      <c r="L61" s="130" t="n"/>
      <c r="M61" s="130" t="n"/>
      <c r="N61" s="132">
        <f>N57+N60</f>
        <v/>
      </c>
      <c r="O61" s="132">
        <f>O57+O60</f>
        <v/>
      </c>
      <c r="P61" s="132">
        <f>P57+P60</f>
        <v/>
      </c>
      <c r="Q61" s="132">
        <f>Q57+Q60</f>
        <v/>
      </c>
      <c r="R61" s="132">
        <f>R57+R60</f>
        <v/>
      </c>
      <c r="S61" s="132">
        <f>S57+S60</f>
        <v/>
      </c>
      <c r="T61" s="132">
        <f>T57+T60</f>
        <v/>
      </c>
      <c r="U61" s="132">
        <f>U57+U60</f>
        <v/>
      </c>
      <c r="V61" s="132">
        <f>V57+V60</f>
        <v/>
      </c>
      <c r="W61" s="132">
        <f>W57+W60</f>
        <v/>
      </c>
      <c r="X61" s="132">
        <f>X57+X60</f>
        <v/>
      </c>
      <c r="Y61" s="132">
        <f>Y57+Y60</f>
        <v/>
      </c>
      <c r="Z61" s="132">
        <f>Z57+Z60</f>
        <v/>
      </c>
      <c r="AA61" s="132">
        <f>AA57+AA60</f>
        <v/>
      </c>
      <c r="AB61" s="132">
        <f>AB57+AB60</f>
        <v/>
      </c>
      <c r="AC61" s="132">
        <f>AC57+AC60</f>
        <v/>
      </c>
      <c r="AD61" s="132">
        <f>AD57+AD60</f>
        <v/>
      </c>
      <c r="AE61" s="132">
        <f>AE57+AE60</f>
        <v/>
      </c>
      <c r="AF61" s="132">
        <f>AF57+AF60</f>
        <v/>
      </c>
      <c r="AG61" s="132">
        <f>AG57+AG60</f>
        <v/>
      </c>
      <c r="AH61" s="132">
        <f>AH57+AH60</f>
        <v/>
      </c>
      <c r="AI61" s="132">
        <f>AI57+AI60</f>
        <v/>
      </c>
      <c r="AJ61" s="132">
        <f>AJ57+AJ60</f>
        <v/>
      </c>
      <c r="AK61" s="132">
        <f>AK57+AK60</f>
        <v/>
      </c>
    </row>
    <row r="63" ht="15" customHeight="1" s="116">
      <c r="C63" s="133" t="inlineStr">
        <is>
          <t>UG-Block — wird je Szenario ab dem UG-Monat zugeschaltet</t>
        </is>
      </c>
    </row>
    <row r="64" ht="15" customHeight="1" s="116">
      <c r="A64" s="119" t="n"/>
      <c r="B64" s="119" t="n"/>
      <c r="C64" s="119" t="inlineStr">
        <is>
          <t>Posten</t>
        </is>
      </c>
      <c r="D64" s="119" t="inlineStr">
        <is>
          <t>Betrag</t>
        </is>
      </c>
      <c r="E64" s="119" t="inlineStr">
        <is>
          <t>Einheit</t>
        </is>
      </c>
      <c r="F64" s="119" t="inlineStr">
        <is>
          <t>€/Monat bzw. € einmalig</t>
        </is>
      </c>
      <c r="G64" s="175" t="n"/>
      <c r="H64" s="175" t="n"/>
      <c r="I64" s="175" t="n"/>
      <c r="J64" s="175" t="n"/>
      <c r="K64" s="175" t="n"/>
      <c r="L64" s="175" t="n"/>
      <c r="M64" s="176" t="n"/>
    </row>
    <row r="65" ht="15" customHeight="1" s="116">
      <c r="C65" s="194" t="inlineStr">
        <is>
          <t>Steuerberater-Mehrkosten UG gegenüber EÜR</t>
        </is>
      </c>
      <c r="D65" s="216" t="n"/>
      <c r="E65" s="217" t="inlineStr">
        <is>
          <t>laufend</t>
        </is>
      </c>
      <c r="F65" s="198">
        <f>3000/12-800/12</f>
        <v/>
      </c>
    </row>
    <row r="66" ht="15" customHeight="1" s="116">
      <c r="C66" s="194" t="inlineStr">
        <is>
          <t>Geschäftskonto (bei der UG zwingend)</t>
        </is>
      </c>
      <c r="D66" s="216" t="n"/>
      <c r="E66" s="217" t="inlineStr">
        <is>
          <t>laufend</t>
        </is>
      </c>
      <c r="F66" s="198">
        <f>10</f>
        <v/>
      </c>
    </row>
    <row r="67" ht="15" customHeight="1" s="116">
      <c r="C67" s="194" t="inlineStr">
        <is>
          <t>IHK-Grundbeitrag (Gründerbefreiung gilt nicht)</t>
        </is>
      </c>
      <c r="D67" s="216" t="n"/>
      <c r="E67" s="217" t="inlineStr">
        <is>
          <t>laufend</t>
        </is>
      </c>
      <c r="F67" s="198">
        <f>200/12</f>
        <v/>
      </c>
    </row>
    <row r="68" ht="15" customHeight="1" s="116">
      <c r="C68" s="194" t="inlineStr">
        <is>
          <t>Notar + Handelsregister (einmalig)</t>
        </is>
      </c>
      <c r="D68" s="216" t="n"/>
      <c r="E68" s="217" t="inlineStr">
        <is>
          <t>einmalig</t>
        </is>
      </c>
      <c r="F68" s="198">
        <f>480</f>
        <v/>
      </c>
    </row>
    <row r="69" ht="15" customHeight="1" s="116">
      <c r="C69" s="194" t="inlineStr">
        <is>
          <t>Eröffnungsbilanz (einmalig)</t>
        </is>
      </c>
      <c r="D69" s="216" t="n"/>
      <c r="E69" s="217" t="inlineStr">
        <is>
          <t>einmalig</t>
        </is>
      </c>
      <c r="F69" s="198">
        <f>500</f>
        <v/>
      </c>
    </row>
    <row r="70" ht="15" customHeight="1" s="116">
      <c r="C70" s="194" t="inlineStr">
        <is>
          <t>Stammkapital (Reserve, kein Aufwand)</t>
        </is>
      </c>
      <c r="D70" s="216" t="n"/>
      <c r="E70" s="217" t="inlineStr">
        <is>
          <t>Reserve</t>
        </is>
      </c>
      <c r="F70" s="198">
        <f>1000</f>
        <v/>
      </c>
    </row>
    <row r="71" ht="15" customHeight="1" s="116">
      <c r="C71" s="129" t="inlineStr">
        <is>
          <t>UG-Mehrkosten laufend gesamt (€/Monat)</t>
        </is>
      </c>
      <c r="D71" s="130" t="n"/>
      <c r="E71" s="130" t="n"/>
      <c r="F71" s="132">
        <f>F65+F66+F67</f>
        <v/>
      </c>
    </row>
    <row r="72" ht="15" customHeight="1" s="116">
      <c r="C72" s="129" t="inlineStr">
        <is>
          <t>UG-Einmalkosten gesamt (€ im UG-Monat)</t>
        </is>
      </c>
      <c r="D72" s="130" t="n"/>
      <c r="E72" s="130" t="n"/>
      <c r="F72" s="132">
        <f>F68+F69</f>
        <v/>
      </c>
    </row>
    <row r="73" ht="15" customHeight="1" s="116">
      <c r="C73" s="129" t="inlineStr">
        <is>
          <t>UG-Reserve (€ im UG-Monat, bleibt Vermögen)</t>
        </is>
      </c>
      <c r="D73" s="130" t="n"/>
      <c r="E73" s="130" t="n"/>
      <c r="F73" s="132">
        <f>F70</f>
        <v/>
      </c>
    </row>
    <row r="75" ht="39" customHeight="1" s="116">
      <c r="A75" s="157" t="inlineStr">
        <is>
          <t>Warum der UG-Block separat steht: Der Zeitpunkt der UG-Gründung hängt an der Kundenzahl (rund 20 aktive Betriebe) und ist deshalb in jedem Szenario ein anderer Monat. Die Basiskosten oben gelten für alle Szenarien gleich; das Raster schaltet den UG-Block je Szenario ab dem Monat zu, in dem die Schwelle fällt. Beim Steuerberater wird nur die Differenz zugeschaltet (3.000 statt 800 €/Jahr), damit nichts doppelt zählt.</t>
        </is>
      </c>
    </row>
    <row r="77" ht="39" customHeight="1" s="116">
      <c r="A77" s="157" t="inlineStr">
        <is>
          <t>Im Katalog A–H nicht enthalten und von mir ergänzt: Google-Play-Registrierung neben der Apple-Gebühr · Kontoführung des bei der UG zwingenden Geschäftskontos · Marketing-Sachkosten als Monatsvektor · die schaltbare Vorsteuer-Zeile. Als 'trifft nicht zu' geführt statt weggelassen: Werbebudget, Social-Tools, Cyber-Deckung, Rechtstexte-Abo, Objektspeicher, Resend Pro, Domainvarianten, Solidaritätszuschlag, Gewerbesteuer, IHK (Gründerbefreiung), individuelle Satzung. — NACHTRAG 17.09.2026 (Head of Finance): Die Vorsteuerzeile 60 rechnet seit heute je Kostenzeile ueber Spalte AL statt mit einer 60-%-Pauschale. Spalte AM sagt je Zeile, ob der eingetragene Betrag brutto oder netto gemeint ist — das ist die Angabe, an der die Pauschale gescheitert ist.</t>
        </is>
      </c>
    </row>
  </sheetData>
  <mergeCells count="54">
    <mergeCell ref="J22:M22"/>
    <mergeCell ref="F64:M64"/>
    <mergeCell ref="J31:M31"/>
    <mergeCell ref="J47:M47"/>
    <mergeCell ref="J43:M43"/>
    <mergeCell ref="J12:M12"/>
    <mergeCell ref="A2:M4"/>
    <mergeCell ref="J50:M50"/>
    <mergeCell ref="J46:M46"/>
    <mergeCell ref="J21:M21"/>
    <mergeCell ref="J51:M51"/>
    <mergeCell ref="J18:M18"/>
    <mergeCell ref="J33:M33"/>
    <mergeCell ref="J42:M42"/>
    <mergeCell ref="J23:M23"/>
    <mergeCell ref="J52:M52"/>
    <mergeCell ref="J48:M48"/>
    <mergeCell ref="J17:M17"/>
    <mergeCell ref="J39:M39"/>
    <mergeCell ref="J8:M8"/>
    <mergeCell ref="A77:M77"/>
    <mergeCell ref="J38:M38"/>
    <mergeCell ref="J44:M44"/>
    <mergeCell ref="J14:M14"/>
    <mergeCell ref="J29:M29"/>
    <mergeCell ref="J19:M19"/>
    <mergeCell ref="J37:M37"/>
    <mergeCell ref="J10:M10"/>
    <mergeCell ref="J28:M28"/>
    <mergeCell ref="J13:M13"/>
    <mergeCell ref="J40:M40"/>
    <mergeCell ref="J9:M9"/>
    <mergeCell ref="J34:M34"/>
    <mergeCell ref="J6:M6"/>
    <mergeCell ref="J24:M24"/>
    <mergeCell ref="J30:M30"/>
    <mergeCell ref="J15:M15"/>
    <mergeCell ref="J53:M53"/>
    <mergeCell ref="J49:M49"/>
    <mergeCell ref="J27:M27"/>
    <mergeCell ref="J45:M45"/>
    <mergeCell ref="J36:M36"/>
    <mergeCell ref="A75:M75"/>
    <mergeCell ref="J26:M26"/>
    <mergeCell ref="J55:M55"/>
    <mergeCell ref="J35:M35"/>
    <mergeCell ref="J11:M11"/>
    <mergeCell ref="J20:M20"/>
    <mergeCell ref="J16:M16"/>
    <mergeCell ref="J54:M54"/>
    <mergeCell ref="J32:M32"/>
    <mergeCell ref="J7:M7"/>
    <mergeCell ref="J25:M25"/>
    <mergeCell ref="J41:M4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E90"/>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customHeight="0" zeroHeight="0" outlineLevelRow="0"/>
  <cols>
    <col width="7" customWidth="1" style="213" min="1" max="1"/>
    <col width="12" customWidth="1" style="213" min="2" max="2"/>
    <col width="10" customWidth="1" style="213" min="3" max="7"/>
    <col width="12" customWidth="1" style="213" min="8" max="8"/>
    <col width="11" customWidth="1" style="213" min="9" max="10"/>
    <col width="10" customWidth="1" style="213" min="11" max="11"/>
    <col width="12" customWidth="1" style="213" min="12" max="12"/>
    <col width="13" customWidth="1" style="213" min="13" max="14"/>
    <col width="12" customWidth="1" style="213" min="15" max="17"/>
    <col width="13" customWidth="1" style="213" min="18" max="18"/>
    <col width="11" customWidth="1" style="213" min="19" max="19"/>
    <col width="12" customWidth="1" style="213" min="20" max="21"/>
    <col width="11" customWidth="1" style="213" min="22" max="22"/>
    <col width="12" customWidth="1" style="213" min="23" max="23"/>
    <col width="9" customWidth="1" style="213" min="24" max="24"/>
    <col width="10" customWidth="1" style="213" min="25" max="25"/>
    <col width="11" customWidth="1" style="213" min="26" max="26"/>
    <col width="12" customWidth="1" style="213" min="27" max="28"/>
    <col width="10" customWidth="1" style="213" min="29" max="29"/>
    <col width="13" customWidth="1" style="213" min="30" max="30"/>
    <col width="9" customWidth="1" style="213" min="31" max="31"/>
  </cols>
  <sheetData>
    <row r="1" ht="17.25" customHeight="1" s="116">
      <c r="A1" s="117" t="inlineStr">
        <is>
          <t>Plan-24M — Monatsraster September 2026 bis August 2028, drei Szenarien</t>
        </is>
      </c>
    </row>
    <row r="2" ht="15" customHeight="1" s="116">
      <c r="A2" s="157" t="inlineStr">
        <is>
          <t>Kundenzahlen kommen vom Blatt 'Plan-Kunden', Kosten vom Blatt 'Plan-Kosten'. Umsatz: Gründerkunden × 29 € + Standardkunden × 49 €, abzüglich Ausfall und Kulanz. Die Spalten 'UG-Mehrkosten' und 'UG-Einmalkosten' schalten sich in dem Monat zu, in dem das jeweilige Szenario rund 20 aktive Betriebe erreicht — der UG-Monat steht in der Kopfzeile jedes Szenarios. Steuerrücklage: Grenzsteuersatz auf positive Monatsergebnisse, sofort zurückgelegt. Liquidität = kumulierter Cashflow minus gebundene Reserven; ihr Tiefpunkt ist der Betrag, den Sandy vorstrecken muss.</t>
        </is>
      </c>
    </row>
    <row r="3" ht="15" customHeight="1" s="116"/>
    <row r="4" ht="15" customHeight="1" s="116"/>
    <row r="6" ht="15" customHeight="1" s="116">
      <c r="A6" s="133" t="inlineStr">
        <is>
          <t>Szenario: Vorsichtig</t>
        </is>
      </c>
      <c r="H6" s="118" t="inlineStr">
        <is>
          <t>Liquiditäts-Tiefpunkt in Monat:</t>
        </is>
      </c>
      <c r="K6" s="133">
        <f>MATCH(MIN(W8:W31),W8:W31,0)</f>
        <v/>
      </c>
      <c r="M6" s="118" t="inlineStr">
        <is>
          <t>UG-Gründung in Monat:</t>
        </is>
      </c>
      <c r="O6" s="218">
        <f>'Plan-Kunden'!$S$32</f>
        <v/>
      </c>
    </row>
    <row r="7" ht="39" customHeight="1" s="116">
      <c r="A7" s="119" t="inlineStr">
        <is>
          <t>Monat</t>
        </is>
      </c>
      <c r="B7" s="119" t="inlineStr">
        <is>
          <t>Kalendermonat</t>
        </is>
      </c>
      <c r="C7" s="119" t="inlineStr">
        <is>
          <t>Neukunden</t>
        </is>
      </c>
      <c r="D7" s="119" t="inlineStr">
        <is>
          <t>Kunden aktiv</t>
        </is>
      </c>
      <c r="E7" s="119" t="inlineStr">
        <is>
          <t>Kunden @29€</t>
        </is>
      </c>
      <c r="F7" s="119" t="inlineStr">
        <is>
          <t>Kunden @49€</t>
        </is>
      </c>
      <c r="G7" s="119" t="inlineStr">
        <is>
          <t>Angebote</t>
        </is>
      </c>
      <c r="H7" s="119" t="inlineStr">
        <is>
          <t>Umsatz netto</t>
        </is>
      </c>
      <c r="I7" s="119" t="inlineStr">
        <is>
          <t>Ausfall + Kulanz</t>
        </is>
      </c>
      <c r="J7" s="119" t="inlineStr">
        <is>
          <t>Stripe-Gebühren</t>
        </is>
      </c>
      <c r="K7" s="119" t="inlineStr">
        <is>
          <t>KI-Kosten</t>
        </is>
      </c>
      <c r="L7" s="119" t="inlineStr">
        <is>
          <t>Empfehlungs-Anreiz</t>
        </is>
      </c>
      <c r="M7" s="119" t="inlineStr">
        <is>
          <t>Laufende Kosten Basis</t>
        </is>
      </c>
      <c r="N7" s="119" t="inlineStr">
        <is>
          <t>UG-Mehrkosten laufend</t>
        </is>
      </c>
      <c r="O7" s="119" t="inlineStr">
        <is>
          <t>Einmalkosten Basis</t>
        </is>
      </c>
      <c r="P7" s="119" t="inlineStr">
        <is>
          <t>UG-Einmalkosten</t>
        </is>
      </c>
      <c r="Q7" s="119" t="inlineStr">
        <is>
          <t>Kosten gesamt</t>
        </is>
      </c>
      <c r="R7" s="119" t="inlineStr">
        <is>
          <t>Ergebnis vor Steuer</t>
        </is>
      </c>
      <c r="S7" s="119" t="inlineStr">
        <is>
          <t>Steuerrücklage</t>
        </is>
      </c>
      <c r="T7" s="119" t="inlineStr">
        <is>
          <t>Cashflow nach Steuer</t>
        </is>
      </c>
      <c r="U7" s="119" t="inlineStr">
        <is>
          <t>kumuliert</t>
        </is>
      </c>
      <c r="V7" s="119" t="inlineStr">
        <is>
          <t>Reserven kumuliert</t>
        </is>
      </c>
      <c r="W7" s="119" t="inlineStr">
        <is>
          <t>Liquidität</t>
        </is>
      </c>
      <c r="X7" s="119" t="inlineStr">
        <is>
          <t>Ergebnis &gt; 0?</t>
        </is>
      </c>
      <c r="Y7" s="119" t="inlineStr">
        <is>
          <t>Std. gesamt</t>
        </is>
      </c>
      <c r="Z7" s="119" t="inlineStr">
        <is>
          <t>über Dauerlinie?</t>
        </is>
      </c>
      <c r="AA7" s="119" t="inlineStr">
        <is>
          <t>Kunden ≥ B1 (30 Std.)?</t>
        </is>
      </c>
      <c r="AB7" s="119" t="inlineStr">
        <is>
          <t>Kunden ≥ B1 (25 Std.)?</t>
        </is>
      </c>
      <c r="AC7" s="119" t="inlineStr">
        <is>
          <t>Kunden ≥ B2?</t>
        </is>
      </c>
      <c r="AD7" s="119" t="inlineStr">
        <is>
          <t>Liquidität ≥ 0 nach Tiefpunkt?</t>
        </is>
      </c>
      <c r="AE7" s="119" t="inlineStr">
        <is>
          <t>UG aktiv?</t>
        </is>
      </c>
    </row>
    <row r="8" ht="15" customHeight="1" s="116">
      <c r="A8" s="149" t="n">
        <v>1</v>
      </c>
      <c r="B8" s="187">
        <f>'Plan-Kunden'!B8</f>
        <v/>
      </c>
      <c r="C8" s="192">
        <f>'Plan-Kunden'!E8</f>
        <v/>
      </c>
      <c r="D8" s="192">
        <f>'Plan-Kunden'!K8</f>
        <v/>
      </c>
      <c r="E8" s="192">
        <f>'Plan-Kunden'!I8</f>
        <v/>
      </c>
      <c r="F8" s="192">
        <f>'Plan-Kunden'!J8</f>
        <v/>
      </c>
      <c r="G8" s="219">
        <f>D8*'Plan-Annahmen'!$B$21</f>
        <v/>
      </c>
      <c r="H8" s="215">
        <f>E8*'Plan-Annahmen'!$B$14+F8*'Plan-Annahmen'!$B$15</f>
        <v/>
      </c>
      <c r="I8" s="215">
        <f>H8*('Plan-Annahmen'!$B$52+'Plan-Annahmen'!$B$53)</f>
        <v/>
      </c>
      <c r="J8" s="215">
        <f>E8*('Plan-Annahmen'!$B$14*'Plan-Annahmen'!$B$18+'Plan-Annahmen'!$B$19)+F8*('Plan-Annahmen'!$B$15*'Plan-Annahmen'!$B$18+'Plan-Annahmen'!$B$19)</f>
        <v/>
      </c>
      <c r="K8" s="215">
        <f>G8*'Plan-Annahmen'!$B$17/100</f>
        <v/>
      </c>
      <c r="L8" s="215">
        <f>'Plan-Kunden'!D8*'Plan-Annahmen'!$B$15*'Plan-Annahmen'!$B$50</f>
        <v/>
      </c>
      <c r="M8" s="215">
        <f>'Plan-Kosten'!N$61</f>
        <v/>
      </c>
      <c r="N8" s="215">
        <f>IF(A8&gt;=$O$6,'Plan-Kosten'!$F$71,0)</f>
        <v/>
      </c>
      <c r="O8" s="215">
        <f>'Plan-Kosten'!N$58</f>
        <v/>
      </c>
      <c r="P8" s="215">
        <f>IF(A8=$O$6,'Plan-Kosten'!$F$72,0)</f>
        <v/>
      </c>
      <c r="Q8" s="182">
        <f>I8+J8+K8+L8+M8+N8+O8+P8</f>
        <v/>
      </c>
      <c r="R8" s="153">
        <f>H8-Q8</f>
        <v/>
      </c>
      <c r="S8" s="215">
        <f>MAX(0,R8*'Plan-Annahmen'!$B$82)</f>
        <v/>
      </c>
      <c r="T8" s="182">
        <f>R8-S8</f>
        <v/>
      </c>
      <c r="U8" s="182">
        <f>T8</f>
        <v/>
      </c>
      <c r="V8" s="215">
        <f>'Plan-Kosten'!N$59+IF(A8=$O$6,'Plan-Kosten'!$F$73,0)</f>
        <v/>
      </c>
      <c r="W8" s="153">
        <f>U8-V8</f>
        <v/>
      </c>
      <c r="X8" s="149">
        <f>IF(R8&gt;0,1,0)</f>
        <v/>
      </c>
      <c r="Y8" s="192">
        <f>'Plan-Kunden'!P8</f>
        <v/>
      </c>
      <c r="Z8" s="220">
        <f>'Plan-Kunden'!Q8</f>
        <v/>
      </c>
      <c r="AA8" s="220">
        <f>IF(D8&gt;='Plan-Phase B'!$C$22,1,0)</f>
        <v/>
      </c>
      <c r="AB8" s="220">
        <f>IF(D8&gt;='Plan-Phase B'!$D$22,1,0)</f>
        <v/>
      </c>
      <c r="AC8" s="220">
        <f>IF(D8&gt;='Plan-Phase B'!$E$22,1,0)</f>
        <v/>
      </c>
      <c r="AD8" s="149">
        <f>IF(AND(W8&gt;=0,A8&gt;$K$6),1,0)</f>
        <v/>
      </c>
      <c r="AE8" s="149">
        <f>IF(A8&gt;=$O$6,1,0)</f>
        <v/>
      </c>
    </row>
    <row r="9" ht="15" customHeight="1" s="116">
      <c r="A9" s="149" t="n">
        <v>2</v>
      </c>
      <c r="B9" s="187">
        <f>'Plan-Kunden'!B9</f>
        <v/>
      </c>
      <c r="C9" s="192">
        <f>'Plan-Kunden'!E9</f>
        <v/>
      </c>
      <c r="D9" s="192">
        <f>'Plan-Kunden'!K9</f>
        <v/>
      </c>
      <c r="E9" s="192">
        <f>'Plan-Kunden'!I9</f>
        <v/>
      </c>
      <c r="F9" s="192">
        <f>'Plan-Kunden'!J9</f>
        <v/>
      </c>
      <c r="G9" s="219">
        <f>D9*'Plan-Annahmen'!$B$21</f>
        <v/>
      </c>
      <c r="H9" s="215">
        <f>E9*'Plan-Annahmen'!$B$14+F9*'Plan-Annahmen'!$B$15</f>
        <v/>
      </c>
      <c r="I9" s="215">
        <f>H9*('Plan-Annahmen'!$B$52+'Plan-Annahmen'!$B$53)</f>
        <v/>
      </c>
      <c r="J9" s="215">
        <f>E9*('Plan-Annahmen'!$B$14*'Plan-Annahmen'!$B$18+'Plan-Annahmen'!$B$19)+F9*('Plan-Annahmen'!$B$15*'Plan-Annahmen'!$B$18+'Plan-Annahmen'!$B$19)</f>
        <v/>
      </c>
      <c r="K9" s="215">
        <f>G9*'Plan-Annahmen'!$B$17/100</f>
        <v/>
      </c>
      <c r="L9" s="215">
        <f>'Plan-Kunden'!D9*'Plan-Annahmen'!$B$15*'Plan-Annahmen'!$B$50</f>
        <v/>
      </c>
      <c r="M9" s="215">
        <f>'Plan-Kosten'!O$61</f>
        <v/>
      </c>
      <c r="N9" s="215">
        <f>IF(A9&gt;=$O$6,'Plan-Kosten'!$F$71,0)</f>
        <v/>
      </c>
      <c r="O9" s="215">
        <f>'Plan-Kosten'!O$58</f>
        <v/>
      </c>
      <c r="P9" s="215">
        <f>IF(A9=$O$6,'Plan-Kosten'!$F$72,0)</f>
        <v/>
      </c>
      <c r="Q9" s="182">
        <f>I9+J9+K9+L9+M9+N9+O9+P9</f>
        <v/>
      </c>
      <c r="R9" s="153">
        <f>H9-Q9</f>
        <v/>
      </c>
      <c r="S9" s="215">
        <f>MAX(0,R9*'Plan-Annahmen'!$B$82)</f>
        <v/>
      </c>
      <c r="T9" s="182">
        <f>R9-S9</f>
        <v/>
      </c>
      <c r="U9" s="182">
        <f>U8+T9</f>
        <v/>
      </c>
      <c r="V9" s="215">
        <f>V8+'Plan-Kosten'!O$59+IF(A9=$O$6,'Plan-Kosten'!$F$73,0)</f>
        <v/>
      </c>
      <c r="W9" s="153">
        <f>U9-V9</f>
        <v/>
      </c>
      <c r="X9" s="149">
        <f>IF(R9&gt;0,1,0)</f>
        <v/>
      </c>
      <c r="Y9" s="192">
        <f>'Plan-Kunden'!P9</f>
        <v/>
      </c>
      <c r="Z9" s="220">
        <f>'Plan-Kunden'!Q9</f>
        <v/>
      </c>
      <c r="AA9" s="220">
        <f>IF(D9&gt;='Plan-Phase B'!$C$22,1,0)</f>
        <v/>
      </c>
      <c r="AB9" s="220">
        <f>IF(D9&gt;='Plan-Phase B'!$D$22,1,0)</f>
        <v/>
      </c>
      <c r="AC9" s="220">
        <f>IF(D9&gt;='Plan-Phase B'!$E$22,1,0)</f>
        <v/>
      </c>
      <c r="AD9" s="149">
        <f>IF(AND(W9&gt;=0,A9&gt;$K$6),1,0)</f>
        <v/>
      </c>
      <c r="AE9" s="149">
        <f>IF(A9&gt;=$O$6,1,0)</f>
        <v/>
      </c>
    </row>
    <row r="10" ht="15" customHeight="1" s="116">
      <c r="A10" s="149" t="n">
        <v>3</v>
      </c>
      <c r="B10" s="187">
        <f>'Plan-Kunden'!B10</f>
        <v/>
      </c>
      <c r="C10" s="192">
        <f>'Plan-Kunden'!E10</f>
        <v/>
      </c>
      <c r="D10" s="192">
        <f>'Plan-Kunden'!K10</f>
        <v/>
      </c>
      <c r="E10" s="192">
        <f>'Plan-Kunden'!I10</f>
        <v/>
      </c>
      <c r="F10" s="192">
        <f>'Plan-Kunden'!J10</f>
        <v/>
      </c>
      <c r="G10" s="219">
        <f>D10*'Plan-Annahmen'!$B$21</f>
        <v/>
      </c>
      <c r="H10" s="215">
        <f>E10*'Plan-Annahmen'!$B$14+F10*'Plan-Annahmen'!$B$15</f>
        <v/>
      </c>
      <c r="I10" s="215">
        <f>H10*('Plan-Annahmen'!$B$52+'Plan-Annahmen'!$B$53)</f>
        <v/>
      </c>
      <c r="J10" s="215">
        <f>E10*('Plan-Annahmen'!$B$14*'Plan-Annahmen'!$B$18+'Plan-Annahmen'!$B$19)+F10*('Plan-Annahmen'!$B$15*'Plan-Annahmen'!$B$18+'Plan-Annahmen'!$B$19)</f>
        <v/>
      </c>
      <c r="K10" s="215">
        <f>G10*'Plan-Annahmen'!$B$17/100</f>
        <v/>
      </c>
      <c r="L10" s="215">
        <f>'Plan-Kunden'!D10*'Plan-Annahmen'!$B$15*'Plan-Annahmen'!$B$50</f>
        <v/>
      </c>
      <c r="M10" s="215">
        <f>'Plan-Kosten'!P$61</f>
        <v/>
      </c>
      <c r="N10" s="215">
        <f>IF(A10&gt;=$O$6,'Plan-Kosten'!$F$71,0)</f>
        <v/>
      </c>
      <c r="O10" s="215">
        <f>'Plan-Kosten'!P$58</f>
        <v/>
      </c>
      <c r="P10" s="215">
        <f>IF(A10=$O$6,'Plan-Kosten'!$F$72,0)</f>
        <v/>
      </c>
      <c r="Q10" s="182">
        <f>I10+J10+K10+L10+M10+N10+O10+P10</f>
        <v/>
      </c>
      <c r="R10" s="153">
        <f>H10-Q10</f>
        <v/>
      </c>
      <c r="S10" s="215">
        <f>MAX(0,R10*'Plan-Annahmen'!$B$82)</f>
        <v/>
      </c>
      <c r="T10" s="182">
        <f>R10-S10</f>
        <v/>
      </c>
      <c r="U10" s="182">
        <f>U9+T10</f>
        <v/>
      </c>
      <c r="V10" s="215">
        <f>V9+'Plan-Kosten'!P$59+IF(A10=$O$6,'Plan-Kosten'!$F$73,0)</f>
        <v/>
      </c>
      <c r="W10" s="153">
        <f>U10-V10</f>
        <v/>
      </c>
      <c r="X10" s="149">
        <f>IF(R10&gt;0,1,0)</f>
        <v/>
      </c>
      <c r="Y10" s="192">
        <f>'Plan-Kunden'!P10</f>
        <v/>
      </c>
      <c r="Z10" s="220">
        <f>'Plan-Kunden'!Q10</f>
        <v/>
      </c>
      <c r="AA10" s="220">
        <f>IF(D10&gt;='Plan-Phase B'!$C$22,1,0)</f>
        <v/>
      </c>
      <c r="AB10" s="220">
        <f>IF(D10&gt;='Plan-Phase B'!$D$22,1,0)</f>
        <v/>
      </c>
      <c r="AC10" s="220">
        <f>IF(D10&gt;='Plan-Phase B'!$E$22,1,0)</f>
        <v/>
      </c>
      <c r="AD10" s="149">
        <f>IF(AND(W10&gt;=0,A10&gt;$K$6),1,0)</f>
        <v/>
      </c>
      <c r="AE10" s="149">
        <f>IF(A10&gt;=$O$6,1,0)</f>
        <v/>
      </c>
    </row>
    <row r="11" ht="15" customHeight="1" s="116">
      <c r="A11" s="149" t="n">
        <v>4</v>
      </c>
      <c r="B11" s="187">
        <f>'Plan-Kunden'!B11</f>
        <v/>
      </c>
      <c r="C11" s="192">
        <f>'Plan-Kunden'!E11</f>
        <v/>
      </c>
      <c r="D11" s="192">
        <f>'Plan-Kunden'!K11</f>
        <v/>
      </c>
      <c r="E11" s="192">
        <f>'Plan-Kunden'!I11</f>
        <v/>
      </c>
      <c r="F11" s="192">
        <f>'Plan-Kunden'!J11</f>
        <v/>
      </c>
      <c r="G11" s="219">
        <f>D11*'Plan-Annahmen'!$B$21</f>
        <v/>
      </c>
      <c r="H11" s="215">
        <f>E11*'Plan-Annahmen'!$B$14+F11*'Plan-Annahmen'!$B$15</f>
        <v/>
      </c>
      <c r="I11" s="215">
        <f>H11*('Plan-Annahmen'!$B$52+'Plan-Annahmen'!$B$53)</f>
        <v/>
      </c>
      <c r="J11" s="215">
        <f>E11*('Plan-Annahmen'!$B$14*'Plan-Annahmen'!$B$18+'Plan-Annahmen'!$B$19)+F11*('Plan-Annahmen'!$B$15*'Plan-Annahmen'!$B$18+'Plan-Annahmen'!$B$19)</f>
        <v/>
      </c>
      <c r="K11" s="215">
        <f>G11*'Plan-Annahmen'!$B$17/100</f>
        <v/>
      </c>
      <c r="L11" s="215">
        <f>'Plan-Kunden'!D11*'Plan-Annahmen'!$B$15*'Plan-Annahmen'!$B$50</f>
        <v/>
      </c>
      <c r="M11" s="215">
        <f>'Plan-Kosten'!Q$61</f>
        <v/>
      </c>
      <c r="N11" s="215">
        <f>IF(A11&gt;=$O$6,'Plan-Kosten'!$F$71,0)</f>
        <v/>
      </c>
      <c r="O11" s="215">
        <f>'Plan-Kosten'!Q$58</f>
        <v/>
      </c>
      <c r="P11" s="215">
        <f>IF(A11=$O$6,'Plan-Kosten'!$F$72,0)</f>
        <v/>
      </c>
      <c r="Q11" s="182">
        <f>I11+J11+K11+L11+M11+N11+O11+P11</f>
        <v/>
      </c>
      <c r="R11" s="153">
        <f>H11-Q11</f>
        <v/>
      </c>
      <c r="S11" s="215">
        <f>MAX(0,R11*'Plan-Annahmen'!$B$82)</f>
        <v/>
      </c>
      <c r="T11" s="182">
        <f>R11-S11</f>
        <v/>
      </c>
      <c r="U11" s="182">
        <f>U10+T11</f>
        <v/>
      </c>
      <c r="V11" s="215">
        <f>V10+'Plan-Kosten'!Q$59+IF(A11=$O$6,'Plan-Kosten'!$F$73,0)</f>
        <v/>
      </c>
      <c r="W11" s="153">
        <f>U11-V11</f>
        <v/>
      </c>
      <c r="X11" s="149">
        <f>IF(R11&gt;0,1,0)</f>
        <v/>
      </c>
      <c r="Y11" s="192">
        <f>'Plan-Kunden'!P11</f>
        <v/>
      </c>
      <c r="Z11" s="220">
        <f>'Plan-Kunden'!Q11</f>
        <v/>
      </c>
      <c r="AA11" s="220">
        <f>IF(D11&gt;='Plan-Phase B'!$C$22,1,0)</f>
        <v/>
      </c>
      <c r="AB11" s="220">
        <f>IF(D11&gt;='Plan-Phase B'!$D$22,1,0)</f>
        <v/>
      </c>
      <c r="AC11" s="220">
        <f>IF(D11&gt;='Plan-Phase B'!$E$22,1,0)</f>
        <v/>
      </c>
      <c r="AD11" s="149">
        <f>IF(AND(W11&gt;=0,A11&gt;$K$6),1,0)</f>
        <v/>
      </c>
      <c r="AE11" s="149">
        <f>IF(A11&gt;=$O$6,1,0)</f>
        <v/>
      </c>
    </row>
    <row r="12" ht="15" customHeight="1" s="116">
      <c r="A12" s="149" t="n">
        <v>5</v>
      </c>
      <c r="B12" s="187">
        <f>'Plan-Kunden'!B12</f>
        <v/>
      </c>
      <c r="C12" s="192">
        <f>'Plan-Kunden'!E12</f>
        <v/>
      </c>
      <c r="D12" s="192">
        <f>'Plan-Kunden'!K12</f>
        <v/>
      </c>
      <c r="E12" s="192">
        <f>'Plan-Kunden'!I12</f>
        <v/>
      </c>
      <c r="F12" s="192">
        <f>'Plan-Kunden'!J12</f>
        <v/>
      </c>
      <c r="G12" s="219">
        <f>D12*'Plan-Annahmen'!$B$21</f>
        <v/>
      </c>
      <c r="H12" s="215">
        <f>E12*'Plan-Annahmen'!$B$14+F12*'Plan-Annahmen'!$B$15</f>
        <v/>
      </c>
      <c r="I12" s="215">
        <f>H12*('Plan-Annahmen'!$B$52+'Plan-Annahmen'!$B$53)</f>
        <v/>
      </c>
      <c r="J12" s="215">
        <f>E12*('Plan-Annahmen'!$B$14*'Plan-Annahmen'!$B$18+'Plan-Annahmen'!$B$19)+F12*('Plan-Annahmen'!$B$15*'Plan-Annahmen'!$B$18+'Plan-Annahmen'!$B$19)</f>
        <v/>
      </c>
      <c r="K12" s="215">
        <f>G12*'Plan-Annahmen'!$B$17/100</f>
        <v/>
      </c>
      <c r="L12" s="215">
        <f>'Plan-Kunden'!D12*'Plan-Annahmen'!$B$15*'Plan-Annahmen'!$B$50</f>
        <v/>
      </c>
      <c r="M12" s="215">
        <f>'Plan-Kosten'!R$61</f>
        <v/>
      </c>
      <c r="N12" s="215">
        <f>IF(A12&gt;=$O$6,'Plan-Kosten'!$F$71,0)</f>
        <v/>
      </c>
      <c r="O12" s="215">
        <f>'Plan-Kosten'!R$58</f>
        <v/>
      </c>
      <c r="P12" s="215">
        <f>IF(A12=$O$6,'Plan-Kosten'!$F$72,0)</f>
        <v/>
      </c>
      <c r="Q12" s="182">
        <f>I12+J12+K12+L12+M12+N12+O12+P12</f>
        <v/>
      </c>
      <c r="R12" s="153">
        <f>H12-Q12</f>
        <v/>
      </c>
      <c r="S12" s="215">
        <f>MAX(0,R12*'Plan-Annahmen'!$B$82)</f>
        <v/>
      </c>
      <c r="T12" s="182">
        <f>R12-S12</f>
        <v/>
      </c>
      <c r="U12" s="182">
        <f>U11+T12</f>
        <v/>
      </c>
      <c r="V12" s="215">
        <f>V11+'Plan-Kosten'!R$59+IF(A12=$O$6,'Plan-Kosten'!$F$73,0)</f>
        <v/>
      </c>
      <c r="W12" s="153">
        <f>U12-V12</f>
        <v/>
      </c>
      <c r="X12" s="149">
        <f>IF(R12&gt;0,1,0)</f>
        <v/>
      </c>
      <c r="Y12" s="192">
        <f>'Plan-Kunden'!P12</f>
        <v/>
      </c>
      <c r="Z12" s="220">
        <f>'Plan-Kunden'!Q12</f>
        <v/>
      </c>
      <c r="AA12" s="220">
        <f>IF(D12&gt;='Plan-Phase B'!$C$22,1,0)</f>
        <v/>
      </c>
      <c r="AB12" s="220">
        <f>IF(D12&gt;='Plan-Phase B'!$D$22,1,0)</f>
        <v/>
      </c>
      <c r="AC12" s="220">
        <f>IF(D12&gt;='Plan-Phase B'!$E$22,1,0)</f>
        <v/>
      </c>
      <c r="AD12" s="149">
        <f>IF(AND(W12&gt;=0,A12&gt;$K$6),1,0)</f>
        <v/>
      </c>
      <c r="AE12" s="149">
        <f>IF(A12&gt;=$O$6,1,0)</f>
        <v/>
      </c>
    </row>
    <row r="13" ht="15" customHeight="1" s="116">
      <c r="A13" s="149" t="n">
        <v>6</v>
      </c>
      <c r="B13" s="187">
        <f>'Plan-Kunden'!B13</f>
        <v/>
      </c>
      <c r="C13" s="192">
        <f>'Plan-Kunden'!E13</f>
        <v/>
      </c>
      <c r="D13" s="192">
        <f>'Plan-Kunden'!K13</f>
        <v/>
      </c>
      <c r="E13" s="192">
        <f>'Plan-Kunden'!I13</f>
        <v/>
      </c>
      <c r="F13" s="192">
        <f>'Plan-Kunden'!J13</f>
        <v/>
      </c>
      <c r="G13" s="219">
        <f>D13*'Plan-Annahmen'!$B$21</f>
        <v/>
      </c>
      <c r="H13" s="215">
        <f>E13*'Plan-Annahmen'!$B$14+F13*'Plan-Annahmen'!$B$15</f>
        <v/>
      </c>
      <c r="I13" s="215">
        <f>H13*('Plan-Annahmen'!$B$52+'Plan-Annahmen'!$B$53)</f>
        <v/>
      </c>
      <c r="J13" s="215">
        <f>E13*('Plan-Annahmen'!$B$14*'Plan-Annahmen'!$B$18+'Plan-Annahmen'!$B$19)+F13*('Plan-Annahmen'!$B$15*'Plan-Annahmen'!$B$18+'Plan-Annahmen'!$B$19)</f>
        <v/>
      </c>
      <c r="K13" s="215">
        <f>G13*'Plan-Annahmen'!$B$17/100</f>
        <v/>
      </c>
      <c r="L13" s="215">
        <f>'Plan-Kunden'!D13*'Plan-Annahmen'!$B$15*'Plan-Annahmen'!$B$50</f>
        <v/>
      </c>
      <c r="M13" s="215">
        <f>'Plan-Kosten'!S$61</f>
        <v/>
      </c>
      <c r="N13" s="215">
        <f>IF(A13&gt;=$O$6,'Plan-Kosten'!$F$71,0)</f>
        <v/>
      </c>
      <c r="O13" s="215">
        <f>'Plan-Kosten'!S$58</f>
        <v/>
      </c>
      <c r="P13" s="215">
        <f>IF(A13=$O$6,'Plan-Kosten'!$F$72,0)</f>
        <v/>
      </c>
      <c r="Q13" s="182">
        <f>I13+J13+K13+L13+M13+N13+O13+P13</f>
        <v/>
      </c>
      <c r="R13" s="153">
        <f>H13-Q13</f>
        <v/>
      </c>
      <c r="S13" s="215">
        <f>MAX(0,R13*'Plan-Annahmen'!$B$82)</f>
        <v/>
      </c>
      <c r="T13" s="182">
        <f>R13-S13</f>
        <v/>
      </c>
      <c r="U13" s="182">
        <f>U12+T13</f>
        <v/>
      </c>
      <c r="V13" s="215">
        <f>V12+'Plan-Kosten'!S$59+IF(A13=$O$6,'Plan-Kosten'!$F$73,0)</f>
        <v/>
      </c>
      <c r="W13" s="153">
        <f>U13-V13</f>
        <v/>
      </c>
      <c r="X13" s="149">
        <f>IF(R13&gt;0,1,0)</f>
        <v/>
      </c>
      <c r="Y13" s="192">
        <f>'Plan-Kunden'!P13</f>
        <v/>
      </c>
      <c r="Z13" s="220">
        <f>'Plan-Kunden'!Q13</f>
        <v/>
      </c>
      <c r="AA13" s="220">
        <f>IF(D13&gt;='Plan-Phase B'!$C$22,1,0)</f>
        <v/>
      </c>
      <c r="AB13" s="220">
        <f>IF(D13&gt;='Plan-Phase B'!$D$22,1,0)</f>
        <v/>
      </c>
      <c r="AC13" s="220">
        <f>IF(D13&gt;='Plan-Phase B'!$E$22,1,0)</f>
        <v/>
      </c>
      <c r="AD13" s="149">
        <f>IF(AND(W13&gt;=0,A13&gt;$K$6),1,0)</f>
        <v/>
      </c>
      <c r="AE13" s="149">
        <f>IF(A13&gt;=$O$6,1,0)</f>
        <v/>
      </c>
    </row>
    <row r="14" ht="15" customHeight="1" s="116">
      <c r="A14" s="149" t="n">
        <v>7</v>
      </c>
      <c r="B14" s="187">
        <f>'Plan-Kunden'!B14</f>
        <v/>
      </c>
      <c r="C14" s="192">
        <f>'Plan-Kunden'!E14</f>
        <v/>
      </c>
      <c r="D14" s="192">
        <f>'Plan-Kunden'!K14</f>
        <v/>
      </c>
      <c r="E14" s="192">
        <f>'Plan-Kunden'!I14</f>
        <v/>
      </c>
      <c r="F14" s="192">
        <f>'Plan-Kunden'!J14</f>
        <v/>
      </c>
      <c r="G14" s="219">
        <f>D14*'Plan-Annahmen'!$B$21</f>
        <v/>
      </c>
      <c r="H14" s="215">
        <f>E14*'Plan-Annahmen'!$B$14+F14*'Plan-Annahmen'!$B$15</f>
        <v/>
      </c>
      <c r="I14" s="215">
        <f>H14*('Plan-Annahmen'!$B$52+'Plan-Annahmen'!$B$53)</f>
        <v/>
      </c>
      <c r="J14" s="215">
        <f>E14*('Plan-Annahmen'!$B$14*'Plan-Annahmen'!$B$18+'Plan-Annahmen'!$B$19)+F14*('Plan-Annahmen'!$B$15*'Plan-Annahmen'!$B$18+'Plan-Annahmen'!$B$19)</f>
        <v/>
      </c>
      <c r="K14" s="215">
        <f>G14*'Plan-Annahmen'!$B$17/100</f>
        <v/>
      </c>
      <c r="L14" s="215">
        <f>'Plan-Kunden'!D14*'Plan-Annahmen'!$B$15*'Plan-Annahmen'!$B$50</f>
        <v/>
      </c>
      <c r="M14" s="215">
        <f>'Plan-Kosten'!T$61</f>
        <v/>
      </c>
      <c r="N14" s="215">
        <f>IF(A14&gt;=$O$6,'Plan-Kosten'!$F$71,0)</f>
        <v/>
      </c>
      <c r="O14" s="215">
        <f>'Plan-Kosten'!T$58</f>
        <v/>
      </c>
      <c r="P14" s="215">
        <f>IF(A14=$O$6,'Plan-Kosten'!$F$72,0)</f>
        <v/>
      </c>
      <c r="Q14" s="182">
        <f>I14+J14+K14+L14+M14+N14+O14+P14</f>
        <v/>
      </c>
      <c r="R14" s="153">
        <f>H14-Q14</f>
        <v/>
      </c>
      <c r="S14" s="215">
        <f>MAX(0,R14*'Plan-Annahmen'!$B$82)</f>
        <v/>
      </c>
      <c r="T14" s="182">
        <f>R14-S14</f>
        <v/>
      </c>
      <c r="U14" s="182">
        <f>U13+T14</f>
        <v/>
      </c>
      <c r="V14" s="215">
        <f>V13+'Plan-Kosten'!T$59+IF(A14=$O$6,'Plan-Kosten'!$F$73,0)</f>
        <v/>
      </c>
      <c r="W14" s="153">
        <f>U14-V14</f>
        <v/>
      </c>
      <c r="X14" s="149">
        <f>IF(R14&gt;0,1,0)</f>
        <v/>
      </c>
      <c r="Y14" s="192">
        <f>'Plan-Kunden'!P14</f>
        <v/>
      </c>
      <c r="Z14" s="220">
        <f>'Plan-Kunden'!Q14</f>
        <v/>
      </c>
      <c r="AA14" s="220">
        <f>IF(D14&gt;='Plan-Phase B'!$C$22,1,0)</f>
        <v/>
      </c>
      <c r="AB14" s="220">
        <f>IF(D14&gt;='Plan-Phase B'!$D$22,1,0)</f>
        <v/>
      </c>
      <c r="AC14" s="220">
        <f>IF(D14&gt;='Plan-Phase B'!$E$22,1,0)</f>
        <v/>
      </c>
      <c r="AD14" s="149">
        <f>IF(AND(W14&gt;=0,A14&gt;$K$6),1,0)</f>
        <v/>
      </c>
      <c r="AE14" s="149">
        <f>IF(A14&gt;=$O$6,1,0)</f>
        <v/>
      </c>
    </row>
    <row r="15" ht="15" customHeight="1" s="116">
      <c r="A15" s="149" t="n">
        <v>8</v>
      </c>
      <c r="B15" s="187">
        <f>'Plan-Kunden'!B15</f>
        <v/>
      </c>
      <c r="C15" s="192">
        <f>'Plan-Kunden'!E15</f>
        <v/>
      </c>
      <c r="D15" s="192">
        <f>'Plan-Kunden'!K15</f>
        <v/>
      </c>
      <c r="E15" s="192">
        <f>'Plan-Kunden'!I15</f>
        <v/>
      </c>
      <c r="F15" s="192">
        <f>'Plan-Kunden'!J15</f>
        <v/>
      </c>
      <c r="G15" s="219">
        <f>D15*'Plan-Annahmen'!$B$21</f>
        <v/>
      </c>
      <c r="H15" s="215">
        <f>E15*'Plan-Annahmen'!$B$14+F15*'Plan-Annahmen'!$B$15</f>
        <v/>
      </c>
      <c r="I15" s="215">
        <f>H15*('Plan-Annahmen'!$B$52+'Plan-Annahmen'!$B$53)</f>
        <v/>
      </c>
      <c r="J15" s="215">
        <f>E15*('Plan-Annahmen'!$B$14*'Plan-Annahmen'!$B$18+'Plan-Annahmen'!$B$19)+F15*('Plan-Annahmen'!$B$15*'Plan-Annahmen'!$B$18+'Plan-Annahmen'!$B$19)</f>
        <v/>
      </c>
      <c r="K15" s="215">
        <f>G15*'Plan-Annahmen'!$B$17/100</f>
        <v/>
      </c>
      <c r="L15" s="215">
        <f>'Plan-Kunden'!D15*'Plan-Annahmen'!$B$15*'Plan-Annahmen'!$B$50</f>
        <v/>
      </c>
      <c r="M15" s="215">
        <f>'Plan-Kosten'!U$61</f>
        <v/>
      </c>
      <c r="N15" s="215">
        <f>IF(A15&gt;=$O$6,'Plan-Kosten'!$F$71,0)</f>
        <v/>
      </c>
      <c r="O15" s="215">
        <f>'Plan-Kosten'!U$58</f>
        <v/>
      </c>
      <c r="P15" s="215">
        <f>IF(A15=$O$6,'Plan-Kosten'!$F$72,0)</f>
        <v/>
      </c>
      <c r="Q15" s="182">
        <f>I15+J15+K15+L15+M15+N15+O15+P15</f>
        <v/>
      </c>
      <c r="R15" s="153">
        <f>H15-Q15</f>
        <v/>
      </c>
      <c r="S15" s="215">
        <f>MAX(0,R15*'Plan-Annahmen'!$B$82)</f>
        <v/>
      </c>
      <c r="T15" s="182">
        <f>R15-S15</f>
        <v/>
      </c>
      <c r="U15" s="182">
        <f>U14+T15</f>
        <v/>
      </c>
      <c r="V15" s="215">
        <f>V14+'Plan-Kosten'!U$59+IF(A15=$O$6,'Plan-Kosten'!$F$73,0)</f>
        <v/>
      </c>
      <c r="W15" s="153">
        <f>U15-V15</f>
        <v/>
      </c>
      <c r="X15" s="149">
        <f>IF(R15&gt;0,1,0)</f>
        <v/>
      </c>
      <c r="Y15" s="192">
        <f>'Plan-Kunden'!P15</f>
        <v/>
      </c>
      <c r="Z15" s="220">
        <f>'Plan-Kunden'!Q15</f>
        <v/>
      </c>
      <c r="AA15" s="220">
        <f>IF(D15&gt;='Plan-Phase B'!$C$22,1,0)</f>
        <v/>
      </c>
      <c r="AB15" s="220">
        <f>IF(D15&gt;='Plan-Phase B'!$D$22,1,0)</f>
        <v/>
      </c>
      <c r="AC15" s="220">
        <f>IF(D15&gt;='Plan-Phase B'!$E$22,1,0)</f>
        <v/>
      </c>
      <c r="AD15" s="149">
        <f>IF(AND(W15&gt;=0,A15&gt;$K$6),1,0)</f>
        <v/>
      </c>
      <c r="AE15" s="149">
        <f>IF(A15&gt;=$O$6,1,0)</f>
        <v/>
      </c>
    </row>
    <row r="16" ht="15" customHeight="1" s="116">
      <c r="A16" s="149" t="n">
        <v>9</v>
      </c>
      <c r="B16" s="187">
        <f>'Plan-Kunden'!B16</f>
        <v/>
      </c>
      <c r="C16" s="192">
        <f>'Plan-Kunden'!E16</f>
        <v/>
      </c>
      <c r="D16" s="192">
        <f>'Plan-Kunden'!K16</f>
        <v/>
      </c>
      <c r="E16" s="192">
        <f>'Plan-Kunden'!I16</f>
        <v/>
      </c>
      <c r="F16" s="192">
        <f>'Plan-Kunden'!J16</f>
        <v/>
      </c>
      <c r="G16" s="219">
        <f>D16*'Plan-Annahmen'!$B$21</f>
        <v/>
      </c>
      <c r="H16" s="215">
        <f>E16*'Plan-Annahmen'!$B$14+F16*'Plan-Annahmen'!$B$15</f>
        <v/>
      </c>
      <c r="I16" s="215">
        <f>H16*('Plan-Annahmen'!$B$52+'Plan-Annahmen'!$B$53)</f>
        <v/>
      </c>
      <c r="J16" s="215">
        <f>E16*('Plan-Annahmen'!$B$14*'Plan-Annahmen'!$B$18+'Plan-Annahmen'!$B$19)+F16*('Plan-Annahmen'!$B$15*'Plan-Annahmen'!$B$18+'Plan-Annahmen'!$B$19)</f>
        <v/>
      </c>
      <c r="K16" s="215">
        <f>G16*'Plan-Annahmen'!$B$17/100</f>
        <v/>
      </c>
      <c r="L16" s="215">
        <f>'Plan-Kunden'!D16*'Plan-Annahmen'!$B$15*'Plan-Annahmen'!$B$50</f>
        <v/>
      </c>
      <c r="M16" s="215">
        <f>'Plan-Kosten'!V$61</f>
        <v/>
      </c>
      <c r="N16" s="215">
        <f>IF(A16&gt;=$O$6,'Plan-Kosten'!$F$71,0)</f>
        <v/>
      </c>
      <c r="O16" s="215">
        <f>'Plan-Kosten'!V$58</f>
        <v/>
      </c>
      <c r="P16" s="215">
        <f>IF(A16=$O$6,'Plan-Kosten'!$F$72,0)</f>
        <v/>
      </c>
      <c r="Q16" s="182">
        <f>I16+J16+K16+L16+M16+N16+O16+P16</f>
        <v/>
      </c>
      <c r="R16" s="153">
        <f>H16-Q16</f>
        <v/>
      </c>
      <c r="S16" s="215">
        <f>MAX(0,R16*'Plan-Annahmen'!$B$82)</f>
        <v/>
      </c>
      <c r="T16" s="182">
        <f>R16-S16</f>
        <v/>
      </c>
      <c r="U16" s="182">
        <f>U15+T16</f>
        <v/>
      </c>
      <c r="V16" s="215">
        <f>V15+'Plan-Kosten'!V$59+IF(A16=$O$6,'Plan-Kosten'!$F$73,0)</f>
        <v/>
      </c>
      <c r="W16" s="153">
        <f>U16-V16</f>
        <v/>
      </c>
      <c r="X16" s="149">
        <f>IF(R16&gt;0,1,0)</f>
        <v/>
      </c>
      <c r="Y16" s="192">
        <f>'Plan-Kunden'!P16</f>
        <v/>
      </c>
      <c r="Z16" s="220">
        <f>'Plan-Kunden'!Q16</f>
        <v/>
      </c>
      <c r="AA16" s="220">
        <f>IF(D16&gt;='Plan-Phase B'!$C$22,1,0)</f>
        <v/>
      </c>
      <c r="AB16" s="220">
        <f>IF(D16&gt;='Plan-Phase B'!$D$22,1,0)</f>
        <v/>
      </c>
      <c r="AC16" s="220">
        <f>IF(D16&gt;='Plan-Phase B'!$E$22,1,0)</f>
        <v/>
      </c>
      <c r="AD16" s="149">
        <f>IF(AND(W16&gt;=0,A16&gt;$K$6),1,0)</f>
        <v/>
      </c>
      <c r="AE16" s="149">
        <f>IF(A16&gt;=$O$6,1,0)</f>
        <v/>
      </c>
    </row>
    <row r="17" ht="15" customHeight="1" s="116">
      <c r="A17" s="149" t="n">
        <v>10</v>
      </c>
      <c r="B17" s="187">
        <f>'Plan-Kunden'!B17</f>
        <v/>
      </c>
      <c r="C17" s="192">
        <f>'Plan-Kunden'!E17</f>
        <v/>
      </c>
      <c r="D17" s="192">
        <f>'Plan-Kunden'!K17</f>
        <v/>
      </c>
      <c r="E17" s="192">
        <f>'Plan-Kunden'!I17</f>
        <v/>
      </c>
      <c r="F17" s="192">
        <f>'Plan-Kunden'!J17</f>
        <v/>
      </c>
      <c r="G17" s="219">
        <f>D17*'Plan-Annahmen'!$B$21</f>
        <v/>
      </c>
      <c r="H17" s="215">
        <f>E17*'Plan-Annahmen'!$B$14+F17*'Plan-Annahmen'!$B$15</f>
        <v/>
      </c>
      <c r="I17" s="215">
        <f>H17*('Plan-Annahmen'!$B$52+'Plan-Annahmen'!$B$53)</f>
        <v/>
      </c>
      <c r="J17" s="215">
        <f>E17*('Plan-Annahmen'!$B$14*'Plan-Annahmen'!$B$18+'Plan-Annahmen'!$B$19)+F17*('Plan-Annahmen'!$B$15*'Plan-Annahmen'!$B$18+'Plan-Annahmen'!$B$19)</f>
        <v/>
      </c>
      <c r="K17" s="215">
        <f>G17*'Plan-Annahmen'!$B$17/100</f>
        <v/>
      </c>
      <c r="L17" s="215">
        <f>'Plan-Kunden'!D17*'Plan-Annahmen'!$B$15*'Plan-Annahmen'!$B$50</f>
        <v/>
      </c>
      <c r="M17" s="215">
        <f>'Plan-Kosten'!W$61</f>
        <v/>
      </c>
      <c r="N17" s="215">
        <f>IF(A17&gt;=$O$6,'Plan-Kosten'!$F$71,0)</f>
        <v/>
      </c>
      <c r="O17" s="215">
        <f>'Plan-Kosten'!W$58</f>
        <v/>
      </c>
      <c r="P17" s="215">
        <f>IF(A17=$O$6,'Plan-Kosten'!$F$72,0)</f>
        <v/>
      </c>
      <c r="Q17" s="182">
        <f>I17+J17+K17+L17+M17+N17+O17+P17</f>
        <v/>
      </c>
      <c r="R17" s="153">
        <f>H17-Q17</f>
        <v/>
      </c>
      <c r="S17" s="215">
        <f>MAX(0,R17*'Plan-Annahmen'!$B$82)</f>
        <v/>
      </c>
      <c r="T17" s="182">
        <f>R17-S17</f>
        <v/>
      </c>
      <c r="U17" s="182">
        <f>U16+T17</f>
        <v/>
      </c>
      <c r="V17" s="215">
        <f>V16+'Plan-Kosten'!W$59+IF(A17=$O$6,'Plan-Kosten'!$F$73,0)</f>
        <v/>
      </c>
      <c r="W17" s="153">
        <f>U17-V17</f>
        <v/>
      </c>
      <c r="X17" s="149">
        <f>IF(R17&gt;0,1,0)</f>
        <v/>
      </c>
      <c r="Y17" s="192">
        <f>'Plan-Kunden'!P17</f>
        <v/>
      </c>
      <c r="Z17" s="220">
        <f>'Plan-Kunden'!Q17</f>
        <v/>
      </c>
      <c r="AA17" s="220">
        <f>IF(D17&gt;='Plan-Phase B'!$C$22,1,0)</f>
        <v/>
      </c>
      <c r="AB17" s="220">
        <f>IF(D17&gt;='Plan-Phase B'!$D$22,1,0)</f>
        <v/>
      </c>
      <c r="AC17" s="220">
        <f>IF(D17&gt;='Plan-Phase B'!$E$22,1,0)</f>
        <v/>
      </c>
      <c r="AD17" s="149">
        <f>IF(AND(W17&gt;=0,A17&gt;$K$6),1,0)</f>
        <v/>
      </c>
      <c r="AE17" s="149">
        <f>IF(A17&gt;=$O$6,1,0)</f>
        <v/>
      </c>
    </row>
    <row r="18" ht="15" customHeight="1" s="116">
      <c r="A18" s="149" t="n">
        <v>11</v>
      </c>
      <c r="B18" s="187">
        <f>'Plan-Kunden'!B18</f>
        <v/>
      </c>
      <c r="C18" s="192">
        <f>'Plan-Kunden'!E18</f>
        <v/>
      </c>
      <c r="D18" s="192">
        <f>'Plan-Kunden'!K18</f>
        <v/>
      </c>
      <c r="E18" s="192">
        <f>'Plan-Kunden'!I18</f>
        <v/>
      </c>
      <c r="F18" s="192">
        <f>'Plan-Kunden'!J18</f>
        <v/>
      </c>
      <c r="G18" s="219">
        <f>D18*'Plan-Annahmen'!$B$21</f>
        <v/>
      </c>
      <c r="H18" s="215">
        <f>E18*'Plan-Annahmen'!$B$14+F18*'Plan-Annahmen'!$B$15</f>
        <v/>
      </c>
      <c r="I18" s="215">
        <f>H18*('Plan-Annahmen'!$B$52+'Plan-Annahmen'!$B$53)</f>
        <v/>
      </c>
      <c r="J18" s="215">
        <f>E18*('Plan-Annahmen'!$B$14*'Plan-Annahmen'!$B$18+'Plan-Annahmen'!$B$19)+F18*('Plan-Annahmen'!$B$15*'Plan-Annahmen'!$B$18+'Plan-Annahmen'!$B$19)</f>
        <v/>
      </c>
      <c r="K18" s="215">
        <f>G18*'Plan-Annahmen'!$B$17/100</f>
        <v/>
      </c>
      <c r="L18" s="215">
        <f>'Plan-Kunden'!D18*'Plan-Annahmen'!$B$15*'Plan-Annahmen'!$B$50</f>
        <v/>
      </c>
      <c r="M18" s="215">
        <f>'Plan-Kosten'!X$61</f>
        <v/>
      </c>
      <c r="N18" s="215">
        <f>IF(A18&gt;=$O$6,'Plan-Kosten'!$F$71,0)</f>
        <v/>
      </c>
      <c r="O18" s="215">
        <f>'Plan-Kosten'!X$58</f>
        <v/>
      </c>
      <c r="P18" s="215">
        <f>IF(A18=$O$6,'Plan-Kosten'!$F$72,0)</f>
        <v/>
      </c>
      <c r="Q18" s="182">
        <f>I18+J18+K18+L18+M18+N18+O18+P18</f>
        <v/>
      </c>
      <c r="R18" s="153">
        <f>H18-Q18</f>
        <v/>
      </c>
      <c r="S18" s="215">
        <f>MAX(0,R18*'Plan-Annahmen'!$B$82)</f>
        <v/>
      </c>
      <c r="T18" s="182">
        <f>R18-S18</f>
        <v/>
      </c>
      <c r="U18" s="182">
        <f>U17+T18</f>
        <v/>
      </c>
      <c r="V18" s="215">
        <f>V17+'Plan-Kosten'!X$59+IF(A18=$O$6,'Plan-Kosten'!$F$73,0)</f>
        <v/>
      </c>
      <c r="W18" s="153">
        <f>U18-V18</f>
        <v/>
      </c>
      <c r="X18" s="149">
        <f>IF(R18&gt;0,1,0)</f>
        <v/>
      </c>
      <c r="Y18" s="192">
        <f>'Plan-Kunden'!P18</f>
        <v/>
      </c>
      <c r="Z18" s="220">
        <f>'Plan-Kunden'!Q18</f>
        <v/>
      </c>
      <c r="AA18" s="220">
        <f>IF(D18&gt;='Plan-Phase B'!$C$22,1,0)</f>
        <v/>
      </c>
      <c r="AB18" s="220">
        <f>IF(D18&gt;='Plan-Phase B'!$D$22,1,0)</f>
        <v/>
      </c>
      <c r="AC18" s="220">
        <f>IF(D18&gt;='Plan-Phase B'!$E$22,1,0)</f>
        <v/>
      </c>
      <c r="AD18" s="149">
        <f>IF(AND(W18&gt;=0,A18&gt;$K$6),1,0)</f>
        <v/>
      </c>
      <c r="AE18" s="149">
        <f>IF(A18&gt;=$O$6,1,0)</f>
        <v/>
      </c>
    </row>
    <row r="19" ht="15" customHeight="1" s="116">
      <c r="A19" s="149" t="n">
        <v>12</v>
      </c>
      <c r="B19" s="187">
        <f>'Plan-Kunden'!B19</f>
        <v/>
      </c>
      <c r="C19" s="192">
        <f>'Plan-Kunden'!E19</f>
        <v/>
      </c>
      <c r="D19" s="192">
        <f>'Plan-Kunden'!K19</f>
        <v/>
      </c>
      <c r="E19" s="192">
        <f>'Plan-Kunden'!I19</f>
        <v/>
      </c>
      <c r="F19" s="192">
        <f>'Plan-Kunden'!J19</f>
        <v/>
      </c>
      <c r="G19" s="219">
        <f>D19*'Plan-Annahmen'!$B$21</f>
        <v/>
      </c>
      <c r="H19" s="215">
        <f>E19*'Plan-Annahmen'!$B$14+F19*'Plan-Annahmen'!$B$15</f>
        <v/>
      </c>
      <c r="I19" s="215">
        <f>H19*('Plan-Annahmen'!$B$52+'Plan-Annahmen'!$B$53)</f>
        <v/>
      </c>
      <c r="J19" s="215">
        <f>E19*('Plan-Annahmen'!$B$14*'Plan-Annahmen'!$B$18+'Plan-Annahmen'!$B$19)+F19*('Plan-Annahmen'!$B$15*'Plan-Annahmen'!$B$18+'Plan-Annahmen'!$B$19)</f>
        <v/>
      </c>
      <c r="K19" s="215">
        <f>G19*'Plan-Annahmen'!$B$17/100</f>
        <v/>
      </c>
      <c r="L19" s="215">
        <f>'Plan-Kunden'!D19*'Plan-Annahmen'!$B$15*'Plan-Annahmen'!$B$50</f>
        <v/>
      </c>
      <c r="M19" s="215">
        <f>'Plan-Kosten'!Y$61</f>
        <v/>
      </c>
      <c r="N19" s="215">
        <f>IF(A19&gt;=$O$6,'Plan-Kosten'!$F$71,0)</f>
        <v/>
      </c>
      <c r="O19" s="215">
        <f>'Plan-Kosten'!Y$58</f>
        <v/>
      </c>
      <c r="P19" s="215">
        <f>IF(A19=$O$6,'Plan-Kosten'!$F$72,0)</f>
        <v/>
      </c>
      <c r="Q19" s="182">
        <f>I19+J19+K19+L19+M19+N19+O19+P19</f>
        <v/>
      </c>
      <c r="R19" s="153">
        <f>H19-Q19</f>
        <v/>
      </c>
      <c r="S19" s="215">
        <f>MAX(0,R19*'Plan-Annahmen'!$B$82)</f>
        <v/>
      </c>
      <c r="T19" s="182">
        <f>R19-S19</f>
        <v/>
      </c>
      <c r="U19" s="182">
        <f>U18+T19</f>
        <v/>
      </c>
      <c r="V19" s="215">
        <f>V18+'Plan-Kosten'!Y$59+IF(A19=$O$6,'Plan-Kosten'!$F$73,0)</f>
        <v/>
      </c>
      <c r="W19" s="153">
        <f>U19-V19</f>
        <v/>
      </c>
      <c r="X19" s="149">
        <f>IF(R19&gt;0,1,0)</f>
        <v/>
      </c>
      <c r="Y19" s="192">
        <f>'Plan-Kunden'!P19</f>
        <v/>
      </c>
      <c r="Z19" s="220">
        <f>'Plan-Kunden'!Q19</f>
        <v/>
      </c>
      <c r="AA19" s="220">
        <f>IF(D19&gt;='Plan-Phase B'!$C$22,1,0)</f>
        <v/>
      </c>
      <c r="AB19" s="220">
        <f>IF(D19&gt;='Plan-Phase B'!$D$22,1,0)</f>
        <v/>
      </c>
      <c r="AC19" s="220">
        <f>IF(D19&gt;='Plan-Phase B'!$E$22,1,0)</f>
        <v/>
      </c>
      <c r="AD19" s="149">
        <f>IF(AND(W19&gt;=0,A19&gt;$K$6),1,0)</f>
        <v/>
      </c>
      <c r="AE19" s="149">
        <f>IF(A19&gt;=$O$6,1,0)</f>
        <v/>
      </c>
    </row>
    <row r="20" ht="15" customHeight="1" s="116">
      <c r="A20" s="149" t="n">
        <v>13</v>
      </c>
      <c r="B20" s="187">
        <f>'Plan-Kunden'!B20</f>
        <v/>
      </c>
      <c r="C20" s="192">
        <f>'Plan-Kunden'!E20</f>
        <v/>
      </c>
      <c r="D20" s="192">
        <f>'Plan-Kunden'!K20</f>
        <v/>
      </c>
      <c r="E20" s="192">
        <f>'Plan-Kunden'!I20</f>
        <v/>
      </c>
      <c r="F20" s="192">
        <f>'Plan-Kunden'!J20</f>
        <v/>
      </c>
      <c r="G20" s="219">
        <f>D20*'Plan-Annahmen'!$B$21</f>
        <v/>
      </c>
      <c r="H20" s="215">
        <f>E20*'Plan-Annahmen'!$B$14+F20*'Plan-Annahmen'!$B$15</f>
        <v/>
      </c>
      <c r="I20" s="215">
        <f>H20*('Plan-Annahmen'!$B$52+'Plan-Annahmen'!$B$53)</f>
        <v/>
      </c>
      <c r="J20" s="215">
        <f>E20*('Plan-Annahmen'!$B$14*'Plan-Annahmen'!$B$18+'Plan-Annahmen'!$B$19)+F20*('Plan-Annahmen'!$B$15*'Plan-Annahmen'!$B$18+'Plan-Annahmen'!$B$19)</f>
        <v/>
      </c>
      <c r="K20" s="215">
        <f>G20*'Plan-Annahmen'!$B$17/100</f>
        <v/>
      </c>
      <c r="L20" s="215">
        <f>'Plan-Kunden'!D20*'Plan-Annahmen'!$B$15*'Plan-Annahmen'!$B$50</f>
        <v/>
      </c>
      <c r="M20" s="215">
        <f>'Plan-Kosten'!Z$61</f>
        <v/>
      </c>
      <c r="N20" s="215">
        <f>IF(A20&gt;=$O$6,'Plan-Kosten'!$F$71,0)</f>
        <v/>
      </c>
      <c r="O20" s="215">
        <f>'Plan-Kosten'!Z$58</f>
        <v/>
      </c>
      <c r="P20" s="215">
        <f>IF(A20=$O$6,'Plan-Kosten'!$F$72,0)</f>
        <v/>
      </c>
      <c r="Q20" s="182">
        <f>I20+J20+K20+L20+M20+N20+O20+P20</f>
        <v/>
      </c>
      <c r="R20" s="153">
        <f>H20-Q20</f>
        <v/>
      </c>
      <c r="S20" s="215">
        <f>MAX(0,R20*'Plan-Annahmen'!$B$82)</f>
        <v/>
      </c>
      <c r="T20" s="182">
        <f>R20-S20</f>
        <v/>
      </c>
      <c r="U20" s="182">
        <f>U19+T20</f>
        <v/>
      </c>
      <c r="V20" s="215">
        <f>V19+'Plan-Kosten'!Z$59+IF(A20=$O$6,'Plan-Kosten'!$F$73,0)</f>
        <v/>
      </c>
      <c r="W20" s="153">
        <f>U20-V20</f>
        <v/>
      </c>
      <c r="X20" s="149">
        <f>IF(R20&gt;0,1,0)</f>
        <v/>
      </c>
      <c r="Y20" s="192">
        <f>'Plan-Kunden'!P20</f>
        <v/>
      </c>
      <c r="Z20" s="220">
        <f>'Plan-Kunden'!Q20</f>
        <v/>
      </c>
      <c r="AA20" s="220">
        <f>IF(D20&gt;='Plan-Phase B'!$C$22,1,0)</f>
        <v/>
      </c>
      <c r="AB20" s="220">
        <f>IF(D20&gt;='Plan-Phase B'!$D$22,1,0)</f>
        <v/>
      </c>
      <c r="AC20" s="220">
        <f>IF(D20&gt;='Plan-Phase B'!$E$22,1,0)</f>
        <v/>
      </c>
      <c r="AD20" s="149">
        <f>IF(AND(W20&gt;=0,A20&gt;$K$6),1,0)</f>
        <v/>
      </c>
      <c r="AE20" s="149">
        <f>IF(A20&gt;=$O$6,1,0)</f>
        <v/>
      </c>
    </row>
    <row r="21" ht="15" customHeight="1" s="116">
      <c r="A21" s="149" t="n">
        <v>14</v>
      </c>
      <c r="B21" s="187">
        <f>'Plan-Kunden'!B21</f>
        <v/>
      </c>
      <c r="C21" s="192">
        <f>'Plan-Kunden'!E21</f>
        <v/>
      </c>
      <c r="D21" s="192">
        <f>'Plan-Kunden'!K21</f>
        <v/>
      </c>
      <c r="E21" s="192">
        <f>'Plan-Kunden'!I21</f>
        <v/>
      </c>
      <c r="F21" s="192">
        <f>'Plan-Kunden'!J21</f>
        <v/>
      </c>
      <c r="G21" s="219">
        <f>D21*'Plan-Annahmen'!$B$21</f>
        <v/>
      </c>
      <c r="H21" s="215">
        <f>E21*'Plan-Annahmen'!$B$14+F21*'Plan-Annahmen'!$B$15</f>
        <v/>
      </c>
      <c r="I21" s="215">
        <f>H21*('Plan-Annahmen'!$B$52+'Plan-Annahmen'!$B$53)</f>
        <v/>
      </c>
      <c r="J21" s="215">
        <f>E21*('Plan-Annahmen'!$B$14*'Plan-Annahmen'!$B$18+'Plan-Annahmen'!$B$19)+F21*('Plan-Annahmen'!$B$15*'Plan-Annahmen'!$B$18+'Plan-Annahmen'!$B$19)</f>
        <v/>
      </c>
      <c r="K21" s="215">
        <f>G21*'Plan-Annahmen'!$B$17/100</f>
        <v/>
      </c>
      <c r="L21" s="215">
        <f>'Plan-Kunden'!D21*'Plan-Annahmen'!$B$15*'Plan-Annahmen'!$B$50</f>
        <v/>
      </c>
      <c r="M21" s="215">
        <f>'Plan-Kosten'!AA$61</f>
        <v/>
      </c>
      <c r="N21" s="215">
        <f>IF(A21&gt;=$O$6,'Plan-Kosten'!$F$71,0)</f>
        <v/>
      </c>
      <c r="O21" s="215">
        <f>'Plan-Kosten'!AA$58</f>
        <v/>
      </c>
      <c r="P21" s="215">
        <f>IF(A21=$O$6,'Plan-Kosten'!$F$72,0)</f>
        <v/>
      </c>
      <c r="Q21" s="182">
        <f>I21+J21+K21+L21+M21+N21+O21+P21</f>
        <v/>
      </c>
      <c r="R21" s="153">
        <f>H21-Q21</f>
        <v/>
      </c>
      <c r="S21" s="215">
        <f>MAX(0,R21*'Plan-Annahmen'!$B$82)</f>
        <v/>
      </c>
      <c r="T21" s="182">
        <f>R21-S21</f>
        <v/>
      </c>
      <c r="U21" s="182">
        <f>U20+T21</f>
        <v/>
      </c>
      <c r="V21" s="215">
        <f>V20+'Plan-Kosten'!AA$59+IF(A21=$O$6,'Plan-Kosten'!$F$73,0)</f>
        <v/>
      </c>
      <c r="W21" s="153">
        <f>U21-V21</f>
        <v/>
      </c>
      <c r="X21" s="149">
        <f>IF(R21&gt;0,1,0)</f>
        <v/>
      </c>
      <c r="Y21" s="192">
        <f>'Plan-Kunden'!P21</f>
        <v/>
      </c>
      <c r="Z21" s="220">
        <f>'Plan-Kunden'!Q21</f>
        <v/>
      </c>
      <c r="AA21" s="220">
        <f>IF(D21&gt;='Plan-Phase B'!$C$22,1,0)</f>
        <v/>
      </c>
      <c r="AB21" s="220">
        <f>IF(D21&gt;='Plan-Phase B'!$D$22,1,0)</f>
        <v/>
      </c>
      <c r="AC21" s="220">
        <f>IF(D21&gt;='Plan-Phase B'!$E$22,1,0)</f>
        <v/>
      </c>
      <c r="AD21" s="149">
        <f>IF(AND(W21&gt;=0,A21&gt;$K$6),1,0)</f>
        <v/>
      </c>
      <c r="AE21" s="149">
        <f>IF(A21&gt;=$O$6,1,0)</f>
        <v/>
      </c>
    </row>
    <row r="22" ht="15" customHeight="1" s="116">
      <c r="A22" s="149" t="n">
        <v>15</v>
      </c>
      <c r="B22" s="187">
        <f>'Plan-Kunden'!B22</f>
        <v/>
      </c>
      <c r="C22" s="192">
        <f>'Plan-Kunden'!E22</f>
        <v/>
      </c>
      <c r="D22" s="192">
        <f>'Plan-Kunden'!K22</f>
        <v/>
      </c>
      <c r="E22" s="192">
        <f>'Plan-Kunden'!I22</f>
        <v/>
      </c>
      <c r="F22" s="192">
        <f>'Plan-Kunden'!J22</f>
        <v/>
      </c>
      <c r="G22" s="219">
        <f>D22*'Plan-Annahmen'!$B$21</f>
        <v/>
      </c>
      <c r="H22" s="215">
        <f>E22*'Plan-Annahmen'!$B$14+F22*'Plan-Annahmen'!$B$15</f>
        <v/>
      </c>
      <c r="I22" s="215">
        <f>H22*('Plan-Annahmen'!$B$52+'Plan-Annahmen'!$B$53)</f>
        <v/>
      </c>
      <c r="J22" s="215">
        <f>E22*('Plan-Annahmen'!$B$14*'Plan-Annahmen'!$B$18+'Plan-Annahmen'!$B$19)+F22*('Plan-Annahmen'!$B$15*'Plan-Annahmen'!$B$18+'Plan-Annahmen'!$B$19)</f>
        <v/>
      </c>
      <c r="K22" s="215">
        <f>G22*'Plan-Annahmen'!$B$17/100</f>
        <v/>
      </c>
      <c r="L22" s="215">
        <f>'Plan-Kunden'!D22*'Plan-Annahmen'!$B$15*'Plan-Annahmen'!$B$50</f>
        <v/>
      </c>
      <c r="M22" s="215">
        <f>'Plan-Kosten'!AB$61</f>
        <v/>
      </c>
      <c r="N22" s="215">
        <f>IF(A22&gt;=$O$6,'Plan-Kosten'!$F$71,0)</f>
        <v/>
      </c>
      <c r="O22" s="215">
        <f>'Plan-Kosten'!AB$58</f>
        <v/>
      </c>
      <c r="P22" s="215">
        <f>IF(A22=$O$6,'Plan-Kosten'!$F$72,0)</f>
        <v/>
      </c>
      <c r="Q22" s="182">
        <f>I22+J22+K22+L22+M22+N22+O22+P22</f>
        <v/>
      </c>
      <c r="R22" s="153">
        <f>H22-Q22</f>
        <v/>
      </c>
      <c r="S22" s="215">
        <f>MAX(0,R22*'Plan-Annahmen'!$B$82)</f>
        <v/>
      </c>
      <c r="T22" s="182">
        <f>R22-S22</f>
        <v/>
      </c>
      <c r="U22" s="182">
        <f>U21+T22</f>
        <v/>
      </c>
      <c r="V22" s="215">
        <f>V21+'Plan-Kosten'!AB$59+IF(A22=$O$6,'Plan-Kosten'!$F$73,0)</f>
        <v/>
      </c>
      <c r="W22" s="153">
        <f>U22-V22</f>
        <v/>
      </c>
      <c r="X22" s="149">
        <f>IF(R22&gt;0,1,0)</f>
        <v/>
      </c>
      <c r="Y22" s="192">
        <f>'Plan-Kunden'!P22</f>
        <v/>
      </c>
      <c r="Z22" s="220">
        <f>'Plan-Kunden'!Q22</f>
        <v/>
      </c>
      <c r="AA22" s="220">
        <f>IF(D22&gt;='Plan-Phase B'!$C$22,1,0)</f>
        <v/>
      </c>
      <c r="AB22" s="220">
        <f>IF(D22&gt;='Plan-Phase B'!$D$22,1,0)</f>
        <v/>
      </c>
      <c r="AC22" s="220">
        <f>IF(D22&gt;='Plan-Phase B'!$E$22,1,0)</f>
        <v/>
      </c>
      <c r="AD22" s="149">
        <f>IF(AND(W22&gt;=0,A22&gt;$K$6),1,0)</f>
        <v/>
      </c>
      <c r="AE22" s="149">
        <f>IF(A22&gt;=$O$6,1,0)</f>
        <v/>
      </c>
    </row>
    <row r="23" ht="15" customHeight="1" s="116">
      <c r="A23" s="149" t="n">
        <v>16</v>
      </c>
      <c r="B23" s="187">
        <f>'Plan-Kunden'!B23</f>
        <v/>
      </c>
      <c r="C23" s="192">
        <f>'Plan-Kunden'!E23</f>
        <v/>
      </c>
      <c r="D23" s="192">
        <f>'Plan-Kunden'!K23</f>
        <v/>
      </c>
      <c r="E23" s="192">
        <f>'Plan-Kunden'!I23</f>
        <v/>
      </c>
      <c r="F23" s="192">
        <f>'Plan-Kunden'!J23</f>
        <v/>
      </c>
      <c r="G23" s="219">
        <f>D23*'Plan-Annahmen'!$B$21</f>
        <v/>
      </c>
      <c r="H23" s="215">
        <f>E23*'Plan-Annahmen'!$B$14+F23*'Plan-Annahmen'!$B$15</f>
        <v/>
      </c>
      <c r="I23" s="215">
        <f>H23*('Plan-Annahmen'!$B$52+'Plan-Annahmen'!$B$53)</f>
        <v/>
      </c>
      <c r="J23" s="215">
        <f>E23*('Plan-Annahmen'!$B$14*'Plan-Annahmen'!$B$18+'Plan-Annahmen'!$B$19)+F23*('Plan-Annahmen'!$B$15*'Plan-Annahmen'!$B$18+'Plan-Annahmen'!$B$19)</f>
        <v/>
      </c>
      <c r="K23" s="215">
        <f>G23*'Plan-Annahmen'!$B$17/100</f>
        <v/>
      </c>
      <c r="L23" s="215">
        <f>'Plan-Kunden'!D23*'Plan-Annahmen'!$B$15*'Plan-Annahmen'!$B$50</f>
        <v/>
      </c>
      <c r="M23" s="215">
        <f>'Plan-Kosten'!AC$61</f>
        <v/>
      </c>
      <c r="N23" s="215">
        <f>IF(A23&gt;=$O$6,'Plan-Kosten'!$F$71,0)</f>
        <v/>
      </c>
      <c r="O23" s="215">
        <f>'Plan-Kosten'!AC$58</f>
        <v/>
      </c>
      <c r="P23" s="215">
        <f>IF(A23=$O$6,'Plan-Kosten'!$F$72,0)</f>
        <v/>
      </c>
      <c r="Q23" s="182">
        <f>I23+J23+K23+L23+M23+N23+O23+P23</f>
        <v/>
      </c>
      <c r="R23" s="153">
        <f>H23-Q23</f>
        <v/>
      </c>
      <c r="S23" s="215">
        <f>MAX(0,R23*'Plan-Annahmen'!$B$82)</f>
        <v/>
      </c>
      <c r="T23" s="182">
        <f>R23-S23</f>
        <v/>
      </c>
      <c r="U23" s="182">
        <f>U22+T23</f>
        <v/>
      </c>
      <c r="V23" s="215">
        <f>V22+'Plan-Kosten'!AC$59+IF(A23=$O$6,'Plan-Kosten'!$F$73,0)</f>
        <v/>
      </c>
      <c r="W23" s="153">
        <f>U23-V23</f>
        <v/>
      </c>
      <c r="X23" s="149">
        <f>IF(R23&gt;0,1,0)</f>
        <v/>
      </c>
      <c r="Y23" s="192">
        <f>'Plan-Kunden'!P23</f>
        <v/>
      </c>
      <c r="Z23" s="220">
        <f>'Plan-Kunden'!Q23</f>
        <v/>
      </c>
      <c r="AA23" s="220">
        <f>IF(D23&gt;='Plan-Phase B'!$C$22,1,0)</f>
        <v/>
      </c>
      <c r="AB23" s="220">
        <f>IF(D23&gt;='Plan-Phase B'!$D$22,1,0)</f>
        <v/>
      </c>
      <c r="AC23" s="220">
        <f>IF(D23&gt;='Plan-Phase B'!$E$22,1,0)</f>
        <v/>
      </c>
      <c r="AD23" s="149">
        <f>IF(AND(W23&gt;=0,A23&gt;$K$6),1,0)</f>
        <v/>
      </c>
      <c r="AE23" s="149">
        <f>IF(A23&gt;=$O$6,1,0)</f>
        <v/>
      </c>
    </row>
    <row r="24" ht="15" customHeight="1" s="116">
      <c r="A24" s="149" t="n">
        <v>17</v>
      </c>
      <c r="B24" s="187">
        <f>'Plan-Kunden'!B24</f>
        <v/>
      </c>
      <c r="C24" s="192">
        <f>'Plan-Kunden'!E24</f>
        <v/>
      </c>
      <c r="D24" s="192">
        <f>'Plan-Kunden'!K24</f>
        <v/>
      </c>
      <c r="E24" s="192">
        <f>'Plan-Kunden'!I24</f>
        <v/>
      </c>
      <c r="F24" s="192">
        <f>'Plan-Kunden'!J24</f>
        <v/>
      </c>
      <c r="G24" s="219">
        <f>D24*'Plan-Annahmen'!$B$21</f>
        <v/>
      </c>
      <c r="H24" s="215">
        <f>E24*'Plan-Annahmen'!$B$14+F24*'Plan-Annahmen'!$B$15</f>
        <v/>
      </c>
      <c r="I24" s="215">
        <f>H24*('Plan-Annahmen'!$B$52+'Plan-Annahmen'!$B$53)</f>
        <v/>
      </c>
      <c r="J24" s="215">
        <f>E24*('Plan-Annahmen'!$B$14*'Plan-Annahmen'!$B$18+'Plan-Annahmen'!$B$19)+F24*('Plan-Annahmen'!$B$15*'Plan-Annahmen'!$B$18+'Plan-Annahmen'!$B$19)</f>
        <v/>
      </c>
      <c r="K24" s="215">
        <f>G24*'Plan-Annahmen'!$B$17/100</f>
        <v/>
      </c>
      <c r="L24" s="215">
        <f>'Plan-Kunden'!D24*'Plan-Annahmen'!$B$15*'Plan-Annahmen'!$B$50</f>
        <v/>
      </c>
      <c r="M24" s="215">
        <f>'Plan-Kosten'!AD$61</f>
        <v/>
      </c>
      <c r="N24" s="215">
        <f>IF(A24&gt;=$O$6,'Plan-Kosten'!$F$71,0)</f>
        <v/>
      </c>
      <c r="O24" s="215">
        <f>'Plan-Kosten'!AD$58</f>
        <v/>
      </c>
      <c r="P24" s="215">
        <f>IF(A24=$O$6,'Plan-Kosten'!$F$72,0)</f>
        <v/>
      </c>
      <c r="Q24" s="182">
        <f>I24+J24+K24+L24+M24+N24+O24+P24</f>
        <v/>
      </c>
      <c r="R24" s="153">
        <f>H24-Q24</f>
        <v/>
      </c>
      <c r="S24" s="215">
        <f>MAX(0,R24*'Plan-Annahmen'!$B$82)</f>
        <v/>
      </c>
      <c r="T24" s="182">
        <f>R24-S24</f>
        <v/>
      </c>
      <c r="U24" s="182">
        <f>U23+T24</f>
        <v/>
      </c>
      <c r="V24" s="215">
        <f>V23+'Plan-Kosten'!AD$59+IF(A24=$O$6,'Plan-Kosten'!$F$73,0)</f>
        <v/>
      </c>
      <c r="W24" s="153">
        <f>U24-V24</f>
        <v/>
      </c>
      <c r="X24" s="149">
        <f>IF(R24&gt;0,1,0)</f>
        <v/>
      </c>
      <c r="Y24" s="192">
        <f>'Plan-Kunden'!P24</f>
        <v/>
      </c>
      <c r="Z24" s="220">
        <f>'Plan-Kunden'!Q24</f>
        <v/>
      </c>
      <c r="AA24" s="220">
        <f>IF(D24&gt;='Plan-Phase B'!$C$22,1,0)</f>
        <v/>
      </c>
      <c r="AB24" s="220">
        <f>IF(D24&gt;='Plan-Phase B'!$D$22,1,0)</f>
        <v/>
      </c>
      <c r="AC24" s="220">
        <f>IF(D24&gt;='Plan-Phase B'!$E$22,1,0)</f>
        <v/>
      </c>
      <c r="AD24" s="149">
        <f>IF(AND(W24&gt;=0,A24&gt;$K$6),1,0)</f>
        <v/>
      </c>
      <c r="AE24" s="149">
        <f>IF(A24&gt;=$O$6,1,0)</f>
        <v/>
      </c>
    </row>
    <row r="25" ht="15" customHeight="1" s="116">
      <c r="A25" s="149" t="n">
        <v>18</v>
      </c>
      <c r="B25" s="187">
        <f>'Plan-Kunden'!B25</f>
        <v/>
      </c>
      <c r="C25" s="192">
        <f>'Plan-Kunden'!E25</f>
        <v/>
      </c>
      <c r="D25" s="192">
        <f>'Plan-Kunden'!K25</f>
        <v/>
      </c>
      <c r="E25" s="192">
        <f>'Plan-Kunden'!I25</f>
        <v/>
      </c>
      <c r="F25" s="192">
        <f>'Plan-Kunden'!J25</f>
        <v/>
      </c>
      <c r="G25" s="219">
        <f>D25*'Plan-Annahmen'!$B$21</f>
        <v/>
      </c>
      <c r="H25" s="215">
        <f>E25*'Plan-Annahmen'!$B$14+F25*'Plan-Annahmen'!$B$15</f>
        <v/>
      </c>
      <c r="I25" s="215">
        <f>H25*('Plan-Annahmen'!$B$52+'Plan-Annahmen'!$B$53)</f>
        <v/>
      </c>
      <c r="J25" s="215">
        <f>E25*('Plan-Annahmen'!$B$14*'Plan-Annahmen'!$B$18+'Plan-Annahmen'!$B$19)+F25*('Plan-Annahmen'!$B$15*'Plan-Annahmen'!$B$18+'Plan-Annahmen'!$B$19)</f>
        <v/>
      </c>
      <c r="K25" s="215">
        <f>G25*'Plan-Annahmen'!$B$17/100</f>
        <v/>
      </c>
      <c r="L25" s="215">
        <f>'Plan-Kunden'!D25*'Plan-Annahmen'!$B$15*'Plan-Annahmen'!$B$50</f>
        <v/>
      </c>
      <c r="M25" s="215">
        <f>'Plan-Kosten'!AE$61</f>
        <v/>
      </c>
      <c r="N25" s="215">
        <f>IF(A25&gt;=$O$6,'Plan-Kosten'!$F$71,0)</f>
        <v/>
      </c>
      <c r="O25" s="215">
        <f>'Plan-Kosten'!AE$58</f>
        <v/>
      </c>
      <c r="P25" s="215">
        <f>IF(A25=$O$6,'Plan-Kosten'!$F$72,0)</f>
        <v/>
      </c>
      <c r="Q25" s="182">
        <f>I25+J25+K25+L25+M25+N25+O25+P25</f>
        <v/>
      </c>
      <c r="R25" s="153">
        <f>H25-Q25</f>
        <v/>
      </c>
      <c r="S25" s="215">
        <f>MAX(0,R25*'Plan-Annahmen'!$B$82)</f>
        <v/>
      </c>
      <c r="T25" s="182">
        <f>R25-S25</f>
        <v/>
      </c>
      <c r="U25" s="182">
        <f>U24+T25</f>
        <v/>
      </c>
      <c r="V25" s="215">
        <f>V24+'Plan-Kosten'!AE$59+IF(A25=$O$6,'Plan-Kosten'!$F$73,0)</f>
        <v/>
      </c>
      <c r="W25" s="153">
        <f>U25-V25</f>
        <v/>
      </c>
      <c r="X25" s="149">
        <f>IF(R25&gt;0,1,0)</f>
        <v/>
      </c>
      <c r="Y25" s="192">
        <f>'Plan-Kunden'!P25</f>
        <v/>
      </c>
      <c r="Z25" s="220">
        <f>'Plan-Kunden'!Q25</f>
        <v/>
      </c>
      <c r="AA25" s="220">
        <f>IF(D25&gt;='Plan-Phase B'!$C$22,1,0)</f>
        <v/>
      </c>
      <c r="AB25" s="220">
        <f>IF(D25&gt;='Plan-Phase B'!$D$22,1,0)</f>
        <v/>
      </c>
      <c r="AC25" s="220">
        <f>IF(D25&gt;='Plan-Phase B'!$E$22,1,0)</f>
        <v/>
      </c>
      <c r="AD25" s="149">
        <f>IF(AND(W25&gt;=0,A25&gt;$K$6),1,0)</f>
        <v/>
      </c>
      <c r="AE25" s="149">
        <f>IF(A25&gt;=$O$6,1,0)</f>
        <v/>
      </c>
    </row>
    <row r="26" ht="15" customHeight="1" s="116">
      <c r="A26" s="149" t="n">
        <v>19</v>
      </c>
      <c r="B26" s="187">
        <f>'Plan-Kunden'!B26</f>
        <v/>
      </c>
      <c r="C26" s="192">
        <f>'Plan-Kunden'!E26</f>
        <v/>
      </c>
      <c r="D26" s="192">
        <f>'Plan-Kunden'!K26</f>
        <v/>
      </c>
      <c r="E26" s="192">
        <f>'Plan-Kunden'!I26</f>
        <v/>
      </c>
      <c r="F26" s="192">
        <f>'Plan-Kunden'!J26</f>
        <v/>
      </c>
      <c r="G26" s="219">
        <f>D26*'Plan-Annahmen'!$B$21</f>
        <v/>
      </c>
      <c r="H26" s="215">
        <f>E26*'Plan-Annahmen'!$B$14+F26*'Plan-Annahmen'!$B$15</f>
        <v/>
      </c>
      <c r="I26" s="215">
        <f>H26*('Plan-Annahmen'!$B$52+'Plan-Annahmen'!$B$53)</f>
        <v/>
      </c>
      <c r="J26" s="215">
        <f>E26*('Plan-Annahmen'!$B$14*'Plan-Annahmen'!$B$18+'Plan-Annahmen'!$B$19)+F26*('Plan-Annahmen'!$B$15*'Plan-Annahmen'!$B$18+'Plan-Annahmen'!$B$19)</f>
        <v/>
      </c>
      <c r="K26" s="215">
        <f>G26*'Plan-Annahmen'!$B$17/100</f>
        <v/>
      </c>
      <c r="L26" s="215">
        <f>'Plan-Kunden'!D26*'Plan-Annahmen'!$B$15*'Plan-Annahmen'!$B$50</f>
        <v/>
      </c>
      <c r="M26" s="215">
        <f>'Plan-Kosten'!AF$61</f>
        <v/>
      </c>
      <c r="N26" s="215">
        <f>IF(A26&gt;=$O$6,'Plan-Kosten'!$F$71,0)</f>
        <v/>
      </c>
      <c r="O26" s="215">
        <f>'Plan-Kosten'!AF$58</f>
        <v/>
      </c>
      <c r="P26" s="215">
        <f>IF(A26=$O$6,'Plan-Kosten'!$F$72,0)</f>
        <v/>
      </c>
      <c r="Q26" s="182">
        <f>I26+J26+K26+L26+M26+N26+O26+P26</f>
        <v/>
      </c>
      <c r="R26" s="153">
        <f>H26-Q26</f>
        <v/>
      </c>
      <c r="S26" s="215">
        <f>MAX(0,R26*'Plan-Annahmen'!$B$82)</f>
        <v/>
      </c>
      <c r="T26" s="182">
        <f>R26-S26</f>
        <v/>
      </c>
      <c r="U26" s="182">
        <f>U25+T26</f>
        <v/>
      </c>
      <c r="V26" s="215">
        <f>V25+'Plan-Kosten'!AF$59+IF(A26=$O$6,'Plan-Kosten'!$F$73,0)</f>
        <v/>
      </c>
      <c r="W26" s="153">
        <f>U26-V26</f>
        <v/>
      </c>
      <c r="X26" s="149">
        <f>IF(R26&gt;0,1,0)</f>
        <v/>
      </c>
      <c r="Y26" s="192">
        <f>'Plan-Kunden'!P26</f>
        <v/>
      </c>
      <c r="Z26" s="220">
        <f>'Plan-Kunden'!Q26</f>
        <v/>
      </c>
      <c r="AA26" s="220">
        <f>IF(D26&gt;='Plan-Phase B'!$C$22,1,0)</f>
        <v/>
      </c>
      <c r="AB26" s="220">
        <f>IF(D26&gt;='Plan-Phase B'!$D$22,1,0)</f>
        <v/>
      </c>
      <c r="AC26" s="220">
        <f>IF(D26&gt;='Plan-Phase B'!$E$22,1,0)</f>
        <v/>
      </c>
      <c r="AD26" s="149">
        <f>IF(AND(W26&gt;=0,A26&gt;$K$6),1,0)</f>
        <v/>
      </c>
      <c r="AE26" s="149">
        <f>IF(A26&gt;=$O$6,1,0)</f>
        <v/>
      </c>
    </row>
    <row r="27" ht="15" customHeight="1" s="116">
      <c r="A27" s="149" t="n">
        <v>20</v>
      </c>
      <c r="B27" s="187">
        <f>'Plan-Kunden'!B27</f>
        <v/>
      </c>
      <c r="C27" s="192">
        <f>'Plan-Kunden'!E27</f>
        <v/>
      </c>
      <c r="D27" s="192">
        <f>'Plan-Kunden'!K27</f>
        <v/>
      </c>
      <c r="E27" s="192">
        <f>'Plan-Kunden'!I27</f>
        <v/>
      </c>
      <c r="F27" s="192">
        <f>'Plan-Kunden'!J27</f>
        <v/>
      </c>
      <c r="G27" s="219">
        <f>D27*'Plan-Annahmen'!$B$21</f>
        <v/>
      </c>
      <c r="H27" s="215">
        <f>E27*'Plan-Annahmen'!$B$14+F27*'Plan-Annahmen'!$B$15</f>
        <v/>
      </c>
      <c r="I27" s="215">
        <f>H27*('Plan-Annahmen'!$B$52+'Plan-Annahmen'!$B$53)</f>
        <v/>
      </c>
      <c r="J27" s="215">
        <f>E27*('Plan-Annahmen'!$B$14*'Plan-Annahmen'!$B$18+'Plan-Annahmen'!$B$19)+F27*('Plan-Annahmen'!$B$15*'Plan-Annahmen'!$B$18+'Plan-Annahmen'!$B$19)</f>
        <v/>
      </c>
      <c r="K27" s="215">
        <f>G27*'Plan-Annahmen'!$B$17/100</f>
        <v/>
      </c>
      <c r="L27" s="215">
        <f>'Plan-Kunden'!D27*'Plan-Annahmen'!$B$15*'Plan-Annahmen'!$B$50</f>
        <v/>
      </c>
      <c r="M27" s="215">
        <f>'Plan-Kosten'!AG$61</f>
        <v/>
      </c>
      <c r="N27" s="215">
        <f>IF(A27&gt;=$O$6,'Plan-Kosten'!$F$71,0)</f>
        <v/>
      </c>
      <c r="O27" s="215">
        <f>'Plan-Kosten'!AG$58</f>
        <v/>
      </c>
      <c r="P27" s="215">
        <f>IF(A27=$O$6,'Plan-Kosten'!$F$72,0)</f>
        <v/>
      </c>
      <c r="Q27" s="182">
        <f>I27+J27+K27+L27+M27+N27+O27+P27</f>
        <v/>
      </c>
      <c r="R27" s="153">
        <f>H27-Q27</f>
        <v/>
      </c>
      <c r="S27" s="215">
        <f>MAX(0,R27*'Plan-Annahmen'!$B$82)</f>
        <v/>
      </c>
      <c r="T27" s="182">
        <f>R27-S27</f>
        <v/>
      </c>
      <c r="U27" s="182">
        <f>U26+T27</f>
        <v/>
      </c>
      <c r="V27" s="215">
        <f>V26+'Plan-Kosten'!AG$59+IF(A27=$O$6,'Plan-Kosten'!$F$73,0)</f>
        <v/>
      </c>
      <c r="W27" s="153">
        <f>U27-V27</f>
        <v/>
      </c>
      <c r="X27" s="149">
        <f>IF(R27&gt;0,1,0)</f>
        <v/>
      </c>
      <c r="Y27" s="192">
        <f>'Plan-Kunden'!P27</f>
        <v/>
      </c>
      <c r="Z27" s="220">
        <f>'Plan-Kunden'!Q27</f>
        <v/>
      </c>
      <c r="AA27" s="220">
        <f>IF(D27&gt;='Plan-Phase B'!$C$22,1,0)</f>
        <v/>
      </c>
      <c r="AB27" s="220">
        <f>IF(D27&gt;='Plan-Phase B'!$D$22,1,0)</f>
        <v/>
      </c>
      <c r="AC27" s="220">
        <f>IF(D27&gt;='Plan-Phase B'!$E$22,1,0)</f>
        <v/>
      </c>
      <c r="AD27" s="149">
        <f>IF(AND(W27&gt;=0,A27&gt;$K$6),1,0)</f>
        <v/>
      </c>
      <c r="AE27" s="149">
        <f>IF(A27&gt;=$O$6,1,0)</f>
        <v/>
      </c>
    </row>
    <row r="28" ht="15" customHeight="1" s="116">
      <c r="A28" s="149" t="n">
        <v>21</v>
      </c>
      <c r="B28" s="187">
        <f>'Plan-Kunden'!B28</f>
        <v/>
      </c>
      <c r="C28" s="192">
        <f>'Plan-Kunden'!E28</f>
        <v/>
      </c>
      <c r="D28" s="192">
        <f>'Plan-Kunden'!K28</f>
        <v/>
      </c>
      <c r="E28" s="192">
        <f>'Plan-Kunden'!I28</f>
        <v/>
      </c>
      <c r="F28" s="192">
        <f>'Plan-Kunden'!J28</f>
        <v/>
      </c>
      <c r="G28" s="219">
        <f>D28*'Plan-Annahmen'!$B$21</f>
        <v/>
      </c>
      <c r="H28" s="215">
        <f>E28*'Plan-Annahmen'!$B$14+F28*'Plan-Annahmen'!$B$15</f>
        <v/>
      </c>
      <c r="I28" s="215">
        <f>H28*('Plan-Annahmen'!$B$52+'Plan-Annahmen'!$B$53)</f>
        <v/>
      </c>
      <c r="J28" s="215">
        <f>E28*('Plan-Annahmen'!$B$14*'Plan-Annahmen'!$B$18+'Plan-Annahmen'!$B$19)+F28*('Plan-Annahmen'!$B$15*'Plan-Annahmen'!$B$18+'Plan-Annahmen'!$B$19)</f>
        <v/>
      </c>
      <c r="K28" s="215">
        <f>G28*'Plan-Annahmen'!$B$17/100</f>
        <v/>
      </c>
      <c r="L28" s="215">
        <f>'Plan-Kunden'!D28*'Plan-Annahmen'!$B$15*'Plan-Annahmen'!$B$50</f>
        <v/>
      </c>
      <c r="M28" s="215">
        <f>'Plan-Kosten'!AH$61</f>
        <v/>
      </c>
      <c r="N28" s="215">
        <f>IF(A28&gt;=$O$6,'Plan-Kosten'!$F$71,0)</f>
        <v/>
      </c>
      <c r="O28" s="215">
        <f>'Plan-Kosten'!AH$58</f>
        <v/>
      </c>
      <c r="P28" s="215">
        <f>IF(A28=$O$6,'Plan-Kosten'!$F$72,0)</f>
        <v/>
      </c>
      <c r="Q28" s="182">
        <f>I28+J28+K28+L28+M28+N28+O28+P28</f>
        <v/>
      </c>
      <c r="R28" s="153">
        <f>H28-Q28</f>
        <v/>
      </c>
      <c r="S28" s="215">
        <f>MAX(0,R28*'Plan-Annahmen'!$B$82)</f>
        <v/>
      </c>
      <c r="T28" s="182">
        <f>R28-S28</f>
        <v/>
      </c>
      <c r="U28" s="182">
        <f>U27+T28</f>
        <v/>
      </c>
      <c r="V28" s="215">
        <f>V27+'Plan-Kosten'!AH$59+IF(A28=$O$6,'Plan-Kosten'!$F$73,0)</f>
        <v/>
      </c>
      <c r="W28" s="153">
        <f>U28-V28</f>
        <v/>
      </c>
      <c r="X28" s="149">
        <f>IF(R28&gt;0,1,0)</f>
        <v/>
      </c>
      <c r="Y28" s="192">
        <f>'Plan-Kunden'!P28</f>
        <v/>
      </c>
      <c r="Z28" s="220">
        <f>'Plan-Kunden'!Q28</f>
        <v/>
      </c>
      <c r="AA28" s="220">
        <f>IF(D28&gt;='Plan-Phase B'!$C$22,1,0)</f>
        <v/>
      </c>
      <c r="AB28" s="220">
        <f>IF(D28&gt;='Plan-Phase B'!$D$22,1,0)</f>
        <v/>
      </c>
      <c r="AC28" s="220">
        <f>IF(D28&gt;='Plan-Phase B'!$E$22,1,0)</f>
        <v/>
      </c>
      <c r="AD28" s="149">
        <f>IF(AND(W28&gt;=0,A28&gt;$K$6),1,0)</f>
        <v/>
      </c>
      <c r="AE28" s="149">
        <f>IF(A28&gt;=$O$6,1,0)</f>
        <v/>
      </c>
    </row>
    <row r="29" ht="15" customHeight="1" s="116">
      <c r="A29" s="149" t="n">
        <v>22</v>
      </c>
      <c r="B29" s="187">
        <f>'Plan-Kunden'!B29</f>
        <v/>
      </c>
      <c r="C29" s="192">
        <f>'Plan-Kunden'!E29</f>
        <v/>
      </c>
      <c r="D29" s="192">
        <f>'Plan-Kunden'!K29</f>
        <v/>
      </c>
      <c r="E29" s="192">
        <f>'Plan-Kunden'!I29</f>
        <v/>
      </c>
      <c r="F29" s="192">
        <f>'Plan-Kunden'!J29</f>
        <v/>
      </c>
      <c r="G29" s="219">
        <f>D29*'Plan-Annahmen'!$B$21</f>
        <v/>
      </c>
      <c r="H29" s="215">
        <f>E29*'Plan-Annahmen'!$B$14+F29*'Plan-Annahmen'!$B$15</f>
        <v/>
      </c>
      <c r="I29" s="215">
        <f>H29*('Plan-Annahmen'!$B$52+'Plan-Annahmen'!$B$53)</f>
        <v/>
      </c>
      <c r="J29" s="215">
        <f>E29*('Plan-Annahmen'!$B$14*'Plan-Annahmen'!$B$18+'Plan-Annahmen'!$B$19)+F29*('Plan-Annahmen'!$B$15*'Plan-Annahmen'!$B$18+'Plan-Annahmen'!$B$19)</f>
        <v/>
      </c>
      <c r="K29" s="215">
        <f>G29*'Plan-Annahmen'!$B$17/100</f>
        <v/>
      </c>
      <c r="L29" s="215">
        <f>'Plan-Kunden'!D29*'Plan-Annahmen'!$B$15*'Plan-Annahmen'!$B$50</f>
        <v/>
      </c>
      <c r="M29" s="215">
        <f>'Plan-Kosten'!AI$61</f>
        <v/>
      </c>
      <c r="N29" s="215">
        <f>IF(A29&gt;=$O$6,'Plan-Kosten'!$F$71,0)</f>
        <v/>
      </c>
      <c r="O29" s="215">
        <f>'Plan-Kosten'!AI$58</f>
        <v/>
      </c>
      <c r="P29" s="215">
        <f>IF(A29=$O$6,'Plan-Kosten'!$F$72,0)</f>
        <v/>
      </c>
      <c r="Q29" s="182">
        <f>I29+J29+K29+L29+M29+N29+O29+P29</f>
        <v/>
      </c>
      <c r="R29" s="153">
        <f>H29-Q29</f>
        <v/>
      </c>
      <c r="S29" s="215">
        <f>MAX(0,R29*'Plan-Annahmen'!$B$82)</f>
        <v/>
      </c>
      <c r="T29" s="182">
        <f>R29-S29</f>
        <v/>
      </c>
      <c r="U29" s="182">
        <f>U28+T29</f>
        <v/>
      </c>
      <c r="V29" s="215">
        <f>V28+'Plan-Kosten'!AI$59+IF(A29=$O$6,'Plan-Kosten'!$F$73,0)</f>
        <v/>
      </c>
      <c r="W29" s="153">
        <f>U29-V29</f>
        <v/>
      </c>
      <c r="X29" s="149">
        <f>IF(R29&gt;0,1,0)</f>
        <v/>
      </c>
      <c r="Y29" s="192">
        <f>'Plan-Kunden'!P29</f>
        <v/>
      </c>
      <c r="Z29" s="220">
        <f>'Plan-Kunden'!Q29</f>
        <v/>
      </c>
      <c r="AA29" s="220">
        <f>IF(D29&gt;='Plan-Phase B'!$C$22,1,0)</f>
        <v/>
      </c>
      <c r="AB29" s="220">
        <f>IF(D29&gt;='Plan-Phase B'!$D$22,1,0)</f>
        <v/>
      </c>
      <c r="AC29" s="220">
        <f>IF(D29&gt;='Plan-Phase B'!$E$22,1,0)</f>
        <v/>
      </c>
      <c r="AD29" s="149">
        <f>IF(AND(W29&gt;=0,A29&gt;$K$6),1,0)</f>
        <v/>
      </c>
      <c r="AE29" s="149">
        <f>IF(A29&gt;=$O$6,1,0)</f>
        <v/>
      </c>
    </row>
    <row r="30" ht="15" customHeight="1" s="116">
      <c r="A30" s="149" t="n">
        <v>23</v>
      </c>
      <c r="B30" s="187">
        <f>'Plan-Kunden'!B30</f>
        <v/>
      </c>
      <c r="C30" s="192">
        <f>'Plan-Kunden'!E30</f>
        <v/>
      </c>
      <c r="D30" s="192">
        <f>'Plan-Kunden'!K30</f>
        <v/>
      </c>
      <c r="E30" s="192">
        <f>'Plan-Kunden'!I30</f>
        <v/>
      </c>
      <c r="F30" s="192">
        <f>'Plan-Kunden'!J30</f>
        <v/>
      </c>
      <c r="G30" s="219">
        <f>D30*'Plan-Annahmen'!$B$21</f>
        <v/>
      </c>
      <c r="H30" s="215">
        <f>E30*'Plan-Annahmen'!$B$14+F30*'Plan-Annahmen'!$B$15</f>
        <v/>
      </c>
      <c r="I30" s="215">
        <f>H30*('Plan-Annahmen'!$B$52+'Plan-Annahmen'!$B$53)</f>
        <v/>
      </c>
      <c r="J30" s="215">
        <f>E30*('Plan-Annahmen'!$B$14*'Plan-Annahmen'!$B$18+'Plan-Annahmen'!$B$19)+F30*('Plan-Annahmen'!$B$15*'Plan-Annahmen'!$B$18+'Plan-Annahmen'!$B$19)</f>
        <v/>
      </c>
      <c r="K30" s="215">
        <f>G30*'Plan-Annahmen'!$B$17/100</f>
        <v/>
      </c>
      <c r="L30" s="215">
        <f>'Plan-Kunden'!D30*'Plan-Annahmen'!$B$15*'Plan-Annahmen'!$B$50</f>
        <v/>
      </c>
      <c r="M30" s="215">
        <f>'Plan-Kosten'!AJ$61</f>
        <v/>
      </c>
      <c r="N30" s="215">
        <f>IF(A30&gt;=$O$6,'Plan-Kosten'!$F$71,0)</f>
        <v/>
      </c>
      <c r="O30" s="215">
        <f>'Plan-Kosten'!AJ$58</f>
        <v/>
      </c>
      <c r="P30" s="215">
        <f>IF(A30=$O$6,'Plan-Kosten'!$F$72,0)</f>
        <v/>
      </c>
      <c r="Q30" s="182">
        <f>I30+J30+K30+L30+M30+N30+O30+P30</f>
        <v/>
      </c>
      <c r="R30" s="153">
        <f>H30-Q30</f>
        <v/>
      </c>
      <c r="S30" s="215">
        <f>MAX(0,R30*'Plan-Annahmen'!$B$82)</f>
        <v/>
      </c>
      <c r="T30" s="182">
        <f>R30-S30</f>
        <v/>
      </c>
      <c r="U30" s="182">
        <f>U29+T30</f>
        <v/>
      </c>
      <c r="V30" s="215">
        <f>V29+'Plan-Kosten'!AJ$59+IF(A30=$O$6,'Plan-Kosten'!$F$73,0)</f>
        <v/>
      </c>
      <c r="W30" s="153">
        <f>U30-V30</f>
        <v/>
      </c>
      <c r="X30" s="149">
        <f>IF(R30&gt;0,1,0)</f>
        <v/>
      </c>
      <c r="Y30" s="192">
        <f>'Plan-Kunden'!P30</f>
        <v/>
      </c>
      <c r="Z30" s="220">
        <f>'Plan-Kunden'!Q30</f>
        <v/>
      </c>
      <c r="AA30" s="220">
        <f>IF(D30&gt;='Plan-Phase B'!$C$22,1,0)</f>
        <v/>
      </c>
      <c r="AB30" s="220">
        <f>IF(D30&gt;='Plan-Phase B'!$D$22,1,0)</f>
        <v/>
      </c>
      <c r="AC30" s="220">
        <f>IF(D30&gt;='Plan-Phase B'!$E$22,1,0)</f>
        <v/>
      </c>
      <c r="AD30" s="149">
        <f>IF(AND(W30&gt;=0,A30&gt;$K$6),1,0)</f>
        <v/>
      </c>
      <c r="AE30" s="149">
        <f>IF(A30&gt;=$O$6,1,0)</f>
        <v/>
      </c>
    </row>
    <row r="31" ht="15" customHeight="1" s="116">
      <c r="A31" s="149" t="n">
        <v>24</v>
      </c>
      <c r="B31" s="187">
        <f>'Plan-Kunden'!B31</f>
        <v/>
      </c>
      <c r="C31" s="192">
        <f>'Plan-Kunden'!E31</f>
        <v/>
      </c>
      <c r="D31" s="192">
        <f>'Plan-Kunden'!K31</f>
        <v/>
      </c>
      <c r="E31" s="192">
        <f>'Plan-Kunden'!I31</f>
        <v/>
      </c>
      <c r="F31" s="192">
        <f>'Plan-Kunden'!J31</f>
        <v/>
      </c>
      <c r="G31" s="219">
        <f>D31*'Plan-Annahmen'!$B$21</f>
        <v/>
      </c>
      <c r="H31" s="215">
        <f>E31*'Plan-Annahmen'!$B$14+F31*'Plan-Annahmen'!$B$15</f>
        <v/>
      </c>
      <c r="I31" s="215">
        <f>H31*('Plan-Annahmen'!$B$52+'Plan-Annahmen'!$B$53)</f>
        <v/>
      </c>
      <c r="J31" s="215">
        <f>E31*('Plan-Annahmen'!$B$14*'Plan-Annahmen'!$B$18+'Plan-Annahmen'!$B$19)+F31*('Plan-Annahmen'!$B$15*'Plan-Annahmen'!$B$18+'Plan-Annahmen'!$B$19)</f>
        <v/>
      </c>
      <c r="K31" s="215">
        <f>G31*'Plan-Annahmen'!$B$17/100</f>
        <v/>
      </c>
      <c r="L31" s="215">
        <f>'Plan-Kunden'!D31*'Plan-Annahmen'!$B$15*'Plan-Annahmen'!$B$50</f>
        <v/>
      </c>
      <c r="M31" s="215">
        <f>'Plan-Kosten'!AK$61</f>
        <v/>
      </c>
      <c r="N31" s="215">
        <f>IF(A31&gt;=$O$6,'Plan-Kosten'!$F$71,0)</f>
        <v/>
      </c>
      <c r="O31" s="215">
        <f>'Plan-Kosten'!AK$58</f>
        <v/>
      </c>
      <c r="P31" s="215">
        <f>IF(A31=$O$6,'Plan-Kosten'!$F$72,0)</f>
        <v/>
      </c>
      <c r="Q31" s="182">
        <f>I31+J31+K31+L31+M31+N31+O31+P31</f>
        <v/>
      </c>
      <c r="R31" s="153">
        <f>H31-Q31</f>
        <v/>
      </c>
      <c r="S31" s="215">
        <f>MAX(0,R31*'Plan-Annahmen'!$B$82)</f>
        <v/>
      </c>
      <c r="T31" s="182">
        <f>R31-S31</f>
        <v/>
      </c>
      <c r="U31" s="182">
        <f>U30+T31</f>
        <v/>
      </c>
      <c r="V31" s="215">
        <f>V30+'Plan-Kosten'!AK$59+IF(A31=$O$6,'Plan-Kosten'!$F$73,0)</f>
        <v/>
      </c>
      <c r="W31" s="153">
        <f>U31-V31</f>
        <v/>
      </c>
      <c r="X31" s="149">
        <f>IF(R31&gt;0,1,0)</f>
        <v/>
      </c>
      <c r="Y31" s="192">
        <f>'Plan-Kunden'!P31</f>
        <v/>
      </c>
      <c r="Z31" s="220">
        <f>'Plan-Kunden'!Q31</f>
        <v/>
      </c>
      <c r="AA31" s="220">
        <f>IF(D31&gt;='Plan-Phase B'!$C$22,1,0)</f>
        <v/>
      </c>
      <c r="AB31" s="220">
        <f>IF(D31&gt;='Plan-Phase B'!$D$22,1,0)</f>
        <v/>
      </c>
      <c r="AC31" s="220">
        <f>IF(D31&gt;='Plan-Phase B'!$E$22,1,0)</f>
        <v/>
      </c>
      <c r="AD31" s="149">
        <f>IF(AND(W31&gt;=0,A31&gt;$K$6),1,0)</f>
        <v/>
      </c>
      <c r="AE31" s="149">
        <f>IF(A31&gt;=$O$6,1,0)</f>
        <v/>
      </c>
    </row>
    <row r="32" ht="15" customHeight="1" s="116">
      <c r="A32" s="129" t="inlineStr">
        <is>
          <t>Σ 24 Monate</t>
        </is>
      </c>
      <c r="B32" s="130" t="n"/>
      <c r="C32" s="130" t="n"/>
      <c r="D32" s="130" t="n"/>
      <c r="E32" s="130" t="n"/>
      <c r="F32" s="130" t="n"/>
      <c r="G32" s="130" t="n"/>
      <c r="H32" s="132">
        <f>SUM(H8:H31)</f>
        <v/>
      </c>
      <c r="I32" s="132">
        <f>SUM(I8:I31)</f>
        <v/>
      </c>
      <c r="J32" s="132">
        <f>SUM(J8:J31)</f>
        <v/>
      </c>
      <c r="K32" s="132">
        <f>SUM(K8:K31)</f>
        <v/>
      </c>
      <c r="L32" s="132">
        <f>SUM(L8:L31)</f>
        <v/>
      </c>
      <c r="M32" s="132">
        <f>SUM(M8:M31)</f>
        <v/>
      </c>
      <c r="N32" s="132">
        <f>SUM(N8:N31)</f>
        <v/>
      </c>
      <c r="O32" s="132">
        <f>SUM(O8:O31)</f>
        <v/>
      </c>
      <c r="P32" s="132">
        <f>SUM(P8:P31)</f>
        <v/>
      </c>
      <c r="Q32" s="132">
        <f>SUM(Q8:Q31)</f>
        <v/>
      </c>
      <c r="R32" s="132">
        <f>SUM(R8:R31)</f>
        <v/>
      </c>
      <c r="S32" s="132">
        <f>SUM(S8:S31)</f>
        <v/>
      </c>
      <c r="T32" s="132">
        <f>SUM(T8:T31)</f>
        <v/>
      </c>
      <c r="U32" s="130" t="n"/>
      <c r="V32" s="130" t="n"/>
      <c r="W32" s="130" t="n"/>
      <c r="X32" s="130" t="n"/>
      <c r="Y32" s="130" t="n"/>
      <c r="Z32" s="130" t="n"/>
      <c r="AA32" s="130" t="n"/>
      <c r="AB32" s="130" t="n"/>
      <c r="AC32" s="130" t="n"/>
      <c r="AD32" s="130" t="n"/>
      <c r="AE32" s="130" t="n"/>
    </row>
    <row r="35" ht="15" customHeight="1" s="116">
      <c r="A35" s="133" t="inlineStr">
        <is>
          <t>Szenario: Realistisch</t>
        </is>
      </c>
      <c r="H35" s="118" t="inlineStr">
        <is>
          <t>Liquiditäts-Tiefpunkt in Monat:</t>
        </is>
      </c>
      <c r="K35" s="133">
        <f>MATCH(MIN(W37:W60),W37:W60,0)</f>
        <v/>
      </c>
      <c r="M35" s="118" t="inlineStr">
        <is>
          <t>UG-Gründung in Monat:</t>
        </is>
      </c>
      <c r="O35" s="218">
        <f>'Plan-Kunden'!$S$61</f>
        <v/>
      </c>
    </row>
    <row r="36" ht="39" customHeight="1" s="116">
      <c r="A36" s="119" t="inlineStr">
        <is>
          <t>Monat</t>
        </is>
      </c>
      <c r="B36" s="119" t="inlineStr">
        <is>
          <t>Kalendermonat</t>
        </is>
      </c>
      <c r="C36" s="119" t="inlineStr">
        <is>
          <t>Neukunden</t>
        </is>
      </c>
      <c r="D36" s="119" t="inlineStr">
        <is>
          <t>Kunden aktiv</t>
        </is>
      </c>
      <c r="E36" s="119" t="inlineStr">
        <is>
          <t>Kunden @29€</t>
        </is>
      </c>
      <c r="F36" s="119" t="inlineStr">
        <is>
          <t>Kunden @49€</t>
        </is>
      </c>
      <c r="G36" s="119" t="inlineStr">
        <is>
          <t>Angebote</t>
        </is>
      </c>
      <c r="H36" s="119" t="inlineStr">
        <is>
          <t>Umsatz netto</t>
        </is>
      </c>
      <c r="I36" s="119" t="inlineStr">
        <is>
          <t>Ausfall + Kulanz</t>
        </is>
      </c>
      <c r="J36" s="119" t="inlineStr">
        <is>
          <t>Stripe-Gebühren</t>
        </is>
      </c>
      <c r="K36" s="119" t="inlineStr">
        <is>
          <t>KI-Kosten</t>
        </is>
      </c>
      <c r="L36" s="119" t="inlineStr">
        <is>
          <t>Empfehlungs-Anreiz</t>
        </is>
      </c>
      <c r="M36" s="119" t="inlineStr">
        <is>
          <t>Laufende Kosten Basis</t>
        </is>
      </c>
      <c r="N36" s="119" t="inlineStr">
        <is>
          <t>UG-Mehrkosten laufend</t>
        </is>
      </c>
      <c r="O36" s="119" t="inlineStr">
        <is>
          <t>Einmalkosten Basis</t>
        </is>
      </c>
      <c r="P36" s="119" t="inlineStr">
        <is>
          <t>UG-Einmalkosten</t>
        </is>
      </c>
      <c r="Q36" s="119" t="inlineStr">
        <is>
          <t>Kosten gesamt</t>
        </is>
      </c>
      <c r="R36" s="119" t="inlineStr">
        <is>
          <t>Ergebnis vor Steuer</t>
        </is>
      </c>
      <c r="S36" s="119" t="inlineStr">
        <is>
          <t>Steuerrücklage</t>
        </is>
      </c>
      <c r="T36" s="119" t="inlineStr">
        <is>
          <t>Cashflow nach Steuer</t>
        </is>
      </c>
      <c r="U36" s="119" t="inlineStr">
        <is>
          <t>kumuliert</t>
        </is>
      </c>
      <c r="V36" s="119" t="inlineStr">
        <is>
          <t>Reserven kumuliert</t>
        </is>
      </c>
      <c r="W36" s="119" t="inlineStr">
        <is>
          <t>Liquidität</t>
        </is>
      </c>
      <c r="X36" s="119" t="inlineStr">
        <is>
          <t>Ergebnis &gt; 0?</t>
        </is>
      </c>
      <c r="Y36" s="119" t="inlineStr">
        <is>
          <t>Std. gesamt</t>
        </is>
      </c>
      <c r="Z36" s="119" t="inlineStr">
        <is>
          <t>über Dauerlinie?</t>
        </is>
      </c>
      <c r="AA36" s="119" t="inlineStr">
        <is>
          <t>Kunden ≥ B1 (30 Std.)?</t>
        </is>
      </c>
      <c r="AB36" s="119" t="inlineStr">
        <is>
          <t>Kunden ≥ B1 (25 Std.)?</t>
        </is>
      </c>
      <c r="AC36" s="119" t="inlineStr">
        <is>
          <t>Kunden ≥ B2?</t>
        </is>
      </c>
      <c r="AD36" s="119" t="inlineStr">
        <is>
          <t>Liquidität ≥ 0 nach Tiefpunkt?</t>
        </is>
      </c>
      <c r="AE36" s="119" t="inlineStr">
        <is>
          <t>UG aktiv?</t>
        </is>
      </c>
    </row>
    <row r="37" ht="15" customHeight="1" s="116">
      <c r="A37" s="149" t="n">
        <v>1</v>
      </c>
      <c r="B37" s="187">
        <f>'Plan-Kunden'!B37</f>
        <v/>
      </c>
      <c r="C37" s="192">
        <f>'Plan-Kunden'!E37</f>
        <v/>
      </c>
      <c r="D37" s="192">
        <f>'Plan-Kunden'!K37</f>
        <v/>
      </c>
      <c r="E37" s="192">
        <f>'Plan-Kunden'!I37</f>
        <v/>
      </c>
      <c r="F37" s="192">
        <f>'Plan-Kunden'!J37</f>
        <v/>
      </c>
      <c r="G37" s="219">
        <f>D37*'Plan-Annahmen'!$B$21</f>
        <v/>
      </c>
      <c r="H37" s="215">
        <f>E37*'Plan-Annahmen'!$B$14+F37*'Plan-Annahmen'!$B$15</f>
        <v/>
      </c>
      <c r="I37" s="215">
        <f>H37*('Plan-Annahmen'!$B$52+'Plan-Annahmen'!$B$53)</f>
        <v/>
      </c>
      <c r="J37" s="215">
        <f>E37*('Plan-Annahmen'!$B$14*'Plan-Annahmen'!$B$18+'Plan-Annahmen'!$B$19)+F37*('Plan-Annahmen'!$B$15*'Plan-Annahmen'!$B$18+'Plan-Annahmen'!$B$19)</f>
        <v/>
      </c>
      <c r="K37" s="215">
        <f>G37*'Plan-Annahmen'!$B$17/100</f>
        <v/>
      </c>
      <c r="L37" s="215">
        <f>'Plan-Kunden'!D37*'Plan-Annahmen'!$B$15*'Plan-Annahmen'!$B$50</f>
        <v/>
      </c>
      <c r="M37" s="215">
        <f>'Plan-Kosten'!N$61</f>
        <v/>
      </c>
      <c r="N37" s="215">
        <f>IF(A37&gt;=$O$35,'Plan-Kosten'!$F$71,0)</f>
        <v/>
      </c>
      <c r="O37" s="215">
        <f>'Plan-Kosten'!N$58</f>
        <v/>
      </c>
      <c r="P37" s="215">
        <f>IF(A37=$O$35,'Plan-Kosten'!$F$72,0)</f>
        <v/>
      </c>
      <c r="Q37" s="182">
        <f>I37+J37+K37+L37+M37+N37+O37+P37</f>
        <v/>
      </c>
      <c r="R37" s="153">
        <f>H37-Q37</f>
        <v/>
      </c>
      <c r="S37" s="215">
        <f>MAX(0,R37*'Plan-Annahmen'!$B$82)</f>
        <v/>
      </c>
      <c r="T37" s="182">
        <f>R37-S37</f>
        <v/>
      </c>
      <c r="U37" s="182">
        <f>T37</f>
        <v/>
      </c>
      <c r="V37" s="215">
        <f>'Plan-Kosten'!N$59+IF(A37=$O$35,'Plan-Kosten'!$F$73,0)</f>
        <v/>
      </c>
      <c r="W37" s="153">
        <f>U37-V37</f>
        <v/>
      </c>
      <c r="X37" s="149">
        <f>IF(R37&gt;0,1,0)</f>
        <v/>
      </c>
      <c r="Y37" s="192">
        <f>'Plan-Kunden'!P37</f>
        <v/>
      </c>
      <c r="Z37" s="220">
        <f>'Plan-Kunden'!Q37</f>
        <v/>
      </c>
      <c r="AA37" s="220">
        <f>IF(D37&gt;='Plan-Phase B'!$C$22,1,0)</f>
        <v/>
      </c>
      <c r="AB37" s="220">
        <f>IF(D37&gt;='Plan-Phase B'!$D$22,1,0)</f>
        <v/>
      </c>
      <c r="AC37" s="220">
        <f>IF(D37&gt;='Plan-Phase B'!$E$22,1,0)</f>
        <v/>
      </c>
      <c r="AD37" s="149">
        <f>IF(AND(W37&gt;=0,A37&gt;$K$35),1,0)</f>
        <v/>
      </c>
      <c r="AE37" s="149">
        <f>IF(A37&gt;=$O$35,1,0)</f>
        <v/>
      </c>
    </row>
    <row r="38" ht="15" customHeight="1" s="116">
      <c r="A38" s="149" t="n">
        <v>2</v>
      </c>
      <c r="B38" s="187">
        <f>'Plan-Kunden'!B38</f>
        <v/>
      </c>
      <c r="C38" s="192">
        <f>'Plan-Kunden'!E38</f>
        <v/>
      </c>
      <c r="D38" s="192">
        <f>'Plan-Kunden'!K38</f>
        <v/>
      </c>
      <c r="E38" s="192">
        <f>'Plan-Kunden'!I38</f>
        <v/>
      </c>
      <c r="F38" s="192">
        <f>'Plan-Kunden'!J38</f>
        <v/>
      </c>
      <c r="G38" s="219">
        <f>D38*'Plan-Annahmen'!$B$21</f>
        <v/>
      </c>
      <c r="H38" s="215">
        <f>E38*'Plan-Annahmen'!$B$14+F38*'Plan-Annahmen'!$B$15</f>
        <v/>
      </c>
      <c r="I38" s="215">
        <f>H38*('Plan-Annahmen'!$B$52+'Plan-Annahmen'!$B$53)</f>
        <v/>
      </c>
      <c r="J38" s="215">
        <f>E38*('Plan-Annahmen'!$B$14*'Plan-Annahmen'!$B$18+'Plan-Annahmen'!$B$19)+F38*('Plan-Annahmen'!$B$15*'Plan-Annahmen'!$B$18+'Plan-Annahmen'!$B$19)</f>
        <v/>
      </c>
      <c r="K38" s="215">
        <f>G38*'Plan-Annahmen'!$B$17/100</f>
        <v/>
      </c>
      <c r="L38" s="215">
        <f>'Plan-Kunden'!D38*'Plan-Annahmen'!$B$15*'Plan-Annahmen'!$B$50</f>
        <v/>
      </c>
      <c r="M38" s="215">
        <f>'Plan-Kosten'!O$61</f>
        <v/>
      </c>
      <c r="N38" s="215">
        <f>IF(A38&gt;=$O$35,'Plan-Kosten'!$F$71,0)</f>
        <v/>
      </c>
      <c r="O38" s="215">
        <f>'Plan-Kosten'!O$58</f>
        <v/>
      </c>
      <c r="P38" s="215">
        <f>IF(A38=$O$35,'Plan-Kosten'!$F$72,0)</f>
        <v/>
      </c>
      <c r="Q38" s="182">
        <f>I38+J38+K38+L38+M38+N38+O38+P38</f>
        <v/>
      </c>
      <c r="R38" s="153">
        <f>H38-Q38</f>
        <v/>
      </c>
      <c r="S38" s="215">
        <f>MAX(0,R38*'Plan-Annahmen'!$B$82)</f>
        <v/>
      </c>
      <c r="T38" s="182">
        <f>R38-S38</f>
        <v/>
      </c>
      <c r="U38" s="182">
        <f>U37+T38</f>
        <v/>
      </c>
      <c r="V38" s="215">
        <f>V37+'Plan-Kosten'!O$59+IF(A38=$O$35,'Plan-Kosten'!$F$73,0)</f>
        <v/>
      </c>
      <c r="W38" s="153">
        <f>U38-V38</f>
        <v/>
      </c>
      <c r="X38" s="149">
        <f>IF(R38&gt;0,1,0)</f>
        <v/>
      </c>
      <c r="Y38" s="192">
        <f>'Plan-Kunden'!P38</f>
        <v/>
      </c>
      <c r="Z38" s="220">
        <f>'Plan-Kunden'!Q38</f>
        <v/>
      </c>
      <c r="AA38" s="220">
        <f>IF(D38&gt;='Plan-Phase B'!$C$22,1,0)</f>
        <v/>
      </c>
      <c r="AB38" s="220">
        <f>IF(D38&gt;='Plan-Phase B'!$D$22,1,0)</f>
        <v/>
      </c>
      <c r="AC38" s="220">
        <f>IF(D38&gt;='Plan-Phase B'!$E$22,1,0)</f>
        <v/>
      </c>
      <c r="AD38" s="149">
        <f>IF(AND(W38&gt;=0,A38&gt;$K$35),1,0)</f>
        <v/>
      </c>
      <c r="AE38" s="149">
        <f>IF(A38&gt;=$O$35,1,0)</f>
        <v/>
      </c>
    </row>
    <row r="39" ht="15" customHeight="1" s="116">
      <c r="A39" s="149" t="n">
        <v>3</v>
      </c>
      <c r="B39" s="187">
        <f>'Plan-Kunden'!B39</f>
        <v/>
      </c>
      <c r="C39" s="192">
        <f>'Plan-Kunden'!E39</f>
        <v/>
      </c>
      <c r="D39" s="192">
        <f>'Plan-Kunden'!K39</f>
        <v/>
      </c>
      <c r="E39" s="192">
        <f>'Plan-Kunden'!I39</f>
        <v/>
      </c>
      <c r="F39" s="192">
        <f>'Plan-Kunden'!J39</f>
        <v/>
      </c>
      <c r="G39" s="219">
        <f>D39*'Plan-Annahmen'!$B$21</f>
        <v/>
      </c>
      <c r="H39" s="215">
        <f>E39*'Plan-Annahmen'!$B$14+F39*'Plan-Annahmen'!$B$15</f>
        <v/>
      </c>
      <c r="I39" s="215">
        <f>H39*('Plan-Annahmen'!$B$52+'Plan-Annahmen'!$B$53)</f>
        <v/>
      </c>
      <c r="J39" s="215">
        <f>E39*('Plan-Annahmen'!$B$14*'Plan-Annahmen'!$B$18+'Plan-Annahmen'!$B$19)+F39*('Plan-Annahmen'!$B$15*'Plan-Annahmen'!$B$18+'Plan-Annahmen'!$B$19)</f>
        <v/>
      </c>
      <c r="K39" s="215">
        <f>G39*'Plan-Annahmen'!$B$17/100</f>
        <v/>
      </c>
      <c r="L39" s="215">
        <f>'Plan-Kunden'!D39*'Plan-Annahmen'!$B$15*'Plan-Annahmen'!$B$50</f>
        <v/>
      </c>
      <c r="M39" s="215">
        <f>'Plan-Kosten'!P$61</f>
        <v/>
      </c>
      <c r="N39" s="215">
        <f>IF(A39&gt;=$O$35,'Plan-Kosten'!$F$71,0)</f>
        <v/>
      </c>
      <c r="O39" s="215">
        <f>'Plan-Kosten'!P$58</f>
        <v/>
      </c>
      <c r="P39" s="215">
        <f>IF(A39=$O$35,'Plan-Kosten'!$F$72,0)</f>
        <v/>
      </c>
      <c r="Q39" s="182">
        <f>I39+J39+K39+L39+M39+N39+O39+P39</f>
        <v/>
      </c>
      <c r="R39" s="153">
        <f>H39-Q39</f>
        <v/>
      </c>
      <c r="S39" s="215">
        <f>MAX(0,R39*'Plan-Annahmen'!$B$82)</f>
        <v/>
      </c>
      <c r="T39" s="182">
        <f>R39-S39</f>
        <v/>
      </c>
      <c r="U39" s="182">
        <f>U38+T39</f>
        <v/>
      </c>
      <c r="V39" s="215">
        <f>V38+'Plan-Kosten'!P$59+IF(A39=$O$35,'Plan-Kosten'!$F$73,0)</f>
        <v/>
      </c>
      <c r="W39" s="153">
        <f>U39-V39</f>
        <v/>
      </c>
      <c r="X39" s="149">
        <f>IF(R39&gt;0,1,0)</f>
        <v/>
      </c>
      <c r="Y39" s="192">
        <f>'Plan-Kunden'!P39</f>
        <v/>
      </c>
      <c r="Z39" s="220">
        <f>'Plan-Kunden'!Q39</f>
        <v/>
      </c>
      <c r="AA39" s="220">
        <f>IF(D39&gt;='Plan-Phase B'!$C$22,1,0)</f>
        <v/>
      </c>
      <c r="AB39" s="220">
        <f>IF(D39&gt;='Plan-Phase B'!$D$22,1,0)</f>
        <v/>
      </c>
      <c r="AC39" s="220">
        <f>IF(D39&gt;='Plan-Phase B'!$E$22,1,0)</f>
        <v/>
      </c>
      <c r="AD39" s="149">
        <f>IF(AND(W39&gt;=0,A39&gt;$K$35),1,0)</f>
        <v/>
      </c>
      <c r="AE39" s="149">
        <f>IF(A39&gt;=$O$35,1,0)</f>
        <v/>
      </c>
    </row>
    <row r="40" ht="15" customHeight="1" s="116">
      <c r="A40" s="149" t="n">
        <v>4</v>
      </c>
      <c r="B40" s="187">
        <f>'Plan-Kunden'!B40</f>
        <v/>
      </c>
      <c r="C40" s="192">
        <f>'Plan-Kunden'!E40</f>
        <v/>
      </c>
      <c r="D40" s="192">
        <f>'Plan-Kunden'!K40</f>
        <v/>
      </c>
      <c r="E40" s="192">
        <f>'Plan-Kunden'!I40</f>
        <v/>
      </c>
      <c r="F40" s="192">
        <f>'Plan-Kunden'!J40</f>
        <v/>
      </c>
      <c r="G40" s="219">
        <f>D40*'Plan-Annahmen'!$B$21</f>
        <v/>
      </c>
      <c r="H40" s="215">
        <f>E40*'Plan-Annahmen'!$B$14+F40*'Plan-Annahmen'!$B$15</f>
        <v/>
      </c>
      <c r="I40" s="215">
        <f>H40*('Plan-Annahmen'!$B$52+'Plan-Annahmen'!$B$53)</f>
        <v/>
      </c>
      <c r="J40" s="215">
        <f>E40*('Plan-Annahmen'!$B$14*'Plan-Annahmen'!$B$18+'Plan-Annahmen'!$B$19)+F40*('Plan-Annahmen'!$B$15*'Plan-Annahmen'!$B$18+'Plan-Annahmen'!$B$19)</f>
        <v/>
      </c>
      <c r="K40" s="215">
        <f>G40*'Plan-Annahmen'!$B$17/100</f>
        <v/>
      </c>
      <c r="L40" s="215">
        <f>'Plan-Kunden'!D40*'Plan-Annahmen'!$B$15*'Plan-Annahmen'!$B$50</f>
        <v/>
      </c>
      <c r="M40" s="215">
        <f>'Plan-Kosten'!Q$61</f>
        <v/>
      </c>
      <c r="N40" s="215">
        <f>IF(A40&gt;=$O$35,'Plan-Kosten'!$F$71,0)</f>
        <v/>
      </c>
      <c r="O40" s="215">
        <f>'Plan-Kosten'!Q$58</f>
        <v/>
      </c>
      <c r="P40" s="215">
        <f>IF(A40=$O$35,'Plan-Kosten'!$F$72,0)</f>
        <v/>
      </c>
      <c r="Q40" s="182">
        <f>I40+J40+K40+L40+M40+N40+O40+P40</f>
        <v/>
      </c>
      <c r="R40" s="153">
        <f>H40-Q40</f>
        <v/>
      </c>
      <c r="S40" s="215">
        <f>MAX(0,R40*'Plan-Annahmen'!$B$82)</f>
        <v/>
      </c>
      <c r="T40" s="182">
        <f>R40-S40</f>
        <v/>
      </c>
      <c r="U40" s="182">
        <f>U39+T40</f>
        <v/>
      </c>
      <c r="V40" s="215">
        <f>V39+'Plan-Kosten'!Q$59+IF(A40=$O$35,'Plan-Kosten'!$F$73,0)</f>
        <v/>
      </c>
      <c r="W40" s="153">
        <f>U40-V40</f>
        <v/>
      </c>
      <c r="X40" s="149">
        <f>IF(R40&gt;0,1,0)</f>
        <v/>
      </c>
      <c r="Y40" s="192">
        <f>'Plan-Kunden'!P40</f>
        <v/>
      </c>
      <c r="Z40" s="220">
        <f>'Plan-Kunden'!Q40</f>
        <v/>
      </c>
      <c r="AA40" s="220">
        <f>IF(D40&gt;='Plan-Phase B'!$C$22,1,0)</f>
        <v/>
      </c>
      <c r="AB40" s="220">
        <f>IF(D40&gt;='Plan-Phase B'!$D$22,1,0)</f>
        <v/>
      </c>
      <c r="AC40" s="220">
        <f>IF(D40&gt;='Plan-Phase B'!$E$22,1,0)</f>
        <v/>
      </c>
      <c r="AD40" s="149">
        <f>IF(AND(W40&gt;=0,A40&gt;$K$35),1,0)</f>
        <v/>
      </c>
      <c r="AE40" s="149">
        <f>IF(A40&gt;=$O$35,1,0)</f>
        <v/>
      </c>
    </row>
    <row r="41" ht="15" customHeight="1" s="116">
      <c r="A41" s="149" t="n">
        <v>5</v>
      </c>
      <c r="B41" s="187">
        <f>'Plan-Kunden'!B41</f>
        <v/>
      </c>
      <c r="C41" s="192">
        <f>'Plan-Kunden'!E41</f>
        <v/>
      </c>
      <c r="D41" s="192">
        <f>'Plan-Kunden'!K41</f>
        <v/>
      </c>
      <c r="E41" s="192">
        <f>'Plan-Kunden'!I41</f>
        <v/>
      </c>
      <c r="F41" s="192">
        <f>'Plan-Kunden'!J41</f>
        <v/>
      </c>
      <c r="G41" s="219">
        <f>D41*'Plan-Annahmen'!$B$21</f>
        <v/>
      </c>
      <c r="H41" s="215">
        <f>E41*'Plan-Annahmen'!$B$14+F41*'Plan-Annahmen'!$B$15</f>
        <v/>
      </c>
      <c r="I41" s="215">
        <f>H41*('Plan-Annahmen'!$B$52+'Plan-Annahmen'!$B$53)</f>
        <v/>
      </c>
      <c r="J41" s="215">
        <f>E41*('Plan-Annahmen'!$B$14*'Plan-Annahmen'!$B$18+'Plan-Annahmen'!$B$19)+F41*('Plan-Annahmen'!$B$15*'Plan-Annahmen'!$B$18+'Plan-Annahmen'!$B$19)</f>
        <v/>
      </c>
      <c r="K41" s="215">
        <f>G41*'Plan-Annahmen'!$B$17/100</f>
        <v/>
      </c>
      <c r="L41" s="215">
        <f>'Plan-Kunden'!D41*'Plan-Annahmen'!$B$15*'Plan-Annahmen'!$B$50</f>
        <v/>
      </c>
      <c r="M41" s="215">
        <f>'Plan-Kosten'!R$61</f>
        <v/>
      </c>
      <c r="N41" s="215">
        <f>IF(A41&gt;=$O$35,'Plan-Kosten'!$F$71,0)</f>
        <v/>
      </c>
      <c r="O41" s="215">
        <f>'Plan-Kosten'!R$58</f>
        <v/>
      </c>
      <c r="P41" s="215">
        <f>IF(A41=$O$35,'Plan-Kosten'!$F$72,0)</f>
        <v/>
      </c>
      <c r="Q41" s="182">
        <f>I41+J41+K41+L41+M41+N41+O41+P41</f>
        <v/>
      </c>
      <c r="R41" s="153">
        <f>H41-Q41</f>
        <v/>
      </c>
      <c r="S41" s="215">
        <f>MAX(0,R41*'Plan-Annahmen'!$B$82)</f>
        <v/>
      </c>
      <c r="T41" s="182">
        <f>R41-S41</f>
        <v/>
      </c>
      <c r="U41" s="182">
        <f>U40+T41</f>
        <v/>
      </c>
      <c r="V41" s="215">
        <f>V40+'Plan-Kosten'!R$59+IF(A41=$O$35,'Plan-Kosten'!$F$73,0)</f>
        <v/>
      </c>
      <c r="W41" s="153">
        <f>U41-V41</f>
        <v/>
      </c>
      <c r="X41" s="149">
        <f>IF(R41&gt;0,1,0)</f>
        <v/>
      </c>
      <c r="Y41" s="192">
        <f>'Plan-Kunden'!P41</f>
        <v/>
      </c>
      <c r="Z41" s="220">
        <f>'Plan-Kunden'!Q41</f>
        <v/>
      </c>
      <c r="AA41" s="220">
        <f>IF(D41&gt;='Plan-Phase B'!$C$22,1,0)</f>
        <v/>
      </c>
      <c r="AB41" s="220">
        <f>IF(D41&gt;='Plan-Phase B'!$D$22,1,0)</f>
        <v/>
      </c>
      <c r="AC41" s="220">
        <f>IF(D41&gt;='Plan-Phase B'!$E$22,1,0)</f>
        <v/>
      </c>
      <c r="AD41" s="149">
        <f>IF(AND(W41&gt;=0,A41&gt;$K$35),1,0)</f>
        <v/>
      </c>
      <c r="AE41" s="149">
        <f>IF(A41&gt;=$O$35,1,0)</f>
        <v/>
      </c>
    </row>
    <row r="42" ht="15" customHeight="1" s="116">
      <c r="A42" s="149" t="n">
        <v>6</v>
      </c>
      <c r="B42" s="187">
        <f>'Plan-Kunden'!B42</f>
        <v/>
      </c>
      <c r="C42" s="192">
        <f>'Plan-Kunden'!E42</f>
        <v/>
      </c>
      <c r="D42" s="192">
        <f>'Plan-Kunden'!K42</f>
        <v/>
      </c>
      <c r="E42" s="192">
        <f>'Plan-Kunden'!I42</f>
        <v/>
      </c>
      <c r="F42" s="192">
        <f>'Plan-Kunden'!J42</f>
        <v/>
      </c>
      <c r="G42" s="219">
        <f>D42*'Plan-Annahmen'!$B$21</f>
        <v/>
      </c>
      <c r="H42" s="215">
        <f>E42*'Plan-Annahmen'!$B$14+F42*'Plan-Annahmen'!$B$15</f>
        <v/>
      </c>
      <c r="I42" s="215">
        <f>H42*('Plan-Annahmen'!$B$52+'Plan-Annahmen'!$B$53)</f>
        <v/>
      </c>
      <c r="J42" s="215">
        <f>E42*('Plan-Annahmen'!$B$14*'Plan-Annahmen'!$B$18+'Plan-Annahmen'!$B$19)+F42*('Plan-Annahmen'!$B$15*'Plan-Annahmen'!$B$18+'Plan-Annahmen'!$B$19)</f>
        <v/>
      </c>
      <c r="K42" s="215">
        <f>G42*'Plan-Annahmen'!$B$17/100</f>
        <v/>
      </c>
      <c r="L42" s="215">
        <f>'Plan-Kunden'!D42*'Plan-Annahmen'!$B$15*'Plan-Annahmen'!$B$50</f>
        <v/>
      </c>
      <c r="M42" s="215">
        <f>'Plan-Kosten'!S$61</f>
        <v/>
      </c>
      <c r="N42" s="215">
        <f>IF(A42&gt;=$O$35,'Plan-Kosten'!$F$71,0)</f>
        <v/>
      </c>
      <c r="O42" s="215">
        <f>'Plan-Kosten'!S$58</f>
        <v/>
      </c>
      <c r="P42" s="215">
        <f>IF(A42=$O$35,'Plan-Kosten'!$F$72,0)</f>
        <v/>
      </c>
      <c r="Q42" s="182">
        <f>I42+J42+K42+L42+M42+N42+O42+P42</f>
        <v/>
      </c>
      <c r="R42" s="153">
        <f>H42-Q42</f>
        <v/>
      </c>
      <c r="S42" s="215">
        <f>MAX(0,R42*'Plan-Annahmen'!$B$82)</f>
        <v/>
      </c>
      <c r="T42" s="182">
        <f>R42-S42</f>
        <v/>
      </c>
      <c r="U42" s="182">
        <f>U41+T42</f>
        <v/>
      </c>
      <c r="V42" s="215">
        <f>V41+'Plan-Kosten'!S$59+IF(A42=$O$35,'Plan-Kosten'!$F$73,0)</f>
        <v/>
      </c>
      <c r="W42" s="153">
        <f>U42-V42</f>
        <v/>
      </c>
      <c r="X42" s="149">
        <f>IF(R42&gt;0,1,0)</f>
        <v/>
      </c>
      <c r="Y42" s="192">
        <f>'Plan-Kunden'!P42</f>
        <v/>
      </c>
      <c r="Z42" s="220">
        <f>'Plan-Kunden'!Q42</f>
        <v/>
      </c>
      <c r="AA42" s="220">
        <f>IF(D42&gt;='Plan-Phase B'!$C$22,1,0)</f>
        <v/>
      </c>
      <c r="AB42" s="220">
        <f>IF(D42&gt;='Plan-Phase B'!$D$22,1,0)</f>
        <v/>
      </c>
      <c r="AC42" s="220">
        <f>IF(D42&gt;='Plan-Phase B'!$E$22,1,0)</f>
        <v/>
      </c>
      <c r="AD42" s="149">
        <f>IF(AND(W42&gt;=0,A42&gt;$K$35),1,0)</f>
        <v/>
      </c>
      <c r="AE42" s="149">
        <f>IF(A42&gt;=$O$35,1,0)</f>
        <v/>
      </c>
    </row>
    <row r="43" ht="15" customHeight="1" s="116">
      <c r="A43" s="149" t="n">
        <v>7</v>
      </c>
      <c r="B43" s="187">
        <f>'Plan-Kunden'!B43</f>
        <v/>
      </c>
      <c r="C43" s="192">
        <f>'Plan-Kunden'!E43</f>
        <v/>
      </c>
      <c r="D43" s="192">
        <f>'Plan-Kunden'!K43</f>
        <v/>
      </c>
      <c r="E43" s="192">
        <f>'Plan-Kunden'!I43</f>
        <v/>
      </c>
      <c r="F43" s="192">
        <f>'Plan-Kunden'!J43</f>
        <v/>
      </c>
      <c r="G43" s="219">
        <f>D43*'Plan-Annahmen'!$B$21</f>
        <v/>
      </c>
      <c r="H43" s="215">
        <f>E43*'Plan-Annahmen'!$B$14+F43*'Plan-Annahmen'!$B$15</f>
        <v/>
      </c>
      <c r="I43" s="215">
        <f>H43*('Plan-Annahmen'!$B$52+'Plan-Annahmen'!$B$53)</f>
        <v/>
      </c>
      <c r="J43" s="215">
        <f>E43*('Plan-Annahmen'!$B$14*'Plan-Annahmen'!$B$18+'Plan-Annahmen'!$B$19)+F43*('Plan-Annahmen'!$B$15*'Plan-Annahmen'!$B$18+'Plan-Annahmen'!$B$19)</f>
        <v/>
      </c>
      <c r="K43" s="215">
        <f>G43*'Plan-Annahmen'!$B$17/100</f>
        <v/>
      </c>
      <c r="L43" s="215">
        <f>'Plan-Kunden'!D43*'Plan-Annahmen'!$B$15*'Plan-Annahmen'!$B$50</f>
        <v/>
      </c>
      <c r="M43" s="215">
        <f>'Plan-Kosten'!T$61</f>
        <v/>
      </c>
      <c r="N43" s="215">
        <f>IF(A43&gt;=$O$35,'Plan-Kosten'!$F$71,0)</f>
        <v/>
      </c>
      <c r="O43" s="215">
        <f>'Plan-Kosten'!T$58</f>
        <v/>
      </c>
      <c r="P43" s="215">
        <f>IF(A43=$O$35,'Plan-Kosten'!$F$72,0)</f>
        <v/>
      </c>
      <c r="Q43" s="182">
        <f>I43+J43+K43+L43+M43+N43+O43+P43</f>
        <v/>
      </c>
      <c r="R43" s="153">
        <f>H43-Q43</f>
        <v/>
      </c>
      <c r="S43" s="215">
        <f>MAX(0,R43*'Plan-Annahmen'!$B$82)</f>
        <v/>
      </c>
      <c r="T43" s="182">
        <f>R43-S43</f>
        <v/>
      </c>
      <c r="U43" s="182">
        <f>U42+T43</f>
        <v/>
      </c>
      <c r="V43" s="215">
        <f>V42+'Plan-Kosten'!T$59+IF(A43=$O$35,'Plan-Kosten'!$F$73,0)</f>
        <v/>
      </c>
      <c r="W43" s="153">
        <f>U43-V43</f>
        <v/>
      </c>
      <c r="X43" s="149">
        <f>IF(R43&gt;0,1,0)</f>
        <v/>
      </c>
      <c r="Y43" s="192">
        <f>'Plan-Kunden'!P43</f>
        <v/>
      </c>
      <c r="Z43" s="220">
        <f>'Plan-Kunden'!Q43</f>
        <v/>
      </c>
      <c r="AA43" s="220">
        <f>IF(D43&gt;='Plan-Phase B'!$C$22,1,0)</f>
        <v/>
      </c>
      <c r="AB43" s="220">
        <f>IF(D43&gt;='Plan-Phase B'!$D$22,1,0)</f>
        <v/>
      </c>
      <c r="AC43" s="220">
        <f>IF(D43&gt;='Plan-Phase B'!$E$22,1,0)</f>
        <v/>
      </c>
      <c r="AD43" s="149">
        <f>IF(AND(W43&gt;=0,A43&gt;$K$35),1,0)</f>
        <v/>
      </c>
      <c r="AE43" s="149">
        <f>IF(A43&gt;=$O$35,1,0)</f>
        <v/>
      </c>
    </row>
    <row r="44" ht="15" customHeight="1" s="116">
      <c r="A44" s="149" t="n">
        <v>8</v>
      </c>
      <c r="B44" s="187">
        <f>'Plan-Kunden'!B44</f>
        <v/>
      </c>
      <c r="C44" s="192">
        <f>'Plan-Kunden'!E44</f>
        <v/>
      </c>
      <c r="D44" s="192">
        <f>'Plan-Kunden'!K44</f>
        <v/>
      </c>
      <c r="E44" s="192">
        <f>'Plan-Kunden'!I44</f>
        <v/>
      </c>
      <c r="F44" s="192">
        <f>'Plan-Kunden'!J44</f>
        <v/>
      </c>
      <c r="G44" s="219">
        <f>D44*'Plan-Annahmen'!$B$21</f>
        <v/>
      </c>
      <c r="H44" s="215">
        <f>E44*'Plan-Annahmen'!$B$14+F44*'Plan-Annahmen'!$B$15</f>
        <v/>
      </c>
      <c r="I44" s="215">
        <f>H44*('Plan-Annahmen'!$B$52+'Plan-Annahmen'!$B$53)</f>
        <v/>
      </c>
      <c r="J44" s="215">
        <f>E44*('Plan-Annahmen'!$B$14*'Plan-Annahmen'!$B$18+'Plan-Annahmen'!$B$19)+F44*('Plan-Annahmen'!$B$15*'Plan-Annahmen'!$B$18+'Plan-Annahmen'!$B$19)</f>
        <v/>
      </c>
      <c r="K44" s="215">
        <f>G44*'Plan-Annahmen'!$B$17/100</f>
        <v/>
      </c>
      <c r="L44" s="215">
        <f>'Plan-Kunden'!D44*'Plan-Annahmen'!$B$15*'Plan-Annahmen'!$B$50</f>
        <v/>
      </c>
      <c r="M44" s="215">
        <f>'Plan-Kosten'!U$61</f>
        <v/>
      </c>
      <c r="N44" s="215">
        <f>IF(A44&gt;=$O$35,'Plan-Kosten'!$F$71,0)</f>
        <v/>
      </c>
      <c r="O44" s="215">
        <f>'Plan-Kosten'!U$58</f>
        <v/>
      </c>
      <c r="P44" s="215">
        <f>IF(A44=$O$35,'Plan-Kosten'!$F$72,0)</f>
        <v/>
      </c>
      <c r="Q44" s="182">
        <f>I44+J44+K44+L44+M44+N44+O44+P44</f>
        <v/>
      </c>
      <c r="R44" s="153">
        <f>H44-Q44</f>
        <v/>
      </c>
      <c r="S44" s="215">
        <f>MAX(0,R44*'Plan-Annahmen'!$B$82)</f>
        <v/>
      </c>
      <c r="T44" s="182">
        <f>R44-S44</f>
        <v/>
      </c>
      <c r="U44" s="182">
        <f>U43+T44</f>
        <v/>
      </c>
      <c r="V44" s="215">
        <f>V43+'Plan-Kosten'!U$59+IF(A44=$O$35,'Plan-Kosten'!$F$73,0)</f>
        <v/>
      </c>
      <c r="W44" s="153">
        <f>U44-V44</f>
        <v/>
      </c>
      <c r="X44" s="149">
        <f>IF(R44&gt;0,1,0)</f>
        <v/>
      </c>
      <c r="Y44" s="192">
        <f>'Plan-Kunden'!P44</f>
        <v/>
      </c>
      <c r="Z44" s="220">
        <f>'Plan-Kunden'!Q44</f>
        <v/>
      </c>
      <c r="AA44" s="220">
        <f>IF(D44&gt;='Plan-Phase B'!$C$22,1,0)</f>
        <v/>
      </c>
      <c r="AB44" s="220">
        <f>IF(D44&gt;='Plan-Phase B'!$D$22,1,0)</f>
        <v/>
      </c>
      <c r="AC44" s="220">
        <f>IF(D44&gt;='Plan-Phase B'!$E$22,1,0)</f>
        <v/>
      </c>
      <c r="AD44" s="149">
        <f>IF(AND(W44&gt;=0,A44&gt;$K$35),1,0)</f>
        <v/>
      </c>
      <c r="AE44" s="149">
        <f>IF(A44&gt;=$O$35,1,0)</f>
        <v/>
      </c>
    </row>
    <row r="45" ht="15" customHeight="1" s="116">
      <c r="A45" s="149" t="n">
        <v>9</v>
      </c>
      <c r="B45" s="187">
        <f>'Plan-Kunden'!B45</f>
        <v/>
      </c>
      <c r="C45" s="192">
        <f>'Plan-Kunden'!E45</f>
        <v/>
      </c>
      <c r="D45" s="192">
        <f>'Plan-Kunden'!K45</f>
        <v/>
      </c>
      <c r="E45" s="192">
        <f>'Plan-Kunden'!I45</f>
        <v/>
      </c>
      <c r="F45" s="192">
        <f>'Plan-Kunden'!J45</f>
        <v/>
      </c>
      <c r="G45" s="219">
        <f>D45*'Plan-Annahmen'!$B$21</f>
        <v/>
      </c>
      <c r="H45" s="215">
        <f>E45*'Plan-Annahmen'!$B$14+F45*'Plan-Annahmen'!$B$15</f>
        <v/>
      </c>
      <c r="I45" s="215">
        <f>H45*('Plan-Annahmen'!$B$52+'Plan-Annahmen'!$B$53)</f>
        <v/>
      </c>
      <c r="J45" s="215">
        <f>E45*('Plan-Annahmen'!$B$14*'Plan-Annahmen'!$B$18+'Plan-Annahmen'!$B$19)+F45*('Plan-Annahmen'!$B$15*'Plan-Annahmen'!$B$18+'Plan-Annahmen'!$B$19)</f>
        <v/>
      </c>
      <c r="K45" s="215">
        <f>G45*'Plan-Annahmen'!$B$17/100</f>
        <v/>
      </c>
      <c r="L45" s="215">
        <f>'Plan-Kunden'!D45*'Plan-Annahmen'!$B$15*'Plan-Annahmen'!$B$50</f>
        <v/>
      </c>
      <c r="M45" s="215">
        <f>'Plan-Kosten'!V$61</f>
        <v/>
      </c>
      <c r="N45" s="215">
        <f>IF(A45&gt;=$O$35,'Plan-Kosten'!$F$71,0)</f>
        <v/>
      </c>
      <c r="O45" s="215">
        <f>'Plan-Kosten'!V$58</f>
        <v/>
      </c>
      <c r="P45" s="215">
        <f>IF(A45=$O$35,'Plan-Kosten'!$F$72,0)</f>
        <v/>
      </c>
      <c r="Q45" s="182">
        <f>I45+J45+K45+L45+M45+N45+O45+P45</f>
        <v/>
      </c>
      <c r="R45" s="153">
        <f>H45-Q45</f>
        <v/>
      </c>
      <c r="S45" s="215">
        <f>MAX(0,R45*'Plan-Annahmen'!$B$82)</f>
        <v/>
      </c>
      <c r="T45" s="182">
        <f>R45-S45</f>
        <v/>
      </c>
      <c r="U45" s="182">
        <f>U44+T45</f>
        <v/>
      </c>
      <c r="V45" s="215">
        <f>V44+'Plan-Kosten'!V$59+IF(A45=$O$35,'Plan-Kosten'!$F$73,0)</f>
        <v/>
      </c>
      <c r="W45" s="153">
        <f>U45-V45</f>
        <v/>
      </c>
      <c r="X45" s="149">
        <f>IF(R45&gt;0,1,0)</f>
        <v/>
      </c>
      <c r="Y45" s="192">
        <f>'Plan-Kunden'!P45</f>
        <v/>
      </c>
      <c r="Z45" s="220">
        <f>'Plan-Kunden'!Q45</f>
        <v/>
      </c>
      <c r="AA45" s="220">
        <f>IF(D45&gt;='Plan-Phase B'!$C$22,1,0)</f>
        <v/>
      </c>
      <c r="AB45" s="220">
        <f>IF(D45&gt;='Plan-Phase B'!$D$22,1,0)</f>
        <v/>
      </c>
      <c r="AC45" s="220">
        <f>IF(D45&gt;='Plan-Phase B'!$E$22,1,0)</f>
        <v/>
      </c>
      <c r="AD45" s="149">
        <f>IF(AND(W45&gt;=0,A45&gt;$K$35),1,0)</f>
        <v/>
      </c>
      <c r="AE45" s="149">
        <f>IF(A45&gt;=$O$35,1,0)</f>
        <v/>
      </c>
    </row>
    <row r="46" ht="15" customHeight="1" s="116">
      <c r="A46" s="149" t="n">
        <v>10</v>
      </c>
      <c r="B46" s="187">
        <f>'Plan-Kunden'!B46</f>
        <v/>
      </c>
      <c r="C46" s="192">
        <f>'Plan-Kunden'!E46</f>
        <v/>
      </c>
      <c r="D46" s="192">
        <f>'Plan-Kunden'!K46</f>
        <v/>
      </c>
      <c r="E46" s="192">
        <f>'Plan-Kunden'!I46</f>
        <v/>
      </c>
      <c r="F46" s="192">
        <f>'Plan-Kunden'!J46</f>
        <v/>
      </c>
      <c r="G46" s="219">
        <f>D46*'Plan-Annahmen'!$B$21</f>
        <v/>
      </c>
      <c r="H46" s="215">
        <f>E46*'Plan-Annahmen'!$B$14+F46*'Plan-Annahmen'!$B$15</f>
        <v/>
      </c>
      <c r="I46" s="215">
        <f>H46*('Plan-Annahmen'!$B$52+'Plan-Annahmen'!$B$53)</f>
        <v/>
      </c>
      <c r="J46" s="215">
        <f>E46*('Plan-Annahmen'!$B$14*'Plan-Annahmen'!$B$18+'Plan-Annahmen'!$B$19)+F46*('Plan-Annahmen'!$B$15*'Plan-Annahmen'!$B$18+'Plan-Annahmen'!$B$19)</f>
        <v/>
      </c>
      <c r="K46" s="215">
        <f>G46*'Plan-Annahmen'!$B$17/100</f>
        <v/>
      </c>
      <c r="L46" s="215">
        <f>'Plan-Kunden'!D46*'Plan-Annahmen'!$B$15*'Plan-Annahmen'!$B$50</f>
        <v/>
      </c>
      <c r="M46" s="215">
        <f>'Plan-Kosten'!W$61</f>
        <v/>
      </c>
      <c r="N46" s="215">
        <f>IF(A46&gt;=$O$35,'Plan-Kosten'!$F$71,0)</f>
        <v/>
      </c>
      <c r="O46" s="215">
        <f>'Plan-Kosten'!W$58</f>
        <v/>
      </c>
      <c r="P46" s="215">
        <f>IF(A46=$O$35,'Plan-Kosten'!$F$72,0)</f>
        <v/>
      </c>
      <c r="Q46" s="182">
        <f>I46+J46+K46+L46+M46+N46+O46+P46</f>
        <v/>
      </c>
      <c r="R46" s="153">
        <f>H46-Q46</f>
        <v/>
      </c>
      <c r="S46" s="215">
        <f>MAX(0,R46*'Plan-Annahmen'!$B$82)</f>
        <v/>
      </c>
      <c r="T46" s="182">
        <f>R46-S46</f>
        <v/>
      </c>
      <c r="U46" s="182">
        <f>U45+T46</f>
        <v/>
      </c>
      <c r="V46" s="215">
        <f>V45+'Plan-Kosten'!W$59+IF(A46=$O$35,'Plan-Kosten'!$F$73,0)</f>
        <v/>
      </c>
      <c r="W46" s="153">
        <f>U46-V46</f>
        <v/>
      </c>
      <c r="X46" s="149">
        <f>IF(R46&gt;0,1,0)</f>
        <v/>
      </c>
      <c r="Y46" s="192">
        <f>'Plan-Kunden'!P46</f>
        <v/>
      </c>
      <c r="Z46" s="220">
        <f>'Plan-Kunden'!Q46</f>
        <v/>
      </c>
      <c r="AA46" s="220">
        <f>IF(D46&gt;='Plan-Phase B'!$C$22,1,0)</f>
        <v/>
      </c>
      <c r="AB46" s="220">
        <f>IF(D46&gt;='Plan-Phase B'!$D$22,1,0)</f>
        <v/>
      </c>
      <c r="AC46" s="220">
        <f>IF(D46&gt;='Plan-Phase B'!$E$22,1,0)</f>
        <v/>
      </c>
      <c r="AD46" s="149">
        <f>IF(AND(W46&gt;=0,A46&gt;$K$35),1,0)</f>
        <v/>
      </c>
      <c r="AE46" s="149">
        <f>IF(A46&gt;=$O$35,1,0)</f>
        <v/>
      </c>
    </row>
    <row r="47" ht="15" customHeight="1" s="116">
      <c r="A47" s="149" t="n">
        <v>11</v>
      </c>
      <c r="B47" s="187">
        <f>'Plan-Kunden'!B47</f>
        <v/>
      </c>
      <c r="C47" s="192">
        <f>'Plan-Kunden'!E47</f>
        <v/>
      </c>
      <c r="D47" s="192">
        <f>'Plan-Kunden'!K47</f>
        <v/>
      </c>
      <c r="E47" s="192">
        <f>'Plan-Kunden'!I47</f>
        <v/>
      </c>
      <c r="F47" s="192">
        <f>'Plan-Kunden'!J47</f>
        <v/>
      </c>
      <c r="G47" s="219">
        <f>D47*'Plan-Annahmen'!$B$21</f>
        <v/>
      </c>
      <c r="H47" s="215">
        <f>E47*'Plan-Annahmen'!$B$14+F47*'Plan-Annahmen'!$B$15</f>
        <v/>
      </c>
      <c r="I47" s="215">
        <f>H47*('Plan-Annahmen'!$B$52+'Plan-Annahmen'!$B$53)</f>
        <v/>
      </c>
      <c r="J47" s="215">
        <f>E47*('Plan-Annahmen'!$B$14*'Plan-Annahmen'!$B$18+'Plan-Annahmen'!$B$19)+F47*('Plan-Annahmen'!$B$15*'Plan-Annahmen'!$B$18+'Plan-Annahmen'!$B$19)</f>
        <v/>
      </c>
      <c r="K47" s="215">
        <f>G47*'Plan-Annahmen'!$B$17/100</f>
        <v/>
      </c>
      <c r="L47" s="215">
        <f>'Plan-Kunden'!D47*'Plan-Annahmen'!$B$15*'Plan-Annahmen'!$B$50</f>
        <v/>
      </c>
      <c r="M47" s="215">
        <f>'Plan-Kosten'!X$61</f>
        <v/>
      </c>
      <c r="N47" s="215">
        <f>IF(A47&gt;=$O$35,'Plan-Kosten'!$F$71,0)</f>
        <v/>
      </c>
      <c r="O47" s="215">
        <f>'Plan-Kosten'!X$58</f>
        <v/>
      </c>
      <c r="P47" s="215">
        <f>IF(A47=$O$35,'Plan-Kosten'!$F$72,0)</f>
        <v/>
      </c>
      <c r="Q47" s="182">
        <f>I47+J47+K47+L47+M47+N47+O47+P47</f>
        <v/>
      </c>
      <c r="R47" s="153">
        <f>H47-Q47</f>
        <v/>
      </c>
      <c r="S47" s="215">
        <f>MAX(0,R47*'Plan-Annahmen'!$B$82)</f>
        <v/>
      </c>
      <c r="T47" s="182">
        <f>R47-S47</f>
        <v/>
      </c>
      <c r="U47" s="182">
        <f>U46+T47</f>
        <v/>
      </c>
      <c r="V47" s="215">
        <f>V46+'Plan-Kosten'!X$59+IF(A47=$O$35,'Plan-Kosten'!$F$73,0)</f>
        <v/>
      </c>
      <c r="W47" s="153">
        <f>U47-V47</f>
        <v/>
      </c>
      <c r="X47" s="149">
        <f>IF(R47&gt;0,1,0)</f>
        <v/>
      </c>
      <c r="Y47" s="192">
        <f>'Plan-Kunden'!P47</f>
        <v/>
      </c>
      <c r="Z47" s="220">
        <f>'Plan-Kunden'!Q47</f>
        <v/>
      </c>
      <c r="AA47" s="220">
        <f>IF(D47&gt;='Plan-Phase B'!$C$22,1,0)</f>
        <v/>
      </c>
      <c r="AB47" s="220">
        <f>IF(D47&gt;='Plan-Phase B'!$D$22,1,0)</f>
        <v/>
      </c>
      <c r="AC47" s="220">
        <f>IF(D47&gt;='Plan-Phase B'!$E$22,1,0)</f>
        <v/>
      </c>
      <c r="AD47" s="149">
        <f>IF(AND(W47&gt;=0,A47&gt;$K$35),1,0)</f>
        <v/>
      </c>
      <c r="AE47" s="149">
        <f>IF(A47&gt;=$O$35,1,0)</f>
        <v/>
      </c>
    </row>
    <row r="48" ht="15" customHeight="1" s="116">
      <c r="A48" s="149" t="n">
        <v>12</v>
      </c>
      <c r="B48" s="187">
        <f>'Plan-Kunden'!B48</f>
        <v/>
      </c>
      <c r="C48" s="192">
        <f>'Plan-Kunden'!E48</f>
        <v/>
      </c>
      <c r="D48" s="192">
        <f>'Plan-Kunden'!K48</f>
        <v/>
      </c>
      <c r="E48" s="192">
        <f>'Plan-Kunden'!I48</f>
        <v/>
      </c>
      <c r="F48" s="192">
        <f>'Plan-Kunden'!J48</f>
        <v/>
      </c>
      <c r="G48" s="219">
        <f>D48*'Plan-Annahmen'!$B$21</f>
        <v/>
      </c>
      <c r="H48" s="215">
        <f>E48*'Plan-Annahmen'!$B$14+F48*'Plan-Annahmen'!$B$15</f>
        <v/>
      </c>
      <c r="I48" s="215">
        <f>H48*('Plan-Annahmen'!$B$52+'Plan-Annahmen'!$B$53)</f>
        <v/>
      </c>
      <c r="J48" s="215">
        <f>E48*('Plan-Annahmen'!$B$14*'Plan-Annahmen'!$B$18+'Plan-Annahmen'!$B$19)+F48*('Plan-Annahmen'!$B$15*'Plan-Annahmen'!$B$18+'Plan-Annahmen'!$B$19)</f>
        <v/>
      </c>
      <c r="K48" s="215">
        <f>G48*'Plan-Annahmen'!$B$17/100</f>
        <v/>
      </c>
      <c r="L48" s="215">
        <f>'Plan-Kunden'!D48*'Plan-Annahmen'!$B$15*'Plan-Annahmen'!$B$50</f>
        <v/>
      </c>
      <c r="M48" s="215">
        <f>'Plan-Kosten'!Y$61</f>
        <v/>
      </c>
      <c r="N48" s="215">
        <f>IF(A48&gt;=$O$35,'Plan-Kosten'!$F$71,0)</f>
        <v/>
      </c>
      <c r="O48" s="215">
        <f>'Plan-Kosten'!Y$58</f>
        <v/>
      </c>
      <c r="P48" s="215">
        <f>IF(A48=$O$35,'Plan-Kosten'!$F$72,0)</f>
        <v/>
      </c>
      <c r="Q48" s="182">
        <f>I48+J48+K48+L48+M48+N48+O48+P48</f>
        <v/>
      </c>
      <c r="R48" s="153">
        <f>H48-Q48</f>
        <v/>
      </c>
      <c r="S48" s="215">
        <f>MAX(0,R48*'Plan-Annahmen'!$B$82)</f>
        <v/>
      </c>
      <c r="T48" s="182">
        <f>R48-S48</f>
        <v/>
      </c>
      <c r="U48" s="182">
        <f>U47+T48</f>
        <v/>
      </c>
      <c r="V48" s="215">
        <f>V47+'Plan-Kosten'!Y$59+IF(A48=$O$35,'Plan-Kosten'!$F$73,0)</f>
        <v/>
      </c>
      <c r="W48" s="153">
        <f>U48-V48</f>
        <v/>
      </c>
      <c r="X48" s="149">
        <f>IF(R48&gt;0,1,0)</f>
        <v/>
      </c>
      <c r="Y48" s="192">
        <f>'Plan-Kunden'!P48</f>
        <v/>
      </c>
      <c r="Z48" s="220">
        <f>'Plan-Kunden'!Q48</f>
        <v/>
      </c>
      <c r="AA48" s="220">
        <f>IF(D48&gt;='Plan-Phase B'!$C$22,1,0)</f>
        <v/>
      </c>
      <c r="AB48" s="220">
        <f>IF(D48&gt;='Plan-Phase B'!$D$22,1,0)</f>
        <v/>
      </c>
      <c r="AC48" s="220">
        <f>IF(D48&gt;='Plan-Phase B'!$E$22,1,0)</f>
        <v/>
      </c>
      <c r="AD48" s="149">
        <f>IF(AND(W48&gt;=0,A48&gt;$K$35),1,0)</f>
        <v/>
      </c>
      <c r="AE48" s="149">
        <f>IF(A48&gt;=$O$35,1,0)</f>
        <v/>
      </c>
    </row>
    <row r="49" ht="15" customHeight="1" s="116">
      <c r="A49" s="149" t="n">
        <v>13</v>
      </c>
      <c r="B49" s="187">
        <f>'Plan-Kunden'!B49</f>
        <v/>
      </c>
      <c r="C49" s="192">
        <f>'Plan-Kunden'!E49</f>
        <v/>
      </c>
      <c r="D49" s="192">
        <f>'Plan-Kunden'!K49</f>
        <v/>
      </c>
      <c r="E49" s="192">
        <f>'Plan-Kunden'!I49</f>
        <v/>
      </c>
      <c r="F49" s="192">
        <f>'Plan-Kunden'!J49</f>
        <v/>
      </c>
      <c r="G49" s="219">
        <f>D49*'Plan-Annahmen'!$B$21</f>
        <v/>
      </c>
      <c r="H49" s="215">
        <f>E49*'Plan-Annahmen'!$B$14+F49*'Plan-Annahmen'!$B$15</f>
        <v/>
      </c>
      <c r="I49" s="215">
        <f>H49*('Plan-Annahmen'!$B$52+'Plan-Annahmen'!$B$53)</f>
        <v/>
      </c>
      <c r="J49" s="215">
        <f>E49*('Plan-Annahmen'!$B$14*'Plan-Annahmen'!$B$18+'Plan-Annahmen'!$B$19)+F49*('Plan-Annahmen'!$B$15*'Plan-Annahmen'!$B$18+'Plan-Annahmen'!$B$19)</f>
        <v/>
      </c>
      <c r="K49" s="215">
        <f>G49*'Plan-Annahmen'!$B$17/100</f>
        <v/>
      </c>
      <c r="L49" s="215">
        <f>'Plan-Kunden'!D49*'Plan-Annahmen'!$B$15*'Plan-Annahmen'!$B$50</f>
        <v/>
      </c>
      <c r="M49" s="215">
        <f>'Plan-Kosten'!Z$61</f>
        <v/>
      </c>
      <c r="N49" s="215">
        <f>IF(A49&gt;=$O$35,'Plan-Kosten'!$F$71,0)</f>
        <v/>
      </c>
      <c r="O49" s="215">
        <f>'Plan-Kosten'!Z$58</f>
        <v/>
      </c>
      <c r="P49" s="215">
        <f>IF(A49=$O$35,'Plan-Kosten'!$F$72,0)</f>
        <v/>
      </c>
      <c r="Q49" s="182">
        <f>I49+J49+K49+L49+M49+N49+O49+P49</f>
        <v/>
      </c>
      <c r="R49" s="153">
        <f>H49-Q49</f>
        <v/>
      </c>
      <c r="S49" s="215">
        <f>MAX(0,R49*'Plan-Annahmen'!$B$82)</f>
        <v/>
      </c>
      <c r="T49" s="182">
        <f>R49-S49</f>
        <v/>
      </c>
      <c r="U49" s="182">
        <f>U48+T49</f>
        <v/>
      </c>
      <c r="V49" s="215">
        <f>V48+'Plan-Kosten'!Z$59+IF(A49=$O$35,'Plan-Kosten'!$F$73,0)</f>
        <v/>
      </c>
      <c r="W49" s="153">
        <f>U49-V49</f>
        <v/>
      </c>
      <c r="X49" s="149">
        <f>IF(R49&gt;0,1,0)</f>
        <v/>
      </c>
      <c r="Y49" s="192">
        <f>'Plan-Kunden'!P49</f>
        <v/>
      </c>
      <c r="Z49" s="220">
        <f>'Plan-Kunden'!Q49</f>
        <v/>
      </c>
      <c r="AA49" s="220">
        <f>IF(D49&gt;='Plan-Phase B'!$C$22,1,0)</f>
        <v/>
      </c>
      <c r="AB49" s="220">
        <f>IF(D49&gt;='Plan-Phase B'!$D$22,1,0)</f>
        <v/>
      </c>
      <c r="AC49" s="220">
        <f>IF(D49&gt;='Plan-Phase B'!$E$22,1,0)</f>
        <v/>
      </c>
      <c r="AD49" s="149">
        <f>IF(AND(W49&gt;=0,A49&gt;$K$35),1,0)</f>
        <v/>
      </c>
      <c r="AE49" s="149">
        <f>IF(A49&gt;=$O$35,1,0)</f>
        <v/>
      </c>
    </row>
    <row r="50" ht="15" customHeight="1" s="116">
      <c r="A50" s="149" t="n">
        <v>14</v>
      </c>
      <c r="B50" s="187">
        <f>'Plan-Kunden'!B50</f>
        <v/>
      </c>
      <c r="C50" s="192">
        <f>'Plan-Kunden'!E50</f>
        <v/>
      </c>
      <c r="D50" s="192">
        <f>'Plan-Kunden'!K50</f>
        <v/>
      </c>
      <c r="E50" s="192">
        <f>'Plan-Kunden'!I50</f>
        <v/>
      </c>
      <c r="F50" s="192">
        <f>'Plan-Kunden'!J50</f>
        <v/>
      </c>
      <c r="G50" s="219">
        <f>D50*'Plan-Annahmen'!$B$21</f>
        <v/>
      </c>
      <c r="H50" s="215">
        <f>E50*'Plan-Annahmen'!$B$14+F50*'Plan-Annahmen'!$B$15</f>
        <v/>
      </c>
      <c r="I50" s="215">
        <f>H50*('Plan-Annahmen'!$B$52+'Plan-Annahmen'!$B$53)</f>
        <v/>
      </c>
      <c r="J50" s="215">
        <f>E50*('Plan-Annahmen'!$B$14*'Plan-Annahmen'!$B$18+'Plan-Annahmen'!$B$19)+F50*('Plan-Annahmen'!$B$15*'Plan-Annahmen'!$B$18+'Plan-Annahmen'!$B$19)</f>
        <v/>
      </c>
      <c r="K50" s="215">
        <f>G50*'Plan-Annahmen'!$B$17/100</f>
        <v/>
      </c>
      <c r="L50" s="215">
        <f>'Plan-Kunden'!D50*'Plan-Annahmen'!$B$15*'Plan-Annahmen'!$B$50</f>
        <v/>
      </c>
      <c r="M50" s="215">
        <f>'Plan-Kosten'!AA$61</f>
        <v/>
      </c>
      <c r="N50" s="215">
        <f>IF(A50&gt;=$O$35,'Plan-Kosten'!$F$71,0)</f>
        <v/>
      </c>
      <c r="O50" s="215">
        <f>'Plan-Kosten'!AA$58</f>
        <v/>
      </c>
      <c r="P50" s="215">
        <f>IF(A50=$O$35,'Plan-Kosten'!$F$72,0)</f>
        <v/>
      </c>
      <c r="Q50" s="182">
        <f>I50+J50+K50+L50+M50+N50+O50+P50</f>
        <v/>
      </c>
      <c r="R50" s="153">
        <f>H50-Q50</f>
        <v/>
      </c>
      <c r="S50" s="215">
        <f>MAX(0,R50*'Plan-Annahmen'!$B$82)</f>
        <v/>
      </c>
      <c r="T50" s="182">
        <f>R50-S50</f>
        <v/>
      </c>
      <c r="U50" s="182">
        <f>U49+T50</f>
        <v/>
      </c>
      <c r="V50" s="215">
        <f>V49+'Plan-Kosten'!AA$59+IF(A50=$O$35,'Plan-Kosten'!$F$73,0)</f>
        <v/>
      </c>
      <c r="W50" s="153">
        <f>U50-V50</f>
        <v/>
      </c>
      <c r="X50" s="149">
        <f>IF(R50&gt;0,1,0)</f>
        <v/>
      </c>
      <c r="Y50" s="192">
        <f>'Plan-Kunden'!P50</f>
        <v/>
      </c>
      <c r="Z50" s="220">
        <f>'Plan-Kunden'!Q50</f>
        <v/>
      </c>
      <c r="AA50" s="220">
        <f>IF(D50&gt;='Plan-Phase B'!$C$22,1,0)</f>
        <v/>
      </c>
      <c r="AB50" s="220">
        <f>IF(D50&gt;='Plan-Phase B'!$D$22,1,0)</f>
        <v/>
      </c>
      <c r="AC50" s="220">
        <f>IF(D50&gt;='Plan-Phase B'!$E$22,1,0)</f>
        <v/>
      </c>
      <c r="AD50" s="149">
        <f>IF(AND(W50&gt;=0,A50&gt;$K$35),1,0)</f>
        <v/>
      </c>
      <c r="AE50" s="149">
        <f>IF(A50&gt;=$O$35,1,0)</f>
        <v/>
      </c>
    </row>
    <row r="51" ht="15" customHeight="1" s="116">
      <c r="A51" s="149" t="n">
        <v>15</v>
      </c>
      <c r="B51" s="187">
        <f>'Plan-Kunden'!B51</f>
        <v/>
      </c>
      <c r="C51" s="192">
        <f>'Plan-Kunden'!E51</f>
        <v/>
      </c>
      <c r="D51" s="192">
        <f>'Plan-Kunden'!K51</f>
        <v/>
      </c>
      <c r="E51" s="192">
        <f>'Plan-Kunden'!I51</f>
        <v/>
      </c>
      <c r="F51" s="192">
        <f>'Plan-Kunden'!J51</f>
        <v/>
      </c>
      <c r="G51" s="219">
        <f>D51*'Plan-Annahmen'!$B$21</f>
        <v/>
      </c>
      <c r="H51" s="215">
        <f>E51*'Plan-Annahmen'!$B$14+F51*'Plan-Annahmen'!$B$15</f>
        <v/>
      </c>
      <c r="I51" s="215">
        <f>H51*('Plan-Annahmen'!$B$52+'Plan-Annahmen'!$B$53)</f>
        <v/>
      </c>
      <c r="J51" s="215">
        <f>E51*('Plan-Annahmen'!$B$14*'Plan-Annahmen'!$B$18+'Plan-Annahmen'!$B$19)+F51*('Plan-Annahmen'!$B$15*'Plan-Annahmen'!$B$18+'Plan-Annahmen'!$B$19)</f>
        <v/>
      </c>
      <c r="K51" s="215">
        <f>G51*'Plan-Annahmen'!$B$17/100</f>
        <v/>
      </c>
      <c r="L51" s="215">
        <f>'Plan-Kunden'!D51*'Plan-Annahmen'!$B$15*'Plan-Annahmen'!$B$50</f>
        <v/>
      </c>
      <c r="M51" s="215">
        <f>'Plan-Kosten'!AB$61</f>
        <v/>
      </c>
      <c r="N51" s="215">
        <f>IF(A51&gt;=$O$35,'Plan-Kosten'!$F$71,0)</f>
        <v/>
      </c>
      <c r="O51" s="215">
        <f>'Plan-Kosten'!AB$58</f>
        <v/>
      </c>
      <c r="P51" s="215">
        <f>IF(A51=$O$35,'Plan-Kosten'!$F$72,0)</f>
        <v/>
      </c>
      <c r="Q51" s="182">
        <f>I51+J51+K51+L51+M51+N51+O51+P51</f>
        <v/>
      </c>
      <c r="R51" s="153">
        <f>H51-Q51</f>
        <v/>
      </c>
      <c r="S51" s="215">
        <f>MAX(0,R51*'Plan-Annahmen'!$B$82)</f>
        <v/>
      </c>
      <c r="T51" s="182">
        <f>R51-S51</f>
        <v/>
      </c>
      <c r="U51" s="182">
        <f>U50+T51</f>
        <v/>
      </c>
      <c r="V51" s="215">
        <f>V50+'Plan-Kosten'!AB$59+IF(A51=$O$35,'Plan-Kosten'!$F$73,0)</f>
        <v/>
      </c>
      <c r="W51" s="153">
        <f>U51-V51</f>
        <v/>
      </c>
      <c r="X51" s="149">
        <f>IF(R51&gt;0,1,0)</f>
        <v/>
      </c>
      <c r="Y51" s="192">
        <f>'Plan-Kunden'!P51</f>
        <v/>
      </c>
      <c r="Z51" s="220">
        <f>'Plan-Kunden'!Q51</f>
        <v/>
      </c>
      <c r="AA51" s="220">
        <f>IF(D51&gt;='Plan-Phase B'!$C$22,1,0)</f>
        <v/>
      </c>
      <c r="AB51" s="220">
        <f>IF(D51&gt;='Plan-Phase B'!$D$22,1,0)</f>
        <v/>
      </c>
      <c r="AC51" s="220">
        <f>IF(D51&gt;='Plan-Phase B'!$E$22,1,0)</f>
        <v/>
      </c>
      <c r="AD51" s="149">
        <f>IF(AND(W51&gt;=0,A51&gt;$K$35),1,0)</f>
        <v/>
      </c>
      <c r="AE51" s="149">
        <f>IF(A51&gt;=$O$35,1,0)</f>
        <v/>
      </c>
    </row>
    <row r="52" ht="15" customHeight="1" s="116">
      <c r="A52" s="149" t="n">
        <v>16</v>
      </c>
      <c r="B52" s="187">
        <f>'Plan-Kunden'!B52</f>
        <v/>
      </c>
      <c r="C52" s="192">
        <f>'Plan-Kunden'!E52</f>
        <v/>
      </c>
      <c r="D52" s="192">
        <f>'Plan-Kunden'!K52</f>
        <v/>
      </c>
      <c r="E52" s="192">
        <f>'Plan-Kunden'!I52</f>
        <v/>
      </c>
      <c r="F52" s="192">
        <f>'Plan-Kunden'!J52</f>
        <v/>
      </c>
      <c r="G52" s="219">
        <f>D52*'Plan-Annahmen'!$B$21</f>
        <v/>
      </c>
      <c r="H52" s="215">
        <f>E52*'Plan-Annahmen'!$B$14+F52*'Plan-Annahmen'!$B$15</f>
        <v/>
      </c>
      <c r="I52" s="215">
        <f>H52*('Plan-Annahmen'!$B$52+'Plan-Annahmen'!$B$53)</f>
        <v/>
      </c>
      <c r="J52" s="215">
        <f>E52*('Plan-Annahmen'!$B$14*'Plan-Annahmen'!$B$18+'Plan-Annahmen'!$B$19)+F52*('Plan-Annahmen'!$B$15*'Plan-Annahmen'!$B$18+'Plan-Annahmen'!$B$19)</f>
        <v/>
      </c>
      <c r="K52" s="215">
        <f>G52*'Plan-Annahmen'!$B$17/100</f>
        <v/>
      </c>
      <c r="L52" s="215">
        <f>'Plan-Kunden'!D52*'Plan-Annahmen'!$B$15*'Plan-Annahmen'!$B$50</f>
        <v/>
      </c>
      <c r="M52" s="215">
        <f>'Plan-Kosten'!AC$61</f>
        <v/>
      </c>
      <c r="N52" s="215">
        <f>IF(A52&gt;=$O$35,'Plan-Kosten'!$F$71,0)</f>
        <v/>
      </c>
      <c r="O52" s="215">
        <f>'Plan-Kosten'!AC$58</f>
        <v/>
      </c>
      <c r="P52" s="215">
        <f>IF(A52=$O$35,'Plan-Kosten'!$F$72,0)</f>
        <v/>
      </c>
      <c r="Q52" s="182">
        <f>I52+J52+K52+L52+M52+N52+O52+P52</f>
        <v/>
      </c>
      <c r="R52" s="153">
        <f>H52-Q52</f>
        <v/>
      </c>
      <c r="S52" s="215">
        <f>MAX(0,R52*'Plan-Annahmen'!$B$82)</f>
        <v/>
      </c>
      <c r="T52" s="182">
        <f>R52-S52</f>
        <v/>
      </c>
      <c r="U52" s="182">
        <f>U51+T52</f>
        <v/>
      </c>
      <c r="V52" s="215">
        <f>V51+'Plan-Kosten'!AC$59+IF(A52=$O$35,'Plan-Kosten'!$F$73,0)</f>
        <v/>
      </c>
      <c r="W52" s="153">
        <f>U52-V52</f>
        <v/>
      </c>
      <c r="X52" s="149">
        <f>IF(R52&gt;0,1,0)</f>
        <v/>
      </c>
      <c r="Y52" s="192">
        <f>'Plan-Kunden'!P52</f>
        <v/>
      </c>
      <c r="Z52" s="220">
        <f>'Plan-Kunden'!Q52</f>
        <v/>
      </c>
      <c r="AA52" s="220">
        <f>IF(D52&gt;='Plan-Phase B'!$C$22,1,0)</f>
        <v/>
      </c>
      <c r="AB52" s="220">
        <f>IF(D52&gt;='Plan-Phase B'!$D$22,1,0)</f>
        <v/>
      </c>
      <c r="AC52" s="220">
        <f>IF(D52&gt;='Plan-Phase B'!$E$22,1,0)</f>
        <v/>
      </c>
      <c r="AD52" s="149">
        <f>IF(AND(W52&gt;=0,A52&gt;$K$35),1,0)</f>
        <v/>
      </c>
      <c r="AE52" s="149">
        <f>IF(A52&gt;=$O$35,1,0)</f>
        <v/>
      </c>
    </row>
    <row r="53" ht="15" customHeight="1" s="116">
      <c r="A53" s="149" t="n">
        <v>17</v>
      </c>
      <c r="B53" s="187">
        <f>'Plan-Kunden'!B53</f>
        <v/>
      </c>
      <c r="C53" s="192">
        <f>'Plan-Kunden'!E53</f>
        <v/>
      </c>
      <c r="D53" s="192">
        <f>'Plan-Kunden'!K53</f>
        <v/>
      </c>
      <c r="E53" s="192">
        <f>'Plan-Kunden'!I53</f>
        <v/>
      </c>
      <c r="F53" s="192">
        <f>'Plan-Kunden'!J53</f>
        <v/>
      </c>
      <c r="G53" s="219">
        <f>D53*'Plan-Annahmen'!$B$21</f>
        <v/>
      </c>
      <c r="H53" s="215">
        <f>E53*'Plan-Annahmen'!$B$14+F53*'Plan-Annahmen'!$B$15</f>
        <v/>
      </c>
      <c r="I53" s="215">
        <f>H53*('Plan-Annahmen'!$B$52+'Plan-Annahmen'!$B$53)</f>
        <v/>
      </c>
      <c r="J53" s="215">
        <f>E53*('Plan-Annahmen'!$B$14*'Plan-Annahmen'!$B$18+'Plan-Annahmen'!$B$19)+F53*('Plan-Annahmen'!$B$15*'Plan-Annahmen'!$B$18+'Plan-Annahmen'!$B$19)</f>
        <v/>
      </c>
      <c r="K53" s="215">
        <f>G53*'Plan-Annahmen'!$B$17/100</f>
        <v/>
      </c>
      <c r="L53" s="215">
        <f>'Plan-Kunden'!D53*'Plan-Annahmen'!$B$15*'Plan-Annahmen'!$B$50</f>
        <v/>
      </c>
      <c r="M53" s="215">
        <f>'Plan-Kosten'!AD$61</f>
        <v/>
      </c>
      <c r="N53" s="215">
        <f>IF(A53&gt;=$O$35,'Plan-Kosten'!$F$71,0)</f>
        <v/>
      </c>
      <c r="O53" s="215">
        <f>'Plan-Kosten'!AD$58</f>
        <v/>
      </c>
      <c r="P53" s="215">
        <f>IF(A53=$O$35,'Plan-Kosten'!$F$72,0)</f>
        <v/>
      </c>
      <c r="Q53" s="182">
        <f>I53+J53+K53+L53+M53+N53+O53+P53</f>
        <v/>
      </c>
      <c r="R53" s="153">
        <f>H53-Q53</f>
        <v/>
      </c>
      <c r="S53" s="215">
        <f>MAX(0,R53*'Plan-Annahmen'!$B$82)</f>
        <v/>
      </c>
      <c r="T53" s="182">
        <f>R53-S53</f>
        <v/>
      </c>
      <c r="U53" s="182">
        <f>U52+T53</f>
        <v/>
      </c>
      <c r="V53" s="215">
        <f>V52+'Plan-Kosten'!AD$59+IF(A53=$O$35,'Plan-Kosten'!$F$73,0)</f>
        <v/>
      </c>
      <c r="W53" s="153">
        <f>U53-V53</f>
        <v/>
      </c>
      <c r="X53" s="149">
        <f>IF(R53&gt;0,1,0)</f>
        <v/>
      </c>
      <c r="Y53" s="192">
        <f>'Plan-Kunden'!P53</f>
        <v/>
      </c>
      <c r="Z53" s="220">
        <f>'Plan-Kunden'!Q53</f>
        <v/>
      </c>
      <c r="AA53" s="220">
        <f>IF(D53&gt;='Plan-Phase B'!$C$22,1,0)</f>
        <v/>
      </c>
      <c r="AB53" s="220">
        <f>IF(D53&gt;='Plan-Phase B'!$D$22,1,0)</f>
        <v/>
      </c>
      <c r="AC53" s="220">
        <f>IF(D53&gt;='Plan-Phase B'!$E$22,1,0)</f>
        <v/>
      </c>
      <c r="AD53" s="149">
        <f>IF(AND(W53&gt;=0,A53&gt;$K$35),1,0)</f>
        <v/>
      </c>
      <c r="AE53" s="149">
        <f>IF(A53&gt;=$O$35,1,0)</f>
        <v/>
      </c>
    </row>
    <row r="54" ht="15" customHeight="1" s="116">
      <c r="A54" s="149" t="n">
        <v>18</v>
      </c>
      <c r="B54" s="187">
        <f>'Plan-Kunden'!B54</f>
        <v/>
      </c>
      <c r="C54" s="192">
        <f>'Plan-Kunden'!E54</f>
        <v/>
      </c>
      <c r="D54" s="192">
        <f>'Plan-Kunden'!K54</f>
        <v/>
      </c>
      <c r="E54" s="192">
        <f>'Plan-Kunden'!I54</f>
        <v/>
      </c>
      <c r="F54" s="192">
        <f>'Plan-Kunden'!J54</f>
        <v/>
      </c>
      <c r="G54" s="219">
        <f>D54*'Plan-Annahmen'!$B$21</f>
        <v/>
      </c>
      <c r="H54" s="215">
        <f>E54*'Plan-Annahmen'!$B$14+F54*'Plan-Annahmen'!$B$15</f>
        <v/>
      </c>
      <c r="I54" s="215">
        <f>H54*('Plan-Annahmen'!$B$52+'Plan-Annahmen'!$B$53)</f>
        <v/>
      </c>
      <c r="J54" s="215">
        <f>E54*('Plan-Annahmen'!$B$14*'Plan-Annahmen'!$B$18+'Plan-Annahmen'!$B$19)+F54*('Plan-Annahmen'!$B$15*'Plan-Annahmen'!$B$18+'Plan-Annahmen'!$B$19)</f>
        <v/>
      </c>
      <c r="K54" s="215">
        <f>G54*'Plan-Annahmen'!$B$17/100</f>
        <v/>
      </c>
      <c r="L54" s="215">
        <f>'Plan-Kunden'!D54*'Plan-Annahmen'!$B$15*'Plan-Annahmen'!$B$50</f>
        <v/>
      </c>
      <c r="M54" s="215">
        <f>'Plan-Kosten'!AE$61</f>
        <v/>
      </c>
      <c r="N54" s="215">
        <f>IF(A54&gt;=$O$35,'Plan-Kosten'!$F$71,0)</f>
        <v/>
      </c>
      <c r="O54" s="215">
        <f>'Plan-Kosten'!AE$58</f>
        <v/>
      </c>
      <c r="P54" s="215">
        <f>IF(A54=$O$35,'Plan-Kosten'!$F$72,0)</f>
        <v/>
      </c>
      <c r="Q54" s="182">
        <f>I54+J54+K54+L54+M54+N54+O54+P54</f>
        <v/>
      </c>
      <c r="R54" s="153">
        <f>H54-Q54</f>
        <v/>
      </c>
      <c r="S54" s="215">
        <f>MAX(0,R54*'Plan-Annahmen'!$B$82)</f>
        <v/>
      </c>
      <c r="T54" s="182">
        <f>R54-S54</f>
        <v/>
      </c>
      <c r="U54" s="182">
        <f>U53+T54</f>
        <v/>
      </c>
      <c r="V54" s="215">
        <f>V53+'Plan-Kosten'!AE$59+IF(A54=$O$35,'Plan-Kosten'!$F$73,0)</f>
        <v/>
      </c>
      <c r="W54" s="153">
        <f>U54-V54</f>
        <v/>
      </c>
      <c r="X54" s="149">
        <f>IF(R54&gt;0,1,0)</f>
        <v/>
      </c>
      <c r="Y54" s="192">
        <f>'Plan-Kunden'!P54</f>
        <v/>
      </c>
      <c r="Z54" s="220">
        <f>'Plan-Kunden'!Q54</f>
        <v/>
      </c>
      <c r="AA54" s="220">
        <f>IF(D54&gt;='Plan-Phase B'!$C$22,1,0)</f>
        <v/>
      </c>
      <c r="AB54" s="220">
        <f>IF(D54&gt;='Plan-Phase B'!$D$22,1,0)</f>
        <v/>
      </c>
      <c r="AC54" s="220">
        <f>IF(D54&gt;='Plan-Phase B'!$E$22,1,0)</f>
        <v/>
      </c>
      <c r="AD54" s="149">
        <f>IF(AND(W54&gt;=0,A54&gt;$K$35),1,0)</f>
        <v/>
      </c>
      <c r="AE54" s="149">
        <f>IF(A54&gt;=$O$35,1,0)</f>
        <v/>
      </c>
    </row>
    <row r="55" ht="15" customHeight="1" s="116">
      <c r="A55" s="149" t="n">
        <v>19</v>
      </c>
      <c r="B55" s="187">
        <f>'Plan-Kunden'!B55</f>
        <v/>
      </c>
      <c r="C55" s="192">
        <f>'Plan-Kunden'!E55</f>
        <v/>
      </c>
      <c r="D55" s="192">
        <f>'Plan-Kunden'!K55</f>
        <v/>
      </c>
      <c r="E55" s="192">
        <f>'Plan-Kunden'!I55</f>
        <v/>
      </c>
      <c r="F55" s="192">
        <f>'Plan-Kunden'!J55</f>
        <v/>
      </c>
      <c r="G55" s="219">
        <f>D55*'Plan-Annahmen'!$B$21</f>
        <v/>
      </c>
      <c r="H55" s="215">
        <f>E55*'Plan-Annahmen'!$B$14+F55*'Plan-Annahmen'!$B$15</f>
        <v/>
      </c>
      <c r="I55" s="215">
        <f>H55*('Plan-Annahmen'!$B$52+'Plan-Annahmen'!$B$53)</f>
        <v/>
      </c>
      <c r="J55" s="215">
        <f>E55*('Plan-Annahmen'!$B$14*'Plan-Annahmen'!$B$18+'Plan-Annahmen'!$B$19)+F55*('Plan-Annahmen'!$B$15*'Plan-Annahmen'!$B$18+'Plan-Annahmen'!$B$19)</f>
        <v/>
      </c>
      <c r="K55" s="215">
        <f>G55*'Plan-Annahmen'!$B$17/100</f>
        <v/>
      </c>
      <c r="L55" s="215">
        <f>'Plan-Kunden'!D55*'Plan-Annahmen'!$B$15*'Plan-Annahmen'!$B$50</f>
        <v/>
      </c>
      <c r="M55" s="215">
        <f>'Plan-Kosten'!AF$61</f>
        <v/>
      </c>
      <c r="N55" s="215">
        <f>IF(A55&gt;=$O$35,'Plan-Kosten'!$F$71,0)</f>
        <v/>
      </c>
      <c r="O55" s="215">
        <f>'Plan-Kosten'!AF$58</f>
        <v/>
      </c>
      <c r="P55" s="215">
        <f>IF(A55=$O$35,'Plan-Kosten'!$F$72,0)</f>
        <v/>
      </c>
      <c r="Q55" s="182">
        <f>I55+J55+K55+L55+M55+N55+O55+P55</f>
        <v/>
      </c>
      <c r="R55" s="153">
        <f>H55-Q55</f>
        <v/>
      </c>
      <c r="S55" s="215">
        <f>MAX(0,R55*'Plan-Annahmen'!$B$82)</f>
        <v/>
      </c>
      <c r="T55" s="182">
        <f>R55-S55</f>
        <v/>
      </c>
      <c r="U55" s="182">
        <f>U54+T55</f>
        <v/>
      </c>
      <c r="V55" s="215">
        <f>V54+'Plan-Kosten'!AF$59+IF(A55=$O$35,'Plan-Kosten'!$F$73,0)</f>
        <v/>
      </c>
      <c r="W55" s="153">
        <f>U55-V55</f>
        <v/>
      </c>
      <c r="X55" s="149">
        <f>IF(R55&gt;0,1,0)</f>
        <v/>
      </c>
      <c r="Y55" s="192">
        <f>'Plan-Kunden'!P55</f>
        <v/>
      </c>
      <c r="Z55" s="220">
        <f>'Plan-Kunden'!Q55</f>
        <v/>
      </c>
      <c r="AA55" s="220">
        <f>IF(D55&gt;='Plan-Phase B'!$C$22,1,0)</f>
        <v/>
      </c>
      <c r="AB55" s="220">
        <f>IF(D55&gt;='Plan-Phase B'!$D$22,1,0)</f>
        <v/>
      </c>
      <c r="AC55" s="220">
        <f>IF(D55&gt;='Plan-Phase B'!$E$22,1,0)</f>
        <v/>
      </c>
      <c r="AD55" s="149">
        <f>IF(AND(W55&gt;=0,A55&gt;$K$35),1,0)</f>
        <v/>
      </c>
      <c r="AE55" s="149">
        <f>IF(A55&gt;=$O$35,1,0)</f>
        <v/>
      </c>
    </row>
    <row r="56" ht="15" customHeight="1" s="116">
      <c r="A56" s="149" t="n">
        <v>20</v>
      </c>
      <c r="B56" s="187">
        <f>'Plan-Kunden'!B56</f>
        <v/>
      </c>
      <c r="C56" s="192">
        <f>'Plan-Kunden'!E56</f>
        <v/>
      </c>
      <c r="D56" s="192">
        <f>'Plan-Kunden'!K56</f>
        <v/>
      </c>
      <c r="E56" s="192">
        <f>'Plan-Kunden'!I56</f>
        <v/>
      </c>
      <c r="F56" s="192">
        <f>'Plan-Kunden'!J56</f>
        <v/>
      </c>
      <c r="G56" s="219">
        <f>D56*'Plan-Annahmen'!$B$21</f>
        <v/>
      </c>
      <c r="H56" s="215">
        <f>E56*'Plan-Annahmen'!$B$14+F56*'Plan-Annahmen'!$B$15</f>
        <v/>
      </c>
      <c r="I56" s="215">
        <f>H56*('Plan-Annahmen'!$B$52+'Plan-Annahmen'!$B$53)</f>
        <v/>
      </c>
      <c r="J56" s="215">
        <f>E56*('Plan-Annahmen'!$B$14*'Plan-Annahmen'!$B$18+'Plan-Annahmen'!$B$19)+F56*('Plan-Annahmen'!$B$15*'Plan-Annahmen'!$B$18+'Plan-Annahmen'!$B$19)</f>
        <v/>
      </c>
      <c r="K56" s="215">
        <f>G56*'Plan-Annahmen'!$B$17/100</f>
        <v/>
      </c>
      <c r="L56" s="215">
        <f>'Plan-Kunden'!D56*'Plan-Annahmen'!$B$15*'Plan-Annahmen'!$B$50</f>
        <v/>
      </c>
      <c r="M56" s="215">
        <f>'Plan-Kosten'!AG$61</f>
        <v/>
      </c>
      <c r="N56" s="215">
        <f>IF(A56&gt;=$O$35,'Plan-Kosten'!$F$71,0)</f>
        <v/>
      </c>
      <c r="O56" s="215">
        <f>'Plan-Kosten'!AG$58</f>
        <v/>
      </c>
      <c r="P56" s="215">
        <f>IF(A56=$O$35,'Plan-Kosten'!$F$72,0)</f>
        <v/>
      </c>
      <c r="Q56" s="182">
        <f>I56+J56+K56+L56+M56+N56+O56+P56</f>
        <v/>
      </c>
      <c r="R56" s="153">
        <f>H56-Q56</f>
        <v/>
      </c>
      <c r="S56" s="215">
        <f>MAX(0,R56*'Plan-Annahmen'!$B$82)</f>
        <v/>
      </c>
      <c r="T56" s="182">
        <f>R56-S56</f>
        <v/>
      </c>
      <c r="U56" s="182">
        <f>U55+T56</f>
        <v/>
      </c>
      <c r="V56" s="215">
        <f>V55+'Plan-Kosten'!AG$59+IF(A56=$O$35,'Plan-Kosten'!$F$73,0)</f>
        <v/>
      </c>
      <c r="W56" s="153">
        <f>U56-V56</f>
        <v/>
      </c>
      <c r="X56" s="149">
        <f>IF(R56&gt;0,1,0)</f>
        <v/>
      </c>
      <c r="Y56" s="192">
        <f>'Plan-Kunden'!P56</f>
        <v/>
      </c>
      <c r="Z56" s="220">
        <f>'Plan-Kunden'!Q56</f>
        <v/>
      </c>
      <c r="AA56" s="220">
        <f>IF(D56&gt;='Plan-Phase B'!$C$22,1,0)</f>
        <v/>
      </c>
      <c r="AB56" s="220">
        <f>IF(D56&gt;='Plan-Phase B'!$D$22,1,0)</f>
        <v/>
      </c>
      <c r="AC56" s="220">
        <f>IF(D56&gt;='Plan-Phase B'!$E$22,1,0)</f>
        <v/>
      </c>
      <c r="AD56" s="149">
        <f>IF(AND(W56&gt;=0,A56&gt;$K$35),1,0)</f>
        <v/>
      </c>
      <c r="AE56" s="149">
        <f>IF(A56&gt;=$O$35,1,0)</f>
        <v/>
      </c>
    </row>
    <row r="57" ht="15" customHeight="1" s="116">
      <c r="A57" s="149" t="n">
        <v>21</v>
      </c>
      <c r="B57" s="187">
        <f>'Plan-Kunden'!B57</f>
        <v/>
      </c>
      <c r="C57" s="192">
        <f>'Plan-Kunden'!E57</f>
        <v/>
      </c>
      <c r="D57" s="192">
        <f>'Plan-Kunden'!K57</f>
        <v/>
      </c>
      <c r="E57" s="192">
        <f>'Plan-Kunden'!I57</f>
        <v/>
      </c>
      <c r="F57" s="192">
        <f>'Plan-Kunden'!J57</f>
        <v/>
      </c>
      <c r="G57" s="219">
        <f>D57*'Plan-Annahmen'!$B$21</f>
        <v/>
      </c>
      <c r="H57" s="215">
        <f>E57*'Plan-Annahmen'!$B$14+F57*'Plan-Annahmen'!$B$15</f>
        <v/>
      </c>
      <c r="I57" s="215">
        <f>H57*('Plan-Annahmen'!$B$52+'Plan-Annahmen'!$B$53)</f>
        <v/>
      </c>
      <c r="J57" s="215">
        <f>E57*('Plan-Annahmen'!$B$14*'Plan-Annahmen'!$B$18+'Plan-Annahmen'!$B$19)+F57*('Plan-Annahmen'!$B$15*'Plan-Annahmen'!$B$18+'Plan-Annahmen'!$B$19)</f>
        <v/>
      </c>
      <c r="K57" s="215">
        <f>G57*'Plan-Annahmen'!$B$17/100</f>
        <v/>
      </c>
      <c r="L57" s="215">
        <f>'Plan-Kunden'!D57*'Plan-Annahmen'!$B$15*'Plan-Annahmen'!$B$50</f>
        <v/>
      </c>
      <c r="M57" s="215">
        <f>'Plan-Kosten'!AH$61</f>
        <v/>
      </c>
      <c r="N57" s="215">
        <f>IF(A57&gt;=$O$35,'Plan-Kosten'!$F$71,0)</f>
        <v/>
      </c>
      <c r="O57" s="215">
        <f>'Plan-Kosten'!AH$58</f>
        <v/>
      </c>
      <c r="P57" s="215">
        <f>IF(A57=$O$35,'Plan-Kosten'!$F$72,0)</f>
        <v/>
      </c>
      <c r="Q57" s="182">
        <f>I57+J57+K57+L57+M57+N57+O57+P57</f>
        <v/>
      </c>
      <c r="R57" s="153">
        <f>H57-Q57</f>
        <v/>
      </c>
      <c r="S57" s="215">
        <f>MAX(0,R57*'Plan-Annahmen'!$B$82)</f>
        <v/>
      </c>
      <c r="T57" s="182">
        <f>R57-S57</f>
        <v/>
      </c>
      <c r="U57" s="182">
        <f>U56+T57</f>
        <v/>
      </c>
      <c r="V57" s="215">
        <f>V56+'Plan-Kosten'!AH$59+IF(A57=$O$35,'Plan-Kosten'!$F$73,0)</f>
        <v/>
      </c>
      <c r="W57" s="153">
        <f>U57-V57</f>
        <v/>
      </c>
      <c r="X57" s="149">
        <f>IF(R57&gt;0,1,0)</f>
        <v/>
      </c>
      <c r="Y57" s="192">
        <f>'Plan-Kunden'!P57</f>
        <v/>
      </c>
      <c r="Z57" s="220">
        <f>'Plan-Kunden'!Q57</f>
        <v/>
      </c>
      <c r="AA57" s="220">
        <f>IF(D57&gt;='Plan-Phase B'!$C$22,1,0)</f>
        <v/>
      </c>
      <c r="AB57" s="220">
        <f>IF(D57&gt;='Plan-Phase B'!$D$22,1,0)</f>
        <v/>
      </c>
      <c r="AC57" s="220">
        <f>IF(D57&gt;='Plan-Phase B'!$E$22,1,0)</f>
        <v/>
      </c>
      <c r="AD57" s="149">
        <f>IF(AND(W57&gt;=0,A57&gt;$K$35),1,0)</f>
        <v/>
      </c>
      <c r="AE57" s="149">
        <f>IF(A57&gt;=$O$35,1,0)</f>
        <v/>
      </c>
    </row>
    <row r="58" ht="15" customHeight="1" s="116">
      <c r="A58" s="149" t="n">
        <v>22</v>
      </c>
      <c r="B58" s="187">
        <f>'Plan-Kunden'!B58</f>
        <v/>
      </c>
      <c r="C58" s="192">
        <f>'Plan-Kunden'!E58</f>
        <v/>
      </c>
      <c r="D58" s="192">
        <f>'Plan-Kunden'!K58</f>
        <v/>
      </c>
      <c r="E58" s="192">
        <f>'Plan-Kunden'!I58</f>
        <v/>
      </c>
      <c r="F58" s="192">
        <f>'Plan-Kunden'!J58</f>
        <v/>
      </c>
      <c r="G58" s="219">
        <f>D58*'Plan-Annahmen'!$B$21</f>
        <v/>
      </c>
      <c r="H58" s="215">
        <f>E58*'Plan-Annahmen'!$B$14+F58*'Plan-Annahmen'!$B$15</f>
        <v/>
      </c>
      <c r="I58" s="215">
        <f>H58*('Plan-Annahmen'!$B$52+'Plan-Annahmen'!$B$53)</f>
        <v/>
      </c>
      <c r="J58" s="215">
        <f>E58*('Plan-Annahmen'!$B$14*'Plan-Annahmen'!$B$18+'Plan-Annahmen'!$B$19)+F58*('Plan-Annahmen'!$B$15*'Plan-Annahmen'!$B$18+'Plan-Annahmen'!$B$19)</f>
        <v/>
      </c>
      <c r="K58" s="215">
        <f>G58*'Plan-Annahmen'!$B$17/100</f>
        <v/>
      </c>
      <c r="L58" s="215">
        <f>'Plan-Kunden'!D58*'Plan-Annahmen'!$B$15*'Plan-Annahmen'!$B$50</f>
        <v/>
      </c>
      <c r="M58" s="215">
        <f>'Plan-Kosten'!AI$61</f>
        <v/>
      </c>
      <c r="N58" s="215">
        <f>IF(A58&gt;=$O$35,'Plan-Kosten'!$F$71,0)</f>
        <v/>
      </c>
      <c r="O58" s="215">
        <f>'Plan-Kosten'!AI$58</f>
        <v/>
      </c>
      <c r="P58" s="215">
        <f>IF(A58=$O$35,'Plan-Kosten'!$F$72,0)</f>
        <v/>
      </c>
      <c r="Q58" s="182">
        <f>I58+J58+K58+L58+M58+N58+O58+P58</f>
        <v/>
      </c>
      <c r="R58" s="153">
        <f>H58-Q58</f>
        <v/>
      </c>
      <c r="S58" s="215">
        <f>MAX(0,R58*'Plan-Annahmen'!$B$82)</f>
        <v/>
      </c>
      <c r="T58" s="182">
        <f>R58-S58</f>
        <v/>
      </c>
      <c r="U58" s="182">
        <f>U57+T58</f>
        <v/>
      </c>
      <c r="V58" s="215">
        <f>V57+'Plan-Kosten'!AI$59+IF(A58=$O$35,'Plan-Kosten'!$F$73,0)</f>
        <v/>
      </c>
      <c r="W58" s="153">
        <f>U58-V58</f>
        <v/>
      </c>
      <c r="X58" s="149">
        <f>IF(R58&gt;0,1,0)</f>
        <v/>
      </c>
      <c r="Y58" s="192">
        <f>'Plan-Kunden'!P58</f>
        <v/>
      </c>
      <c r="Z58" s="220">
        <f>'Plan-Kunden'!Q58</f>
        <v/>
      </c>
      <c r="AA58" s="220">
        <f>IF(D58&gt;='Plan-Phase B'!$C$22,1,0)</f>
        <v/>
      </c>
      <c r="AB58" s="220">
        <f>IF(D58&gt;='Plan-Phase B'!$D$22,1,0)</f>
        <v/>
      </c>
      <c r="AC58" s="220">
        <f>IF(D58&gt;='Plan-Phase B'!$E$22,1,0)</f>
        <v/>
      </c>
      <c r="AD58" s="149">
        <f>IF(AND(W58&gt;=0,A58&gt;$K$35),1,0)</f>
        <v/>
      </c>
      <c r="AE58" s="149">
        <f>IF(A58&gt;=$O$35,1,0)</f>
        <v/>
      </c>
    </row>
    <row r="59" ht="15" customHeight="1" s="116">
      <c r="A59" s="149" t="n">
        <v>23</v>
      </c>
      <c r="B59" s="187">
        <f>'Plan-Kunden'!B59</f>
        <v/>
      </c>
      <c r="C59" s="192">
        <f>'Plan-Kunden'!E59</f>
        <v/>
      </c>
      <c r="D59" s="192">
        <f>'Plan-Kunden'!K59</f>
        <v/>
      </c>
      <c r="E59" s="192">
        <f>'Plan-Kunden'!I59</f>
        <v/>
      </c>
      <c r="F59" s="192">
        <f>'Plan-Kunden'!J59</f>
        <v/>
      </c>
      <c r="G59" s="219">
        <f>D59*'Plan-Annahmen'!$B$21</f>
        <v/>
      </c>
      <c r="H59" s="215">
        <f>E59*'Plan-Annahmen'!$B$14+F59*'Plan-Annahmen'!$B$15</f>
        <v/>
      </c>
      <c r="I59" s="215">
        <f>H59*('Plan-Annahmen'!$B$52+'Plan-Annahmen'!$B$53)</f>
        <v/>
      </c>
      <c r="J59" s="215">
        <f>E59*('Plan-Annahmen'!$B$14*'Plan-Annahmen'!$B$18+'Plan-Annahmen'!$B$19)+F59*('Plan-Annahmen'!$B$15*'Plan-Annahmen'!$B$18+'Plan-Annahmen'!$B$19)</f>
        <v/>
      </c>
      <c r="K59" s="215">
        <f>G59*'Plan-Annahmen'!$B$17/100</f>
        <v/>
      </c>
      <c r="L59" s="215">
        <f>'Plan-Kunden'!D59*'Plan-Annahmen'!$B$15*'Plan-Annahmen'!$B$50</f>
        <v/>
      </c>
      <c r="M59" s="215">
        <f>'Plan-Kosten'!AJ$61</f>
        <v/>
      </c>
      <c r="N59" s="215">
        <f>IF(A59&gt;=$O$35,'Plan-Kosten'!$F$71,0)</f>
        <v/>
      </c>
      <c r="O59" s="215">
        <f>'Plan-Kosten'!AJ$58</f>
        <v/>
      </c>
      <c r="P59" s="215">
        <f>IF(A59=$O$35,'Plan-Kosten'!$F$72,0)</f>
        <v/>
      </c>
      <c r="Q59" s="182">
        <f>I59+J59+K59+L59+M59+N59+O59+P59</f>
        <v/>
      </c>
      <c r="R59" s="153">
        <f>H59-Q59</f>
        <v/>
      </c>
      <c r="S59" s="215">
        <f>MAX(0,R59*'Plan-Annahmen'!$B$82)</f>
        <v/>
      </c>
      <c r="T59" s="182">
        <f>R59-S59</f>
        <v/>
      </c>
      <c r="U59" s="182">
        <f>U58+T59</f>
        <v/>
      </c>
      <c r="V59" s="215">
        <f>V58+'Plan-Kosten'!AJ$59+IF(A59=$O$35,'Plan-Kosten'!$F$73,0)</f>
        <v/>
      </c>
      <c r="W59" s="153">
        <f>U59-V59</f>
        <v/>
      </c>
      <c r="X59" s="149">
        <f>IF(R59&gt;0,1,0)</f>
        <v/>
      </c>
      <c r="Y59" s="192">
        <f>'Plan-Kunden'!P59</f>
        <v/>
      </c>
      <c r="Z59" s="220">
        <f>'Plan-Kunden'!Q59</f>
        <v/>
      </c>
      <c r="AA59" s="220">
        <f>IF(D59&gt;='Plan-Phase B'!$C$22,1,0)</f>
        <v/>
      </c>
      <c r="AB59" s="220">
        <f>IF(D59&gt;='Plan-Phase B'!$D$22,1,0)</f>
        <v/>
      </c>
      <c r="AC59" s="220">
        <f>IF(D59&gt;='Plan-Phase B'!$E$22,1,0)</f>
        <v/>
      </c>
      <c r="AD59" s="149">
        <f>IF(AND(W59&gt;=0,A59&gt;$K$35),1,0)</f>
        <v/>
      </c>
      <c r="AE59" s="149">
        <f>IF(A59&gt;=$O$35,1,0)</f>
        <v/>
      </c>
    </row>
    <row r="60" ht="15" customHeight="1" s="116">
      <c r="A60" s="149" t="n">
        <v>24</v>
      </c>
      <c r="B60" s="187">
        <f>'Plan-Kunden'!B60</f>
        <v/>
      </c>
      <c r="C60" s="192">
        <f>'Plan-Kunden'!E60</f>
        <v/>
      </c>
      <c r="D60" s="192">
        <f>'Plan-Kunden'!K60</f>
        <v/>
      </c>
      <c r="E60" s="192">
        <f>'Plan-Kunden'!I60</f>
        <v/>
      </c>
      <c r="F60" s="192">
        <f>'Plan-Kunden'!J60</f>
        <v/>
      </c>
      <c r="G60" s="219">
        <f>D60*'Plan-Annahmen'!$B$21</f>
        <v/>
      </c>
      <c r="H60" s="215">
        <f>E60*'Plan-Annahmen'!$B$14+F60*'Plan-Annahmen'!$B$15</f>
        <v/>
      </c>
      <c r="I60" s="215">
        <f>H60*('Plan-Annahmen'!$B$52+'Plan-Annahmen'!$B$53)</f>
        <v/>
      </c>
      <c r="J60" s="215">
        <f>E60*('Plan-Annahmen'!$B$14*'Plan-Annahmen'!$B$18+'Plan-Annahmen'!$B$19)+F60*('Plan-Annahmen'!$B$15*'Plan-Annahmen'!$B$18+'Plan-Annahmen'!$B$19)</f>
        <v/>
      </c>
      <c r="K60" s="215">
        <f>G60*'Plan-Annahmen'!$B$17/100</f>
        <v/>
      </c>
      <c r="L60" s="215">
        <f>'Plan-Kunden'!D60*'Plan-Annahmen'!$B$15*'Plan-Annahmen'!$B$50</f>
        <v/>
      </c>
      <c r="M60" s="215">
        <f>'Plan-Kosten'!AK$61</f>
        <v/>
      </c>
      <c r="N60" s="215">
        <f>IF(A60&gt;=$O$35,'Plan-Kosten'!$F$71,0)</f>
        <v/>
      </c>
      <c r="O60" s="215">
        <f>'Plan-Kosten'!AK$58</f>
        <v/>
      </c>
      <c r="P60" s="215">
        <f>IF(A60=$O$35,'Plan-Kosten'!$F$72,0)</f>
        <v/>
      </c>
      <c r="Q60" s="182">
        <f>I60+J60+K60+L60+M60+N60+O60+P60</f>
        <v/>
      </c>
      <c r="R60" s="153">
        <f>H60-Q60</f>
        <v/>
      </c>
      <c r="S60" s="215">
        <f>MAX(0,R60*'Plan-Annahmen'!$B$82)</f>
        <v/>
      </c>
      <c r="T60" s="182">
        <f>R60-S60</f>
        <v/>
      </c>
      <c r="U60" s="182">
        <f>U59+T60</f>
        <v/>
      </c>
      <c r="V60" s="215">
        <f>V59+'Plan-Kosten'!AK$59+IF(A60=$O$35,'Plan-Kosten'!$F$73,0)</f>
        <v/>
      </c>
      <c r="W60" s="153">
        <f>U60-V60</f>
        <v/>
      </c>
      <c r="X60" s="149">
        <f>IF(R60&gt;0,1,0)</f>
        <v/>
      </c>
      <c r="Y60" s="192">
        <f>'Plan-Kunden'!P60</f>
        <v/>
      </c>
      <c r="Z60" s="220">
        <f>'Plan-Kunden'!Q60</f>
        <v/>
      </c>
      <c r="AA60" s="220">
        <f>IF(D60&gt;='Plan-Phase B'!$C$22,1,0)</f>
        <v/>
      </c>
      <c r="AB60" s="220">
        <f>IF(D60&gt;='Plan-Phase B'!$D$22,1,0)</f>
        <v/>
      </c>
      <c r="AC60" s="220">
        <f>IF(D60&gt;='Plan-Phase B'!$E$22,1,0)</f>
        <v/>
      </c>
      <c r="AD60" s="149">
        <f>IF(AND(W60&gt;=0,A60&gt;$K$35),1,0)</f>
        <v/>
      </c>
      <c r="AE60" s="149">
        <f>IF(A60&gt;=$O$35,1,0)</f>
        <v/>
      </c>
    </row>
    <row r="61" ht="15" customHeight="1" s="116">
      <c r="A61" s="129" t="inlineStr">
        <is>
          <t>Σ 24 Monate</t>
        </is>
      </c>
      <c r="B61" s="130" t="n"/>
      <c r="C61" s="130" t="n"/>
      <c r="D61" s="130" t="n"/>
      <c r="E61" s="130" t="n"/>
      <c r="F61" s="130" t="n"/>
      <c r="G61" s="130" t="n"/>
      <c r="H61" s="132">
        <f>SUM(H37:H60)</f>
        <v/>
      </c>
      <c r="I61" s="132">
        <f>SUM(I37:I60)</f>
        <v/>
      </c>
      <c r="J61" s="132">
        <f>SUM(J37:J60)</f>
        <v/>
      </c>
      <c r="K61" s="132">
        <f>SUM(K37:K60)</f>
        <v/>
      </c>
      <c r="L61" s="132">
        <f>SUM(L37:L60)</f>
        <v/>
      </c>
      <c r="M61" s="132">
        <f>SUM(M37:M60)</f>
        <v/>
      </c>
      <c r="N61" s="132">
        <f>SUM(N37:N60)</f>
        <v/>
      </c>
      <c r="O61" s="132">
        <f>SUM(O37:O60)</f>
        <v/>
      </c>
      <c r="P61" s="132">
        <f>SUM(P37:P60)</f>
        <v/>
      </c>
      <c r="Q61" s="132">
        <f>SUM(Q37:Q60)</f>
        <v/>
      </c>
      <c r="R61" s="132">
        <f>SUM(R37:R60)</f>
        <v/>
      </c>
      <c r="S61" s="132">
        <f>SUM(S37:S60)</f>
        <v/>
      </c>
      <c r="T61" s="132">
        <f>SUM(T37:T60)</f>
        <v/>
      </c>
      <c r="U61" s="130" t="n"/>
      <c r="V61" s="130" t="n"/>
      <c r="W61" s="130" t="n"/>
      <c r="X61" s="130" t="n"/>
      <c r="Y61" s="130" t="n"/>
      <c r="Z61" s="130" t="n"/>
      <c r="AA61" s="130" t="n"/>
      <c r="AB61" s="130" t="n"/>
      <c r="AC61" s="130" t="n"/>
      <c r="AD61" s="130" t="n"/>
      <c r="AE61" s="130" t="n"/>
    </row>
    <row r="64" ht="15" customHeight="1" s="116">
      <c r="A64" s="133" t="inlineStr">
        <is>
          <t>Szenario: Optimistisch</t>
        </is>
      </c>
      <c r="H64" s="118" t="inlineStr">
        <is>
          <t>Liquiditäts-Tiefpunkt in Monat:</t>
        </is>
      </c>
      <c r="K64" s="133">
        <f>MATCH(MIN(W66:W89),W66:W89,0)</f>
        <v/>
      </c>
      <c r="M64" s="118" t="inlineStr">
        <is>
          <t>UG-Gründung in Monat:</t>
        </is>
      </c>
      <c r="O64" s="218">
        <f>'Plan-Kunden'!$S$90</f>
        <v/>
      </c>
    </row>
    <row r="65" ht="39" customHeight="1" s="116">
      <c r="A65" s="119" t="inlineStr">
        <is>
          <t>Monat</t>
        </is>
      </c>
      <c r="B65" s="119" t="inlineStr">
        <is>
          <t>Kalendermonat</t>
        </is>
      </c>
      <c r="C65" s="119" t="inlineStr">
        <is>
          <t>Neukunden</t>
        </is>
      </c>
      <c r="D65" s="119" t="inlineStr">
        <is>
          <t>Kunden aktiv</t>
        </is>
      </c>
      <c r="E65" s="119" t="inlineStr">
        <is>
          <t>Kunden @29€</t>
        </is>
      </c>
      <c r="F65" s="119" t="inlineStr">
        <is>
          <t>Kunden @49€</t>
        </is>
      </c>
      <c r="G65" s="119" t="inlineStr">
        <is>
          <t>Angebote</t>
        </is>
      </c>
      <c r="H65" s="119" t="inlineStr">
        <is>
          <t>Umsatz netto</t>
        </is>
      </c>
      <c r="I65" s="119" t="inlineStr">
        <is>
          <t>Ausfall + Kulanz</t>
        </is>
      </c>
      <c r="J65" s="119" t="inlineStr">
        <is>
          <t>Stripe-Gebühren</t>
        </is>
      </c>
      <c r="K65" s="119" t="inlineStr">
        <is>
          <t>KI-Kosten</t>
        </is>
      </c>
      <c r="L65" s="119" t="inlineStr">
        <is>
          <t>Empfehlungs-Anreiz</t>
        </is>
      </c>
      <c r="M65" s="119" t="inlineStr">
        <is>
          <t>Laufende Kosten Basis</t>
        </is>
      </c>
      <c r="N65" s="119" t="inlineStr">
        <is>
          <t>UG-Mehrkosten laufend</t>
        </is>
      </c>
      <c r="O65" s="119" t="inlineStr">
        <is>
          <t>Einmalkosten Basis</t>
        </is>
      </c>
      <c r="P65" s="119" t="inlineStr">
        <is>
          <t>UG-Einmalkosten</t>
        </is>
      </c>
      <c r="Q65" s="119" t="inlineStr">
        <is>
          <t>Kosten gesamt</t>
        </is>
      </c>
      <c r="R65" s="119" t="inlineStr">
        <is>
          <t>Ergebnis vor Steuer</t>
        </is>
      </c>
      <c r="S65" s="119" t="inlineStr">
        <is>
          <t>Steuerrücklage</t>
        </is>
      </c>
      <c r="T65" s="119" t="inlineStr">
        <is>
          <t>Cashflow nach Steuer</t>
        </is>
      </c>
      <c r="U65" s="119" t="inlineStr">
        <is>
          <t>kumuliert</t>
        </is>
      </c>
      <c r="V65" s="119" t="inlineStr">
        <is>
          <t>Reserven kumuliert</t>
        </is>
      </c>
      <c r="W65" s="119" t="inlineStr">
        <is>
          <t>Liquidität</t>
        </is>
      </c>
      <c r="X65" s="119" t="inlineStr">
        <is>
          <t>Ergebnis &gt; 0?</t>
        </is>
      </c>
      <c r="Y65" s="119" t="inlineStr">
        <is>
          <t>Std. gesamt</t>
        </is>
      </c>
      <c r="Z65" s="119" t="inlineStr">
        <is>
          <t>über Dauerlinie?</t>
        </is>
      </c>
      <c r="AA65" s="119" t="inlineStr">
        <is>
          <t>Kunden ≥ B1 (30 Std.)?</t>
        </is>
      </c>
      <c r="AB65" s="119" t="inlineStr">
        <is>
          <t>Kunden ≥ B1 (25 Std.)?</t>
        </is>
      </c>
      <c r="AC65" s="119" t="inlineStr">
        <is>
          <t>Kunden ≥ B2?</t>
        </is>
      </c>
      <c r="AD65" s="119" t="inlineStr">
        <is>
          <t>Liquidität ≥ 0 nach Tiefpunkt?</t>
        </is>
      </c>
      <c r="AE65" s="119" t="inlineStr">
        <is>
          <t>UG aktiv?</t>
        </is>
      </c>
    </row>
    <row r="66" ht="15" customHeight="1" s="116">
      <c r="A66" s="149" t="n">
        <v>1</v>
      </c>
      <c r="B66" s="187">
        <f>'Plan-Kunden'!B66</f>
        <v/>
      </c>
      <c r="C66" s="192">
        <f>'Plan-Kunden'!E66</f>
        <v/>
      </c>
      <c r="D66" s="192">
        <f>'Plan-Kunden'!K66</f>
        <v/>
      </c>
      <c r="E66" s="192">
        <f>'Plan-Kunden'!I66</f>
        <v/>
      </c>
      <c r="F66" s="192">
        <f>'Plan-Kunden'!J66</f>
        <v/>
      </c>
      <c r="G66" s="219">
        <f>D66*'Plan-Annahmen'!$B$21</f>
        <v/>
      </c>
      <c r="H66" s="215">
        <f>E66*'Plan-Annahmen'!$B$14+F66*'Plan-Annahmen'!$B$15</f>
        <v/>
      </c>
      <c r="I66" s="215">
        <f>H66*('Plan-Annahmen'!$B$52+'Plan-Annahmen'!$B$53)</f>
        <v/>
      </c>
      <c r="J66" s="215">
        <f>E66*('Plan-Annahmen'!$B$14*'Plan-Annahmen'!$B$18+'Plan-Annahmen'!$B$19)+F66*('Plan-Annahmen'!$B$15*'Plan-Annahmen'!$B$18+'Plan-Annahmen'!$B$19)</f>
        <v/>
      </c>
      <c r="K66" s="215">
        <f>G66*'Plan-Annahmen'!$B$17/100</f>
        <v/>
      </c>
      <c r="L66" s="215">
        <f>'Plan-Kunden'!D66*'Plan-Annahmen'!$B$15*'Plan-Annahmen'!$B$50</f>
        <v/>
      </c>
      <c r="M66" s="215">
        <f>'Plan-Kosten'!N$61</f>
        <v/>
      </c>
      <c r="N66" s="215">
        <f>IF(A66&gt;=$O$64,'Plan-Kosten'!$F$71,0)</f>
        <v/>
      </c>
      <c r="O66" s="215">
        <f>'Plan-Kosten'!N$58</f>
        <v/>
      </c>
      <c r="P66" s="215">
        <f>IF(A66=$O$64,'Plan-Kosten'!$F$72,0)</f>
        <v/>
      </c>
      <c r="Q66" s="182">
        <f>I66+J66+K66+L66+M66+N66+O66+P66</f>
        <v/>
      </c>
      <c r="R66" s="153">
        <f>H66-Q66</f>
        <v/>
      </c>
      <c r="S66" s="215">
        <f>MAX(0,R66*'Plan-Annahmen'!$B$82)</f>
        <v/>
      </c>
      <c r="T66" s="182">
        <f>R66-S66</f>
        <v/>
      </c>
      <c r="U66" s="182">
        <f>T66</f>
        <v/>
      </c>
      <c r="V66" s="215">
        <f>'Plan-Kosten'!N$59+IF(A66=$O$64,'Plan-Kosten'!$F$73,0)</f>
        <v/>
      </c>
      <c r="W66" s="153">
        <f>U66-V66</f>
        <v/>
      </c>
      <c r="X66" s="149">
        <f>IF(R66&gt;0,1,0)</f>
        <v/>
      </c>
      <c r="Y66" s="192">
        <f>'Plan-Kunden'!P66</f>
        <v/>
      </c>
      <c r="Z66" s="220">
        <f>'Plan-Kunden'!Q66</f>
        <v/>
      </c>
      <c r="AA66" s="220">
        <f>IF(D66&gt;='Plan-Phase B'!$C$22,1,0)</f>
        <v/>
      </c>
      <c r="AB66" s="220">
        <f>IF(D66&gt;='Plan-Phase B'!$D$22,1,0)</f>
        <v/>
      </c>
      <c r="AC66" s="220">
        <f>IF(D66&gt;='Plan-Phase B'!$E$22,1,0)</f>
        <v/>
      </c>
      <c r="AD66" s="149">
        <f>IF(AND(W66&gt;=0,A66&gt;$K$64),1,0)</f>
        <v/>
      </c>
      <c r="AE66" s="149">
        <f>IF(A66&gt;=$O$64,1,0)</f>
        <v/>
      </c>
    </row>
    <row r="67" ht="15" customHeight="1" s="116">
      <c r="A67" s="149" t="n">
        <v>2</v>
      </c>
      <c r="B67" s="187">
        <f>'Plan-Kunden'!B67</f>
        <v/>
      </c>
      <c r="C67" s="192">
        <f>'Plan-Kunden'!E67</f>
        <v/>
      </c>
      <c r="D67" s="192">
        <f>'Plan-Kunden'!K67</f>
        <v/>
      </c>
      <c r="E67" s="192">
        <f>'Plan-Kunden'!I67</f>
        <v/>
      </c>
      <c r="F67" s="192">
        <f>'Plan-Kunden'!J67</f>
        <v/>
      </c>
      <c r="G67" s="219">
        <f>D67*'Plan-Annahmen'!$B$21</f>
        <v/>
      </c>
      <c r="H67" s="215">
        <f>E67*'Plan-Annahmen'!$B$14+F67*'Plan-Annahmen'!$B$15</f>
        <v/>
      </c>
      <c r="I67" s="215">
        <f>H67*('Plan-Annahmen'!$B$52+'Plan-Annahmen'!$B$53)</f>
        <v/>
      </c>
      <c r="J67" s="215">
        <f>E67*('Plan-Annahmen'!$B$14*'Plan-Annahmen'!$B$18+'Plan-Annahmen'!$B$19)+F67*('Plan-Annahmen'!$B$15*'Plan-Annahmen'!$B$18+'Plan-Annahmen'!$B$19)</f>
        <v/>
      </c>
      <c r="K67" s="215">
        <f>G67*'Plan-Annahmen'!$B$17/100</f>
        <v/>
      </c>
      <c r="L67" s="215">
        <f>'Plan-Kunden'!D67*'Plan-Annahmen'!$B$15*'Plan-Annahmen'!$B$50</f>
        <v/>
      </c>
      <c r="M67" s="215">
        <f>'Plan-Kosten'!O$61</f>
        <v/>
      </c>
      <c r="N67" s="215">
        <f>IF(A67&gt;=$O$64,'Plan-Kosten'!$F$71,0)</f>
        <v/>
      </c>
      <c r="O67" s="215">
        <f>'Plan-Kosten'!O$58</f>
        <v/>
      </c>
      <c r="P67" s="215">
        <f>IF(A67=$O$64,'Plan-Kosten'!$F$72,0)</f>
        <v/>
      </c>
      <c r="Q67" s="182">
        <f>I67+J67+K67+L67+M67+N67+O67+P67</f>
        <v/>
      </c>
      <c r="R67" s="153">
        <f>H67-Q67</f>
        <v/>
      </c>
      <c r="S67" s="215">
        <f>MAX(0,R67*'Plan-Annahmen'!$B$82)</f>
        <v/>
      </c>
      <c r="T67" s="182">
        <f>R67-S67</f>
        <v/>
      </c>
      <c r="U67" s="182">
        <f>U66+T67</f>
        <v/>
      </c>
      <c r="V67" s="215">
        <f>V66+'Plan-Kosten'!O$59+IF(A67=$O$64,'Plan-Kosten'!$F$73,0)</f>
        <v/>
      </c>
      <c r="W67" s="153">
        <f>U67-V67</f>
        <v/>
      </c>
      <c r="X67" s="149">
        <f>IF(R67&gt;0,1,0)</f>
        <v/>
      </c>
      <c r="Y67" s="192">
        <f>'Plan-Kunden'!P67</f>
        <v/>
      </c>
      <c r="Z67" s="220">
        <f>'Plan-Kunden'!Q67</f>
        <v/>
      </c>
      <c r="AA67" s="220">
        <f>IF(D67&gt;='Plan-Phase B'!$C$22,1,0)</f>
        <v/>
      </c>
      <c r="AB67" s="220">
        <f>IF(D67&gt;='Plan-Phase B'!$D$22,1,0)</f>
        <v/>
      </c>
      <c r="AC67" s="220">
        <f>IF(D67&gt;='Plan-Phase B'!$E$22,1,0)</f>
        <v/>
      </c>
      <c r="AD67" s="149">
        <f>IF(AND(W67&gt;=0,A67&gt;$K$64),1,0)</f>
        <v/>
      </c>
      <c r="AE67" s="149">
        <f>IF(A67&gt;=$O$64,1,0)</f>
        <v/>
      </c>
    </row>
    <row r="68" ht="15" customHeight="1" s="116">
      <c r="A68" s="149" t="n">
        <v>3</v>
      </c>
      <c r="B68" s="187">
        <f>'Plan-Kunden'!B68</f>
        <v/>
      </c>
      <c r="C68" s="192">
        <f>'Plan-Kunden'!E68</f>
        <v/>
      </c>
      <c r="D68" s="192">
        <f>'Plan-Kunden'!K68</f>
        <v/>
      </c>
      <c r="E68" s="192">
        <f>'Plan-Kunden'!I68</f>
        <v/>
      </c>
      <c r="F68" s="192">
        <f>'Plan-Kunden'!J68</f>
        <v/>
      </c>
      <c r="G68" s="219">
        <f>D68*'Plan-Annahmen'!$B$21</f>
        <v/>
      </c>
      <c r="H68" s="215">
        <f>E68*'Plan-Annahmen'!$B$14+F68*'Plan-Annahmen'!$B$15</f>
        <v/>
      </c>
      <c r="I68" s="215">
        <f>H68*('Plan-Annahmen'!$B$52+'Plan-Annahmen'!$B$53)</f>
        <v/>
      </c>
      <c r="J68" s="215">
        <f>E68*('Plan-Annahmen'!$B$14*'Plan-Annahmen'!$B$18+'Plan-Annahmen'!$B$19)+F68*('Plan-Annahmen'!$B$15*'Plan-Annahmen'!$B$18+'Plan-Annahmen'!$B$19)</f>
        <v/>
      </c>
      <c r="K68" s="215">
        <f>G68*'Plan-Annahmen'!$B$17/100</f>
        <v/>
      </c>
      <c r="L68" s="215">
        <f>'Plan-Kunden'!D68*'Plan-Annahmen'!$B$15*'Plan-Annahmen'!$B$50</f>
        <v/>
      </c>
      <c r="M68" s="215">
        <f>'Plan-Kosten'!P$61</f>
        <v/>
      </c>
      <c r="N68" s="215">
        <f>IF(A68&gt;=$O$64,'Plan-Kosten'!$F$71,0)</f>
        <v/>
      </c>
      <c r="O68" s="215">
        <f>'Plan-Kosten'!P$58</f>
        <v/>
      </c>
      <c r="P68" s="215">
        <f>IF(A68=$O$64,'Plan-Kosten'!$F$72,0)</f>
        <v/>
      </c>
      <c r="Q68" s="182">
        <f>I68+J68+K68+L68+M68+N68+O68+P68</f>
        <v/>
      </c>
      <c r="R68" s="153">
        <f>H68-Q68</f>
        <v/>
      </c>
      <c r="S68" s="215">
        <f>MAX(0,R68*'Plan-Annahmen'!$B$82)</f>
        <v/>
      </c>
      <c r="T68" s="182">
        <f>R68-S68</f>
        <v/>
      </c>
      <c r="U68" s="182">
        <f>U67+T68</f>
        <v/>
      </c>
      <c r="V68" s="215">
        <f>V67+'Plan-Kosten'!P$59+IF(A68=$O$64,'Plan-Kosten'!$F$73,0)</f>
        <v/>
      </c>
      <c r="W68" s="153">
        <f>U68-V68</f>
        <v/>
      </c>
      <c r="X68" s="149">
        <f>IF(R68&gt;0,1,0)</f>
        <v/>
      </c>
      <c r="Y68" s="192">
        <f>'Plan-Kunden'!P68</f>
        <v/>
      </c>
      <c r="Z68" s="220">
        <f>'Plan-Kunden'!Q68</f>
        <v/>
      </c>
      <c r="AA68" s="220">
        <f>IF(D68&gt;='Plan-Phase B'!$C$22,1,0)</f>
        <v/>
      </c>
      <c r="AB68" s="220">
        <f>IF(D68&gt;='Plan-Phase B'!$D$22,1,0)</f>
        <v/>
      </c>
      <c r="AC68" s="220">
        <f>IF(D68&gt;='Plan-Phase B'!$E$22,1,0)</f>
        <v/>
      </c>
      <c r="AD68" s="149">
        <f>IF(AND(W68&gt;=0,A68&gt;$K$64),1,0)</f>
        <v/>
      </c>
      <c r="AE68" s="149">
        <f>IF(A68&gt;=$O$64,1,0)</f>
        <v/>
      </c>
    </row>
    <row r="69" ht="15" customHeight="1" s="116">
      <c r="A69" s="149" t="n">
        <v>4</v>
      </c>
      <c r="B69" s="187">
        <f>'Plan-Kunden'!B69</f>
        <v/>
      </c>
      <c r="C69" s="192">
        <f>'Plan-Kunden'!E69</f>
        <v/>
      </c>
      <c r="D69" s="192">
        <f>'Plan-Kunden'!K69</f>
        <v/>
      </c>
      <c r="E69" s="192">
        <f>'Plan-Kunden'!I69</f>
        <v/>
      </c>
      <c r="F69" s="192">
        <f>'Plan-Kunden'!J69</f>
        <v/>
      </c>
      <c r="G69" s="219">
        <f>D69*'Plan-Annahmen'!$B$21</f>
        <v/>
      </c>
      <c r="H69" s="215">
        <f>E69*'Plan-Annahmen'!$B$14+F69*'Plan-Annahmen'!$B$15</f>
        <v/>
      </c>
      <c r="I69" s="215">
        <f>H69*('Plan-Annahmen'!$B$52+'Plan-Annahmen'!$B$53)</f>
        <v/>
      </c>
      <c r="J69" s="215">
        <f>E69*('Plan-Annahmen'!$B$14*'Plan-Annahmen'!$B$18+'Plan-Annahmen'!$B$19)+F69*('Plan-Annahmen'!$B$15*'Plan-Annahmen'!$B$18+'Plan-Annahmen'!$B$19)</f>
        <v/>
      </c>
      <c r="K69" s="215">
        <f>G69*'Plan-Annahmen'!$B$17/100</f>
        <v/>
      </c>
      <c r="L69" s="215">
        <f>'Plan-Kunden'!D69*'Plan-Annahmen'!$B$15*'Plan-Annahmen'!$B$50</f>
        <v/>
      </c>
      <c r="M69" s="215">
        <f>'Plan-Kosten'!Q$61</f>
        <v/>
      </c>
      <c r="N69" s="215">
        <f>IF(A69&gt;=$O$64,'Plan-Kosten'!$F$71,0)</f>
        <v/>
      </c>
      <c r="O69" s="215">
        <f>'Plan-Kosten'!Q$58</f>
        <v/>
      </c>
      <c r="P69" s="215">
        <f>IF(A69=$O$64,'Plan-Kosten'!$F$72,0)</f>
        <v/>
      </c>
      <c r="Q69" s="182">
        <f>I69+J69+K69+L69+M69+N69+O69+P69</f>
        <v/>
      </c>
      <c r="R69" s="153">
        <f>H69-Q69</f>
        <v/>
      </c>
      <c r="S69" s="215">
        <f>MAX(0,R69*'Plan-Annahmen'!$B$82)</f>
        <v/>
      </c>
      <c r="T69" s="182">
        <f>R69-S69</f>
        <v/>
      </c>
      <c r="U69" s="182">
        <f>U68+T69</f>
        <v/>
      </c>
      <c r="V69" s="215">
        <f>V68+'Plan-Kosten'!Q$59+IF(A69=$O$64,'Plan-Kosten'!$F$73,0)</f>
        <v/>
      </c>
      <c r="W69" s="153">
        <f>U69-V69</f>
        <v/>
      </c>
      <c r="X69" s="149">
        <f>IF(R69&gt;0,1,0)</f>
        <v/>
      </c>
      <c r="Y69" s="192">
        <f>'Plan-Kunden'!P69</f>
        <v/>
      </c>
      <c r="Z69" s="220">
        <f>'Plan-Kunden'!Q69</f>
        <v/>
      </c>
      <c r="AA69" s="220">
        <f>IF(D69&gt;='Plan-Phase B'!$C$22,1,0)</f>
        <v/>
      </c>
      <c r="AB69" s="220">
        <f>IF(D69&gt;='Plan-Phase B'!$D$22,1,0)</f>
        <v/>
      </c>
      <c r="AC69" s="220">
        <f>IF(D69&gt;='Plan-Phase B'!$E$22,1,0)</f>
        <v/>
      </c>
      <c r="AD69" s="149">
        <f>IF(AND(W69&gt;=0,A69&gt;$K$64),1,0)</f>
        <v/>
      </c>
      <c r="AE69" s="149">
        <f>IF(A69&gt;=$O$64,1,0)</f>
        <v/>
      </c>
    </row>
    <row r="70" ht="15" customHeight="1" s="116">
      <c r="A70" s="149" t="n">
        <v>5</v>
      </c>
      <c r="B70" s="187">
        <f>'Plan-Kunden'!B70</f>
        <v/>
      </c>
      <c r="C70" s="192">
        <f>'Plan-Kunden'!E70</f>
        <v/>
      </c>
      <c r="D70" s="192">
        <f>'Plan-Kunden'!K70</f>
        <v/>
      </c>
      <c r="E70" s="192">
        <f>'Plan-Kunden'!I70</f>
        <v/>
      </c>
      <c r="F70" s="192">
        <f>'Plan-Kunden'!J70</f>
        <v/>
      </c>
      <c r="G70" s="219">
        <f>D70*'Plan-Annahmen'!$B$21</f>
        <v/>
      </c>
      <c r="H70" s="215">
        <f>E70*'Plan-Annahmen'!$B$14+F70*'Plan-Annahmen'!$B$15</f>
        <v/>
      </c>
      <c r="I70" s="215">
        <f>H70*('Plan-Annahmen'!$B$52+'Plan-Annahmen'!$B$53)</f>
        <v/>
      </c>
      <c r="J70" s="215">
        <f>E70*('Plan-Annahmen'!$B$14*'Plan-Annahmen'!$B$18+'Plan-Annahmen'!$B$19)+F70*('Plan-Annahmen'!$B$15*'Plan-Annahmen'!$B$18+'Plan-Annahmen'!$B$19)</f>
        <v/>
      </c>
      <c r="K70" s="215">
        <f>G70*'Plan-Annahmen'!$B$17/100</f>
        <v/>
      </c>
      <c r="L70" s="215">
        <f>'Plan-Kunden'!D70*'Plan-Annahmen'!$B$15*'Plan-Annahmen'!$B$50</f>
        <v/>
      </c>
      <c r="M70" s="215">
        <f>'Plan-Kosten'!R$61</f>
        <v/>
      </c>
      <c r="N70" s="215">
        <f>IF(A70&gt;=$O$64,'Plan-Kosten'!$F$71,0)</f>
        <v/>
      </c>
      <c r="O70" s="215">
        <f>'Plan-Kosten'!R$58</f>
        <v/>
      </c>
      <c r="P70" s="215">
        <f>IF(A70=$O$64,'Plan-Kosten'!$F$72,0)</f>
        <v/>
      </c>
      <c r="Q70" s="182">
        <f>I70+J70+K70+L70+M70+N70+O70+P70</f>
        <v/>
      </c>
      <c r="R70" s="153">
        <f>H70-Q70</f>
        <v/>
      </c>
      <c r="S70" s="215">
        <f>MAX(0,R70*'Plan-Annahmen'!$B$82)</f>
        <v/>
      </c>
      <c r="T70" s="182">
        <f>R70-S70</f>
        <v/>
      </c>
      <c r="U70" s="182">
        <f>U69+T70</f>
        <v/>
      </c>
      <c r="V70" s="215">
        <f>V69+'Plan-Kosten'!R$59+IF(A70=$O$64,'Plan-Kosten'!$F$73,0)</f>
        <v/>
      </c>
      <c r="W70" s="153">
        <f>U70-V70</f>
        <v/>
      </c>
      <c r="X70" s="149">
        <f>IF(R70&gt;0,1,0)</f>
        <v/>
      </c>
      <c r="Y70" s="192">
        <f>'Plan-Kunden'!P70</f>
        <v/>
      </c>
      <c r="Z70" s="220">
        <f>'Plan-Kunden'!Q70</f>
        <v/>
      </c>
      <c r="AA70" s="220">
        <f>IF(D70&gt;='Plan-Phase B'!$C$22,1,0)</f>
        <v/>
      </c>
      <c r="AB70" s="220">
        <f>IF(D70&gt;='Plan-Phase B'!$D$22,1,0)</f>
        <v/>
      </c>
      <c r="AC70" s="220">
        <f>IF(D70&gt;='Plan-Phase B'!$E$22,1,0)</f>
        <v/>
      </c>
      <c r="AD70" s="149">
        <f>IF(AND(W70&gt;=0,A70&gt;$K$64),1,0)</f>
        <v/>
      </c>
      <c r="AE70" s="149">
        <f>IF(A70&gt;=$O$64,1,0)</f>
        <v/>
      </c>
    </row>
    <row r="71" ht="15" customHeight="1" s="116">
      <c r="A71" s="149" t="n">
        <v>6</v>
      </c>
      <c r="B71" s="187">
        <f>'Plan-Kunden'!B71</f>
        <v/>
      </c>
      <c r="C71" s="192">
        <f>'Plan-Kunden'!E71</f>
        <v/>
      </c>
      <c r="D71" s="192">
        <f>'Plan-Kunden'!K71</f>
        <v/>
      </c>
      <c r="E71" s="192">
        <f>'Plan-Kunden'!I71</f>
        <v/>
      </c>
      <c r="F71" s="192">
        <f>'Plan-Kunden'!J71</f>
        <v/>
      </c>
      <c r="G71" s="219">
        <f>D71*'Plan-Annahmen'!$B$21</f>
        <v/>
      </c>
      <c r="H71" s="215">
        <f>E71*'Plan-Annahmen'!$B$14+F71*'Plan-Annahmen'!$B$15</f>
        <v/>
      </c>
      <c r="I71" s="215">
        <f>H71*('Plan-Annahmen'!$B$52+'Plan-Annahmen'!$B$53)</f>
        <v/>
      </c>
      <c r="J71" s="215">
        <f>E71*('Plan-Annahmen'!$B$14*'Plan-Annahmen'!$B$18+'Plan-Annahmen'!$B$19)+F71*('Plan-Annahmen'!$B$15*'Plan-Annahmen'!$B$18+'Plan-Annahmen'!$B$19)</f>
        <v/>
      </c>
      <c r="K71" s="215">
        <f>G71*'Plan-Annahmen'!$B$17/100</f>
        <v/>
      </c>
      <c r="L71" s="215">
        <f>'Plan-Kunden'!D71*'Plan-Annahmen'!$B$15*'Plan-Annahmen'!$B$50</f>
        <v/>
      </c>
      <c r="M71" s="215">
        <f>'Plan-Kosten'!S$61</f>
        <v/>
      </c>
      <c r="N71" s="215">
        <f>IF(A71&gt;=$O$64,'Plan-Kosten'!$F$71,0)</f>
        <v/>
      </c>
      <c r="O71" s="215">
        <f>'Plan-Kosten'!S$58</f>
        <v/>
      </c>
      <c r="P71" s="215">
        <f>IF(A71=$O$64,'Plan-Kosten'!$F$72,0)</f>
        <v/>
      </c>
      <c r="Q71" s="182">
        <f>I71+J71+K71+L71+M71+N71+O71+P71</f>
        <v/>
      </c>
      <c r="R71" s="153">
        <f>H71-Q71</f>
        <v/>
      </c>
      <c r="S71" s="215">
        <f>MAX(0,R71*'Plan-Annahmen'!$B$82)</f>
        <v/>
      </c>
      <c r="T71" s="182">
        <f>R71-S71</f>
        <v/>
      </c>
      <c r="U71" s="182">
        <f>U70+T71</f>
        <v/>
      </c>
      <c r="V71" s="215">
        <f>V70+'Plan-Kosten'!S$59+IF(A71=$O$64,'Plan-Kosten'!$F$73,0)</f>
        <v/>
      </c>
      <c r="W71" s="153">
        <f>U71-V71</f>
        <v/>
      </c>
      <c r="X71" s="149">
        <f>IF(R71&gt;0,1,0)</f>
        <v/>
      </c>
      <c r="Y71" s="192">
        <f>'Plan-Kunden'!P71</f>
        <v/>
      </c>
      <c r="Z71" s="220">
        <f>'Plan-Kunden'!Q71</f>
        <v/>
      </c>
      <c r="AA71" s="220">
        <f>IF(D71&gt;='Plan-Phase B'!$C$22,1,0)</f>
        <v/>
      </c>
      <c r="AB71" s="220">
        <f>IF(D71&gt;='Plan-Phase B'!$D$22,1,0)</f>
        <v/>
      </c>
      <c r="AC71" s="220">
        <f>IF(D71&gt;='Plan-Phase B'!$E$22,1,0)</f>
        <v/>
      </c>
      <c r="AD71" s="149">
        <f>IF(AND(W71&gt;=0,A71&gt;$K$64),1,0)</f>
        <v/>
      </c>
      <c r="AE71" s="149">
        <f>IF(A71&gt;=$O$64,1,0)</f>
        <v/>
      </c>
    </row>
    <row r="72" ht="15" customHeight="1" s="116">
      <c r="A72" s="149" t="n">
        <v>7</v>
      </c>
      <c r="B72" s="187">
        <f>'Plan-Kunden'!B72</f>
        <v/>
      </c>
      <c r="C72" s="192">
        <f>'Plan-Kunden'!E72</f>
        <v/>
      </c>
      <c r="D72" s="192">
        <f>'Plan-Kunden'!K72</f>
        <v/>
      </c>
      <c r="E72" s="192">
        <f>'Plan-Kunden'!I72</f>
        <v/>
      </c>
      <c r="F72" s="192">
        <f>'Plan-Kunden'!J72</f>
        <v/>
      </c>
      <c r="G72" s="219">
        <f>D72*'Plan-Annahmen'!$B$21</f>
        <v/>
      </c>
      <c r="H72" s="215">
        <f>E72*'Plan-Annahmen'!$B$14+F72*'Plan-Annahmen'!$B$15</f>
        <v/>
      </c>
      <c r="I72" s="215">
        <f>H72*('Plan-Annahmen'!$B$52+'Plan-Annahmen'!$B$53)</f>
        <v/>
      </c>
      <c r="J72" s="215">
        <f>E72*('Plan-Annahmen'!$B$14*'Plan-Annahmen'!$B$18+'Plan-Annahmen'!$B$19)+F72*('Plan-Annahmen'!$B$15*'Plan-Annahmen'!$B$18+'Plan-Annahmen'!$B$19)</f>
        <v/>
      </c>
      <c r="K72" s="215">
        <f>G72*'Plan-Annahmen'!$B$17/100</f>
        <v/>
      </c>
      <c r="L72" s="215">
        <f>'Plan-Kunden'!D72*'Plan-Annahmen'!$B$15*'Plan-Annahmen'!$B$50</f>
        <v/>
      </c>
      <c r="M72" s="215">
        <f>'Plan-Kosten'!T$61</f>
        <v/>
      </c>
      <c r="N72" s="215">
        <f>IF(A72&gt;=$O$64,'Plan-Kosten'!$F$71,0)</f>
        <v/>
      </c>
      <c r="O72" s="215">
        <f>'Plan-Kosten'!T$58</f>
        <v/>
      </c>
      <c r="P72" s="215">
        <f>IF(A72=$O$64,'Plan-Kosten'!$F$72,0)</f>
        <v/>
      </c>
      <c r="Q72" s="182">
        <f>I72+J72+K72+L72+M72+N72+O72+P72</f>
        <v/>
      </c>
      <c r="R72" s="153">
        <f>H72-Q72</f>
        <v/>
      </c>
      <c r="S72" s="215">
        <f>MAX(0,R72*'Plan-Annahmen'!$B$82)</f>
        <v/>
      </c>
      <c r="T72" s="182">
        <f>R72-S72</f>
        <v/>
      </c>
      <c r="U72" s="182">
        <f>U71+T72</f>
        <v/>
      </c>
      <c r="V72" s="215">
        <f>V71+'Plan-Kosten'!T$59+IF(A72=$O$64,'Plan-Kosten'!$F$73,0)</f>
        <v/>
      </c>
      <c r="W72" s="153">
        <f>U72-V72</f>
        <v/>
      </c>
      <c r="X72" s="149">
        <f>IF(R72&gt;0,1,0)</f>
        <v/>
      </c>
      <c r="Y72" s="192">
        <f>'Plan-Kunden'!P72</f>
        <v/>
      </c>
      <c r="Z72" s="220">
        <f>'Plan-Kunden'!Q72</f>
        <v/>
      </c>
      <c r="AA72" s="220">
        <f>IF(D72&gt;='Plan-Phase B'!$C$22,1,0)</f>
        <v/>
      </c>
      <c r="AB72" s="220">
        <f>IF(D72&gt;='Plan-Phase B'!$D$22,1,0)</f>
        <v/>
      </c>
      <c r="AC72" s="220">
        <f>IF(D72&gt;='Plan-Phase B'!$E$22,1,0)</f>
        <v/>
      </c>
      <c r="AD72" s="149">
        <f>IF(AND(W72&gt;=0,A72&gt;$K$64),1,0)</f>
        <v/>
      </c>
      <c r="AE72" s="149">
        <f>IF(A72&gt;=$O$64,1,0)</f>
        <v/>
      </c>
    </row>
    <row r="73" ht="15" customHeight="1" s="116">
      <c r="A73" s="149" t="n">
        <v>8</v>
      </c>
      <c r="B73" s="187">
        <f>'Plan-Kunden'!B73</f>
        <v/>
      </c>
      <c r="C73" s="192">
        <f>'Plan-Kunden'!E73</f>
        <v/>
      </c>
      <c r="D73" s="192">
        <f>'Plan-Kunden'!K73</f>
        <v/>
      </c>
      <c r="E73" s="192">
        <f>'Plan-Kunden'!I73</f>
        <v/>
      </c>
      <c r="F73" s="192">
        <f>'Plan-Kunden'!J73</f>
        <v/>
      </c>
      <c r="G73" s="219">
        <f>D73*'Plan-Annahmen'!$B$21</f>
        <v/>
      </c>
      <c r="H73" s="215">
        <f>E73*'Plan-Annahmen'!$B$14+F73*'Plan-Annahmen'!$B$15</f>
        <v/>
      </c>
      <c r="I73" s="215">
        <f>H73*('Plan-Annahmen'!$B$52+'Plan-Annahmen'!$B$53)</f>
        <v/>
      </c>
      <c r="J73" s="215">
        <f>E73*('Plan-Annahmen'!$B$14*'Plan-Annahmen'!$B$18+'Plan-Annahmen'!$B$19)+F73*('Plan-Annahmen'!$B$15*'Plan-Annahmen'!$B$18+'Plan-Annahmen'!$B$19)</f>
        <v/>
      </c>
      <c r="K73" s="215">
        <f>G73*'Plan-Annahmen'!$B$17/100</f>
        <v/>
      </c>
      <c r="L73" s="215">
        <f>'Plan-Kunden'!D73*'Plan-Annahmen'!$B$15*'Plan-Annahmen'!$B$50</f>
        <v/>
      </c>
      <c r="M73" s="215">
        <f>'Plan-Kosten'!U$61</f>
        <v/>
      </c>
      <c r="N73" s="215">
        <f>IF(A73&gt;=$O$64,'Plan-Kosten'!$F$71,0)</f>
        <v/>
      </c>
      <c r="O73" s="215">
        <f>'Plan-Kosten'!U$58</f>
        <v/>
      </c>
      <c r="P73" s="215">
        <f>IF(A73=$O$64,'Plan-Kosten'!$F$72,0)</f>
        <v/>
      </c>
      <c r="Q73" s="182">
        <f>I73+J73+K73+L73+M73+N73+O73+P73</f>
        <v/>
      </c>
      <c r="R73" s="153">
        <f>H73-Q73</f>
        <v/>
      </c>
      <c r="S73" s="215">
        <f>MAX(0,R73*'Plan-Annahmen'!$B$82)</f>
        <v/>
      </c>
      <c r="T73" s="182">
        <f>R73-S73</f>
        <v/>
      </c>
      <c r="U73" s="182">
        <f>U72+T73</f>
        <v/>
      </c>
      <c r="V73" s="215">
        <f>V72+'Plan-Kosten'!U$59+IF(A73=$O$64,'Plan-Kosten'!$F$73,0)</f>
        <v/>
      </c>
      <c r="W73" s="153">
        <f>U73-V73</f>
        <v/>
      </c>
      <c r="X73" s="149">
        <f>IF(R73&gt;0,1,0)</f>
        <v/>
      </c>
      <c r="Y73" s="192">
        <f>'Plan-Kunden'!P73</f>
        <v/>
      </c>
      <c r="Z73" s="220">
        <f>'Plan-Kunden'!Q73</f>
        <v/>
      </c>
      <c r="AA73" s="220">
        <f>IF(D73&gt;='Plan-Phase B'!$C$22,1,0)</f>
        <v/>
      </c>
      <c r="AB73" s="220">
        <f>IF(D73&gt;='Plan-Phase B'!$D$22,1,0)</f>
        <v/>
      </c>
      <c r="AC73" s="220">
        <f>IF(D73&gt;='Plan-Phase B'!$E$22,1,0)</f>
        <v/>
      </c>
      <c r="AD73" s="149">
        <f>IF(AND(W73&gt;=0,A73&gt;$K$64),1,0)</f>
        <v/>
      </c>
      <c r="AE73" s="149">
        <f>IF(A73&gt;=$O$64,1,0)</f>
        <v/>
      </c>
    </row>
    <row r="74" ht="15" customHeight="1" s="116">
      <c r="A74" s="149" t="n">
        <v>9</v>
      </c>
      <c r="B74" s="187">
        <f>'Plan-Kunden'!B74</f>
        <v/>
      </c>
      <c r="C74" s="192">
        <f>'Plan-Kunden'!E74</f>
        <v/>
      </c>
      <c r="D74" s="192">
        <f>'Plan-Kunden'!K74</f>
        <v/>
      </c>
      <c r="E74" s="192">
        <f>'Plan-Kunden'!I74</f>
        <v/>
      </c>
      <c r="F74" s="192">
        <f>'Plan-Kunden'!J74</f>
        <v/>
      </c>
      <c r="G74" s="219">
        <f>D74*'Plan-Annahmen'!$B$21</f>
        <v/>
      </c>
      <c r="H74" s="215">
        <f>E74*'Plan-Annahmen'!$B$14+F74*'Plan-Annahmen'!$B$15</f>
        <v/>
      </c>
      <c r="I74" s="215">
        <f>H74*('Plan-Annahmen'!$B$52+'Plan-Annahmen'!$B$53)</f>
        <v/>
      </c>
      <c r="J74" s="215">
        <f>E74*('Plan-Annahmen'!$B$14*'Plan-Annahmen'!$B$18+'Plan-Annahmen'!$B$19)+F74*('Plan-Annahmen'!$B$15*'Plan-Annahmen'!$B$18+'Plan-Annahmen'!$B$19)</f>
        <v/>
      </c>
      <c r="K74" s="215">
        <f>G74*'Plan-Annahmen'!$B$17/100</f>
        <v/>
      </c>
      <c r="L74" s="215">
        <f>'Plan-Kunden'!D74*'Plan-Annahmen'!$B$15*'Plan-Annahmen'!$B$50</f>
        <v/>
      </c>
      <c r="M74" s="215">
        <f>'Plan-Kosten'!V$61</f>
        <v/>
      </c>
      <c r="N74" s="215">
        <f>IF(A74&gt;=$O$64,'Plan-Kosten'!$F$71,0)</f>
        <v/>
      </c>
      <c r="O74" s="215">
        <f>'Plan-Kosten'!V$58</f>
        <v/>
      </c>
      <c r="P74" s="215">
        <f>IF(A74=$O$64,'Plan-Kosten'!$F$72,0)</f>
        <v/>
      </c>
      <c r="Q74" s="182">
        <f>I74+J74+K74+L74+M74+N74+O74+P74</f>
        <v/>
      </c>
      <c r="R74" s="153">
        <f>H74-Q74</f>
        <v/>
      </c>
      <c r="S74" s="215">
        <f>MAX(0,R74*'Plan-Annahmen'!$B$82)</f>
        <v/>
      </c>
      <c r="T74" s="182">
        <f>R74-S74</f>
        <v/>
      </c>
      <c r="U74" s="182">
        <f>U73+T74</f>
        <v/>
      </c>
      <c r="V74" s="215">
        <f>V73+'Plan-Kosten'!V$59+IF(A74=$O$64,'Plan-Kosten'!$F$73,0)</f>
        <v/>
      </c>
      <c r="W74" s="153">
        <f>U74-V74</f>
        <v/>
      </c>
      <c r="X74" s="149">
        <f>IF(R74&gt;0,1,0)</f>
        <v/>
      </c>
      <c r="Y74" s="192">
        <f>'Plan-Kunden'!P74</f>
        <v/>
      </c>
      <c r="Z74" s="220">
        <f>'Plan-Kunden'!Q74</f>
        <v/>
      </c>
      <c r="AA74" s="220">
        <f>IF(D74&gt;='Plan-Phase B'!$C$22,1,0)</f>
        <v/>
      </c>
      <c r="AB74" s="220">
        <f>IF(D74&gt;='Plan-Phase B'!$D$22,1,0)</f>
        <v/>
      </c>
      <c r="AC74" s="220">
        <f>IF(D74&gt;='Plan-Phase B'!$E$22,1,0)</f>
        <v/>
      </c>
      <c r="AD74" s="149">
        <f>IF(AND(W74&gt;=0,A74&gt;$K$64),1,0)</f>
        <v/>
      </c>
      <c r="AE74" s="149">
        <f>IF(A74&gt;=$O$64,1,0)</f>
        <v/>
      </c>
    </row>
    <row r="75" ht="15" customHeight="1" s="116">
      <c r="A75" s="149" t="n">
        <v>10</v>
      </c>
      <c r="B75" s="187">
        <f>'Plan-Kunden'!B75</f>
        <v/>
      </c>
      <c r="C75" s="192">
        <f>'Plan-Kunden'!E75</f>
        <v/>
      </c>
      <c r="D75" s="192">
        <f>'Plan-Kunden'!K75</f>
        <v/>
      </c>
      <c r="E75" s="192">
        <f>'Plan-Kunden'!I75</f>
        <v/>
      </c>
      <c r="F75" s="192">
        <f>'Plan-Kunden'!J75</f>
        <v/>
      </c>
      <c r="G75" s="219">
        <f>D75*'Plan-Annahmen'!$B$21</f>
        <v/>
      </c>
      <c r="H75" s="215">
        <f>E75*'Plan-Annahmen'!$B$14+F75*'Plan-Annahmen'!$B$15</f>
        <v/>
      </c>
      <c r="I75" s="215">
        <f>H75*('Plan-Annahmen'!$B$52+'Plan-Annahmen'!$B$53)</f>
        <v/>
      </c>
      <c r="J75" s="215">
        <f>E75*('Plan-Annahmen'!$B$14*'Plan-Annahmen'!$B$18+'Plan-Annahmen'!$B$19)+F75*('Plan-Annahmen'!$B$15*'Plan-Annahmen'!$B$18+'Plan-Annahmen'!$B$19)</f>
        <v/>
      </c>
      <c r="K75" s="215">
        <f>G75*'Plan-Annahmen'!$B$17/100</f>
        <v/>
      </c>
      <c r="L75" s="215">
        <f>'Plan-Kunden'!D75*'Plan-Annahmen'!$B$15*'Plan-Annahmen'!$B$50</f>
        <v/>
      </c>
      <c r="M75" s="215">
        <f>'Plan-Kosten'!W$61</f>
        <v/>
      </c>
      <c r="N75" s="215">
        <f>IF(A75&gt;=$O$64,'Plan-Kosten'!$F$71,0)</f>
        <v/>
      </c>
      <c r="O75" s="215">
        <f>'Plan-Kosten'!W$58</f>
        <v/>
      </c>
      <c r="P75" s="215">
        <f>IF(A75=$O$64,'Plan-Kosten'!$F$72,0)</f>
        <v/>
      </c>
      <c r="Q75" s="182">
        <f>I75+J75+K75+L75+M75+N75+O75+P75</f>
        <v/>
      </c>
      <c r="R75" s="153">
        <f>H75-Q75</f>
        <v/>
      </c>
      <c r="S75" s="215">
        <f>MAX(0,R75*'Plan-Annahmen'!$B$82)</f>
        <v/>
      </c>
      <c r="T75" s="182">
        <f>R75-S75</f>
        <v/>
      </c>
      <c r="U75" s="182">
        <f>U74+T75</f>
        <v/>
      </c>
      <c r="V75" s="215">
        <f>V74+'Plan-Kosten'!W$59+IF(A75=$O$64,'Plan-Kosten'!$F$73,0)</f>
        <v/>
      </c>
      <c r="W75" s="153">
        <f>U75-V75</f>
        <v/>
      </c>
      <c r="X75" s="149">
        <f>IF(R75&gt;0,1,0)</f>
        <v/>
      </c>
      <c r="Y75" s="192">
        <f>'Plan-Kunden'!P75</f>
        <v/>
      </c>
      <c r="Z75" s="220">
        <f>'Plan-Kunden'!Q75</f>
        <v/>
      </c>
      <c r="AA75" s="220">
        <f>IF(D75&gt;='Plan-Phase B'!$C$22,1,0)</f>
        <v/>
      </c>
      <c r="AB75" s="220">
        <f>IF(D75&gt;='Plan-Phase B'!$D$22,1,0)</f>
        <v/>
      </c>
      <c r="AC75" s="220">
        <f>IF(D75&gt;='Plan-Phase B'!$E$22,1,0)</f>
        <v/>
      </c>
      <c r="AD75" s="149">
        <f>IF(AND(W75&gt;=0,A75&gt;$K$64),1,0)</f>
        <v/>
      </c>
      <c r="AE75" s="149">
        <f>IF(A75&gt;=$O$64,1,0)</f>
        <v/>
      </c>
    </row>
    <row r="76" ht="15" customHeight="1" s="116">
      <c r="A76" s="149" t="n">
        <v>11</v>
      </c>
      <c r="B76" s="187">
        <f>'Plan-Kunden'!B76</f>
        <v/>
      </c>
      <c r="C76" s="192">
        <f>'Plan-Kunden'!E76</f>
        <v/>
      </c>
      <c r="D76" s="192">
        <f>'Plan-Kunden'!K76</f>
        <v/>
      </c>
      <c r="E76" s="192">
        <f>'Plan-Kunden'!I76</f>
        <v/>
      </c>
      <c r="F76" s="192">
        <f>'Plan-Kunden'!J76</f>
        <v/>
      </c>
      <c r="G76" s="219">
        <f>D76*'Plan-Annahmen'!$B$21</f>
        <v/>
      </c>
      <c r="H76" s="215">
        <f>E76*'Plan-Annahmen'!$B$14+F76*'Plan-Annahmen'!$B$15</f>
        <v/>
      </c>
      <c r="I76" s="215">
        <f>H76*('Plan-Annahmen'!$B$52+'Plan-Annahmen'!$B$53)</f>
        <v/>
      </c>
      <c r="J76" s="215">
        <f>E76*('Plan-Annahmen'!$B$14*'Plan-Annahmen'!$B$18+'Plan-Annahmen'!$B$19)+F76*('Plan-Annahmen'!$B$15*'Plan-Annahmen'!$B$18+'Plan-Annahmen'!$B$19)</f>
        <v/>
      </c>
      <c r="K76" s="215">
        <f>G76*'Plan-Annahmen'!$B$17/100</f>
        <v/>
      </c>
      <c r="L76" s="215">
        <f>'Plan-Kunden'!D76*'Plan-Annahmen'!$B$15*'Plan-Annahmen'!$B$50</f>
        <v/>
      </c>
      <c r="M76" s="215">
        <f>'Plan-Kosten'!X$61</f>
        <v/>
      </c>
      <c r="N76" s="215">
        <f>IF(A76&gt;=$O$64,'Plan-Kosten'!$F$71,0)</f>
        <v/>
      </c>
      <c r="O76" s="215">
        <f>'Plan-Kosten'!X$58</f>
        <v/>
      </c>
      <c r="P76" s="215">
        <f>IF(A76=$O$64,'Plan-Kosten'!$F$72,0)</f>
        <v/>
      </c>
      <c r="Q76" s="182">
        <f>I76+J76+K76+L76+M76+N76+O76+P76</f>
        <v/>
      </c>
      <c r="R76" s="153">
        <f>H76-Q76</f>
        <v/>
      </c>
      <c r="S76" s="215">
        <f>MAX(0,R76*'Plan-Annahmen'!$B$82)</f>
        <v/>
      </c>
      <c r="T76" s="182">
        <f>R76-S76</f>
        <v/>
      </c>
      <c r="U76" s="182">
        <f>U75+T76</f>
        <v/>
      </c>
      <c r="V76" s="215">
        <f>V75+'Plan-Kosten'!X$59+IF(A76=$O$64,'Plan-Kosten'!$F$73,0)</f>
        <v/>
      </c>
      <c r="W76" s="153">
        <f>U76-V76</f>
        <v/>
      </c>
      <c r="X76" s="149">
        <f>IF(R76&gt;0,1,0)</f>
        <v/>
      </c>
      <c r="Y76" s="192">
        <f>'Plan-Kunden'!P76</f>
        <v/>
      </c>
      <c r="Z76" s="220">
        <f>'Plan-Kunden'!Q76</f>
        <v/>
      </c>
      <c r="AA76" s="220">
        <f>IF(D76&gt;='Plan-Phase B'!$C$22,1,0)</f>
        <v/>
      </c>
      <c r="AB76" s="220">
        <f>IF(D76&gt;='Plan-Phase B'!$D$22,1,0)</f>
        <v/>
      </c>
      <c r="AC76" s="220">
        <f>IF(D76&gt;='Plan-Phase B'!$E$22,1,0)</f>
        <v/>
      </c>
      <c r="AD76" s="149">
        <f>IF(AND(W76&gt;=0,A76&gt;$K$64),1,0)</f>
        <v/>
      </c>
      <c r="AE76" s="149">
        <f>IF(A76&gt;=$O$64,1,0)</f>
        <v/>
      </c>
    </row>
    <row r="77" ht="15" customHeight="1" s="116">
      <c r="A77" s="149" t="n">
        <v>12</v>
      </c>
      <c r="B77" s="187">
        <f>'Plan-Kunden'!B77</f>
        <v/>
      </c>
      <c r="C77" s="192">
        <f>'Plan-Kunden'!E77</f>
        <v/>
      </c>
      <c r="D77" s="192">
        <f>'Plan-Kunden'!K77</f>
        <v/>
      </c>
      <c r="E77" s="192">
        <f>'Plan-Kunden'!I77</f>
        <v/>
      </c>
      <c r="F77" s="192">
        <f>'Plan-Kunden'!J77</f>
        <v/>
      </c>
      <c r="G77" s="219">
        <f>D77*'Plan-Annahmen'!$B$21</f>
        <v/>
      </c>
      <c r="H77" s="215">
        <f>E77*'Plan-Annahmen'!$B$14+F77*'Plan-Annahmen'!$B$15</f>
        <v/>
      </c>
      <c r="I77" s="215">
        <f>H77*('Plan-Annahmen'!$B$52+'Plan-Annahmen'!$B$53)</f>
        <v/>
      </c>
      <c r="J77" s="215">
        <f>E77*('Plan-Annahmen'!$B$14*'Plan-Annahmen'!$B$18+'Plan-Annahmen'!$B$19)+F77*('Plan-Annahmen'!$B$15*'Plan-Annahmen'!$B$18+'Plan-Annahmen'!$B$19)</f>
        <v/>
      </c>
      <c r="K77" s="215">
        <f>G77*'Plan-Annahmen'!$B$17/100</f>
        <v/>
      </c>
      <c r="L77" s="215">
        <f>'Plan-Kunden'!D77*'Plan-Annahmen'!$B$15*'Plan-Annahmen'!$B$50</f>
        <v/>
      </c>
      <c r="M77" s="215">
        <f>'Plan-Kosten'!Y$61</f>
        <v/>
      </c>
      <c r="N77" s="215">
        <f>IF(A77&gt;=$O$64,'Plan-Kosten'!$F$71,0)</f>
        <v/>
      </c>
      <c r="O77" s="215">
        <f>'Plan-Kosten'!Y$58</f>
        <v/>
      </c>
      <c r="P77" s="215">
        <f>IF(A77=$O$64,'Plan-Kosten'!$F$72,0)</f>
        <v/>
      </c>
      <c r="Q77" s="182">
        <f>I77+J77+K77+L77+M77+N77+O77+P77</f>
        <v/>
      </c>
      <c r="R77" s="153">
        <f>H77-Q77</f>
        <v/>
      </c>
      <c r="S77" s="215">
        <f>MAX(0,R77*'Plan-Annahmen'!$B$82)</f>
        <v/>
      </c>
      <c r="T77" s="182">
        <f>R77-S77</f>
        <v/>
      </c>
      <c r="U77" s="182">
        <f>U76+T77</f>
        <v/>
      </c>
      <c r="V77" s="215">
        <f>V76+'Plan-Kosten'!Y$59+IF(A77=$O$64,'Plan-Kosten'!$F$73,0)</f>
        <v/>
      </c>
      <c r="W77" s="153">
        <f>U77-V77</f>
        <v/>
      </c>
      <c r="X77" s="149">
        <f>IF(R77&gt;0,1,0)</f>
        <v/>
      </c>
      <c r="Y77" s="192">
        <f>'Plan-Kunden'!P77</f>
        <v/>
      </c>
      <c r="Z77" s="220">
        <f>'Plan-Kunden'!Q77</f>
        <v/>
      </c>
      <c r="AA77" s="220">
        <f>IF(D77&gt;='Plan-Phase B'!$C$22,1,0)</f>
        <v/>
      </c>
      <c r="AB77" s="220">
        <f>IF(D77&gt;='Plan-Phase B'!$D$22,1,0)</f>
        <v/>
      </c>
      <c r="AC77" s="220">
        <f>IF(D77&gt;='Plan-Phase B'!$E$22,1,0)</f>
        <v/>
      </c>
      <c r="AD77" s="149">
        <f>IF(AND(W77&gt;=0,A77&gt;$K$64),1,0)</f>
        <v/>
      </c>
      <c r="AE77" s="149">
        <f>IF(A77&gt;=$O$64,1,0)</f>
        <v/>
      </c>
    </row>
    <row r="78" ht="15" customHeight="1" s="116">
      <c r="A78" s="149" t="n">
        <v>13</v>
      </c>
      <c r="B78" s="187">
        <f>'Plan-Kunden'!B78</f>
        <v/>
      </c>
      <c r="C78" s="192">
        <f>'Plan-Kunden'!E78</f>
        <v/>
      </c>
      <c r="D78" s="192">
        <f>'Plan-Kunden'!K78</f>
        <v/>
      </c>
      <c r="E78" s="192">
        <f>'Plan-Kunden'!I78</f>
        <v/>
      </c>
      <c r="F78" s="192">
        <f>'Plan-Kunden'!J78</f>
        <v/>
      </c>
      <c r="G78" s="219">
        <f>D78*'Plan-Annahmen'!$B$21</f>
        <v/>
      </c>
      <c r="H78" s="215">
        <f>E78*'Plan-Annahmen'!$B$14+F78*'Plan-Annahmen'!$B$15</f>
        <v/>
      </c>
      <c r="I78" s="215">
        <f>H78*('Plan-Annahmen'!$B$52+'Plan-Annahmen'!$B$53)</f>
        <v/>
      </c>
      <c r="J78" s="215">
        <f>E78*('Plan-Annahmen'!$B$14*'Plan-Annahmen'!$B$18+'Plan-Annahmen'!$B$19)+F78*('Plan-Annahmen'!$B$15*'Plan-Annahmen'!$B$18+'Plan-Annahmen'!$B$19)</f>
        <v/>
      </c>
      <c r="K78" s="215">
        <f>G78*'Plan-Annahmen'!$B$17/100</f>
        <v/>
      </c>
      <c r="L78" s="215">
        <f>'Plan-Kunden'!D78*'Plan-Annahmen'!$B$15*'Plan-Annahmen'!$B$50</f>
        <v/>
      </c>
      <c r="M78" s="215">
        <f>'Plan-Kosten'!Z$61</f>
        <v/>
      </c>
      <c r="N78" s="215">
        <f>IF(A78&gt;=$O$64,'Plan-Kosten'!$F$71,0)</f>
        <v/>
      </c>
      <c r="O78" s="215">
        <f>'Plan-Kosten'!Z$58</f>
        <v/>
      </c>
      <c r="P78" s="215">
        <f>IF(A78=$O$64,'Plan-Kosten'!$F$72,0)</f>
        <v/>
      </c>
      <c r="Q78" s="182">
        <f>I78+J78+K78+L78+M78+N78+O78+P78</f>
        <v/>
      </c>
      <c r="R78" s="153">
        <f>H78-Q78</f>
        <v/>
      </c>
      <c r="S78" s="215">
        <f>MAX(0,R78*'Plan-Annahmen'!$B$82)</f>
        <v/>
      </c>
      <c r="T78" s="182">
        <f>R78-S78</f>
        <v/>
      </c>
      <c r="U78" s="182">
        <f>U77+T78</f>
        <v/>
      </c>
      <c r="V78" s="215">
        <f>V77+'Plan-Kosten'!Z$59+IF(A78=$O$64,'Plan-Kosten'!$F$73,0)</f>
        <v/>
      </c>
      <c r="W78" s="153">
        <f>U78-V78</f>
        <v/>
      </c>
      <c r="X78" s="149">
        <f>IF(R78&gt;0,1,0)</f>
        <v/>
      </c>
      <c r="Y78" s="192">
        <f>'Plan-Kunden'!P78</f>
        <v/>
      </c>
      <c r="Z78" s="220">
        <f>'Plan-Kunden'!Q78</f>
        <v/>
      </c>
      <c r="AA78" s="220">
        <f>IF(D78&gt;='Plan-Phase B'!$C$22,1,0)</f>
        <v/>
      </c>
      <c r="AB78" s="220">
        <f>IF(D78&gt;='Plan-Phase B'!$D$22,1,0)</f>
        <v/>
      </c>
      <c r="AC78" s="220">
        <f>IF(D78&gt;='Plan-Phase B'!$E$22,1,0)</f>
        <v/>
      </c>
      <c r="AD78" s="149">
        <f>IF(AND(W78&gt;=0,A78&gt;$K$64),1,0)</f>
        <v/>
      </c>
      <c r="AE78" s="149">
        <f>IF(A78&gt;=$O$64,1,0)</f>
        <v/>
      </c>
    </row>
    <row r="79" ht="15" customHeight="1" s="116">
      <c r="A79" s="149" t="n">
        <v>14</v>
      </c>
      <c r="B79" s="187">
        <f>'Plan-Kunden'!B79</f>
        <v/>
      </c>
      <c r="C79" s="192">
        <f>'Plan-Kunden'!E79</f>
        <v/>
      </c>
      <c r="D79" s="192">
        <f>'Plan-Kunden'!K79</f>
        <v/>
      </c>
      <c r="E79" s="192">
        <f>'Plan-Kunden'!I79</f>
        <v/>
      </c>
      <c r="F79" s="192">
        <f>'Plan-Kunden'!J79</f>
        <v/>
      </c>
      <c r="G79" s="219">
        <f>D79*'Plan-Annahmen'!$B$21</f>
        <v/>
      </c>
      <c r="H79" s="215">
        <f>E79*'Plan-Annahmen'!$B$14+F79*'Plan-Annahmen'!$B$15</f>
        <v/>
      </c>
      <c r="I79" s="215">
        <f>H79*('Plan-Annahmen'!$B$52+'Plan-Annahmen'!$B$53)</f>
        <v/>
      </c>
      <c r="J79" s="215">
        <f>E79*('Plan-Annahmen'!$B$14*'Plan-Annahmen'!$B$18+'Plan-Annahmen'!$B$19)+F79*('Plan-Annahmen'!$B$15*'Plan-Annahmen'!$B$18+'Plan-Annahmen'!$B$19)</f>
        <v/>
      </c>
      <c r="K79" s="215">
        <f>G79*'Plan-Annahmen'!$B$17/100</f>
        <v/>
      </c>
      <c r="L79" s="215">
        <f>'Plan-Kunden'!D79*'Plan-Annahmen'!$B$15*'Plan-Annahmen'!$B$50</f>
        <v/>
      </c>
      <c r="M79" s="215">
        <f>'Plan-Kosten'!AA$61</f>
        <v/>
      </c>
      <c r="N79" s="215">
        <f>IF(A79&gt;=$O$64,'Plan-Kosten'!$F$71,0)</f>
        <v/>
      </c>
      <c r="O79" s="215">
        <f>'Plan-Kosten'!AA$58</f>
        <v/>
      </c>
      <c r="P79" s="215">
        <f>IF(A79=$O$64,'Plan-Kosten'!$F$72,0)</f>
        <v/>
      </c>
      <c r="Q79" s="182">
        <f>I79+J79+K79+L79+M79+N79+O79+P79</f>
        <v/>
      </c>
      <c r="R79" s="153">
        <f>H79-Q79</f>
        <v/>
      </c>
      <c r="S79" s="215">
        <f>MAX(0,R79*'Plan-Annahmen'!$B$82)</f>
        <v/>
      </c>
      <c r="T79" s="182">
        <f>R79-S79</f>
        <v/>
      </c>
      <c r="U79" s="182">
        <f>U78+T79</f>
        <v/>
      </c>
      <c r="V79" s="215">
        <f>V78+'Plan-Kosten'!AA$59+IF(A79=$O$64,'Plan-Kosten'!$F$73,0)</f>
        <v/>
      </c>
      <c r="W79" s="153">
        <f>U79-V79</f>
        <v/>
      </c>
      <c r="X79" s="149">
        <f>IF(R79&gt;0,1,0)</f>
        <v/>
      </c>
      <c r="Y79" s="192">
        <f>'Plan-Kunden'!P79</f>
        <v/>
      </c>
      <c r="Z79" s="220">
        <f>'Plan-Kunden'!Q79</f>
        <v/>
      </c>
      <c r="AA79" s="220">
        <f>IF(D79&gt;='Plan-Phase B'!$C$22,1,0)</f>
        <v/>
      </c>
      <c r="AB79" s="220">
        <f>IF(D79&gt;='Plan-Phase B'!$D$22,1,0)</f>
        <v/>
      </c>
      <c r="AC79" s="220">
        <f>IF(D79&gt;='Plan-Phase B'!$E$22,1,0)</f>
        <v/>
      </c>
      <c r="AD79" s="149">
        <f>IF(AND(W79&gt;=0,A79&gt;$K$64),1,0)</f>
        <v/>
      </c>
      <c r="AE79" s="149">
        <f>IF(A79&gt;=$O$64,1,0)</f>
        <v/>
      </c>
    </row>
    <row r="80" ht="15" customHeight="1" s="116">
      <c r="A80" s="149" t="n">
        <v>15</v>
      </c>
      <c r="B80" s="187">
        <f>'Plan-Kunden'!B80</f>
        <v/>
      </c>
      <c r="C80" s="192">
        <f>'Plan-Kunden'!E80</f>
        <v/>
      </c>
      <c r="D80" s="192">
        <f>'Plan-Kunden'!K80</f>
        <v/>
      </c>
      <c r="E80" s="192">
        <f>'Plan-Kunden'!I80</f>
        <v/>
      </c>
      <c r="F80" s="192">
        <f>'Plan-Kunden'!J80</f>
        <v/>
      </c>
      <c r="G80" s="219">
        <f>D80*'Plan-Annahmen'!$B$21</f>
        <v/>
      </c>
      <c r="H80" s="215">
        <f>E80*'Plan-Annahmen'!$B$14+F80*'Plan-Annahmen'!$B$15</f>
        <v/>
      </c>
      <c r="I80" s="215">
        <f>H80*('Plan-Annahmen'!$B$52+'Plan-Annahmen'!$B$53)</f>
        <v/>
      </c>
      <c r="J80" s="215">
        <f>E80*('Plan-Annahmen'!$B$14*'Plan-Annahmen'!$B$18+'Plan-Annahmen'!$B$19)+F80*('Plan-Annahmen'!$B$15*'Plan-Annahmen'!$B$18+'Plan-Annahmen'!$B$19)</f>
        <v/>
      </c>
      <c r="K80" s="215">
        <f>G80*'Plan-Annahmen'!$B$17/100</f>
        <v/>
      </c>
      <c r="L80" s="215">
        <f>'Plan-Kunden'!D80*'Plan-Annahmen'!$B$15*'Plan-Annahmen'!$B$50</f>
        <v/>
      </c>
      <c r="M80" s="215">
        <f>'Plan-Kosten'!AB$61</f>
        <v/>
      </c>
      <c r="N80" s="215">
        <f>IF(A80&gt;=$O$64,'Plan-Kosten'!$F$71,0)</f>
        <v/>
      </c>
      <c r="O80" s="215">
        <f>'Plan-Kosten'!AB$58</f>
        <v/>
      </c>
      <c r="P80" s="215">
        <f>IF(A80=$O$64,'Plan-Kosten'!$F$72,0)</f>
        <v/>
      </c>
      <c r="Q80" s="182">
        <f>I80+J80+K80+L80+M80+N80+O80+P80</f>
        <v/>
      </c>
      <c r="R80" s="153">
        <f>H80-Q80</f>
        <v/>
      </c>
      <c r="S80" s="215">
        <f>MAX(0,R80*'Plan-Annahmen'!$B$82)</f>
        <v/>
      </c>
      <c r="T80" s="182">
        <f>R80-S80</f>
        <v/>
      </c>
      <c r="U80" s="182">
        <f>U79+T80</f>
        <v/>
      </c>
      <c r="V80" s="215">
        <f>V79+'Plan-Kosten'!AB$59+IF(A80=$O$64,'Plan-Kosten'!$F$73,0)</f>
        <v/>
      </c>
      <c r="W80" s="153">
        <f>U80-V80</f>
        <v/>
      </c>
      <c r="X80" s="149">
        <f>IF(R80&gt;0,1,0)</f>
        <v/>
      </c>
      <c r="Y80" s="192">
        <f>'Plan-Kunden'!P80</f>
        <v/>
      </c>
      <c r="Z80" s="220">
        <f>'Plan-Kunden'!Q80</f>
        <v/>
      </c>
      <c r="AA80" s="220">
        <f>IF(D80&gt;='Plan-Phase B'!$C$22,1,0)</f>
        <v/>
      </c>
      <c r="AB80" s="220">
        <f>IF(D80&gt;='Plan-Phase B'!$D$22,1,0)</f>
        <v/>
      </c>
      <c r="AC80" s="220">
        <f>IF(D80&gt;='Plan-Phase B'!$E$22,1,0)</f>
        <v/>
      </c>
      <c r="AD80" s="149">
        <f>IF(AND(W80&gt;=0,A80&gt;$K$64),1,0)</f>
        <v/>
      </c>
      <c r="AE80" s="149">
        <f>IF(A80&gt;=$O$64,1,0)</f>
        <v/>
      </c>
    </row>
    <row r="81" ht="15" customHeight="1" s="116">
      <c r="A81" s="149" t="n">
        <v>16</v>
      </c>
      <c r="B81" s="187">
        <f>'Plan-Kunden'!B81</f>
        <v/>
      </c>
      <c r="C81" s="192">
        <f>'Plan-Kunden'!E81</f>
        <v/>
      </c>
      <c r="D81" s="192">
        <f>'Plan-Kunden'!K81</f>
        <v/>
      </c>
      <c r="E81" s="192">
        <f>'Plan-Kunden'!I81</f>
        <v/>
      </c>
      <c r="F81" s="192">
        <f>'Plan-Kunden'!J81</f>
        <v/>
      </c>
      <c r="G81" s="219">
        <f>D81*'Plan-Annahmen'!$B$21</f>
        <v/>
      </c>
      <c r="H81" s="215">
        <f>E81*'Plan-Annahmen'!$B$14+F81*'Plan-Annahmen'!$B$15</f>
        <v/>
      </c>
      <c r="I81" s="215">
        <f>H81*('Plan-Annahmen'!$B$52+'Plan-Annahmen'!$B$53)</f>
        <v/>
      </c>
      <c r="J81" s="215">
        <f>E81*('Plan-Annahmen'!$B$14*'Plan-Annahmen'!$B$18+'Plan-Annahmen'!$B$19)+F81*('Plan-Annahmen'!$B$15*'Plan-Annahmen'!$B$18+'Plan-Annahmen'!$B$19)</f>
        <v/>
      </c>
      <c r="K81" s="215">
        <f>G81*'Plan-Annahmen'!$B$17/100</f>
        <v/>
      </c>
      <c r="L81" s="215">
        <f>'Plan-Kunden'!D81*'Plan-Annahmen'!$B$15*'Plan-Annahmen'!$B$50</f>
        <v/>
      </c>
      <c r="M81" s="215">
        <f>'Plan-Kosten'!AC$61</f>
        <v/>
      </c>
      <c r="N81" s="215">
        <f>IF(A81&gt;=$O$64,'Plan-Kosten'!$F$71,0)</f>
        <v/>
      </c>
      <c r="O81" s="215">
        <f>'Plan-Kosten'!AC$58</f>
        <v/>
      </c>
      <c r="P81" s="215">
        <f>IF(A81=$O$64,'Plan-Kosten'!$F$72,0)</f>
        <v/>
      </c>
      <c r="Q81" s="182">
        <f>I81+J81+K81+L81+M81+N81+O81+P81</f>
        <v/>
      </c>
      <c r="R81" s="153">
        <f>H81-Q81</f>
        <v/>
      </c>
      <c r="S81" s="215">
        <f>MAX(0,R81*'Plan-Annahmen'!$B$82)</f>
        <v/>
      </c>
      <c r="T81" s="182">
        <f>R81-S81</f>
        <v/>
      </c>
      <c r="U81" s="182">
        <f>U80+T81</f>
        <v/>
      </c>
      <c r="V81" s="215">
        <f>V80+'Plan-Kosten'!AC$59+IF(A81=$O$64,'Plan-Kosten'!$F$73,0)</f>
        <v/>
      </c>
      <c r="W81" s="153">
        <f>U81-V81</f>
        <v/>
      </c>
      <c r="X81" s="149">
        <f>IF(R81&gt;0,1,0)</f>
        <v/>
      </c>
      <c r="Y81" s="192">
        <f>'Plan-Kunden'!P81</f>
        <v/>
      </c>
      <c r="Z81" s="220">
        <f>'Plan-Kunden'!Q81</f>
        <v/>
      </c>
      <c r="AA81" s="220">
        <f>IF(D81&gt;='Plan-Phase B'!$C$22,1,0)</f>
        <v/>
      </c>
      <c r="AB81" s="220">
        <f>IF(D81&gt;='Plan-Phase B'!$D$22,1,0)</f>
        <v/>
      </c>
      <c r="AC81" s="220">
        <f>IF(D81&gt;='Plan-Phase B'!$E$22,1,0)</f>
        <v/>
      </c>
      <c r="AD81" s="149">
        <f>IF(AND(W81&gt;=0,A81&gt;$K$64),1,0)</f>
        <v/>
      </c>
      <c r="AE81" s="149">
        <f>IF(A81&gt;=$O$64,1,0)</f>
        <v/>
      </c>
    </row>
    <row r="82" ht="15" customHeight="1" s="116">
      <c r="A82" s="149" t="n">
        <v>17</v>
      </c>
      <c r="B82" s="187">
        <f>'Plan-Kunden'!B82</f>
        <v/>
      </c>
      <c r="C82" s="192">
        <f>'Plan-Kunden'!E82</f>
        <v/>
      </c>
      <c r="D82" s="192">
        <f>'Plan-Kunden'!K82</f>
        <v/>
      </c>
      <c r="E82" s="192">
        <f>'Plan-Kunden'!I82</f>
        <v/>
      </c>
      <c r="F82" s="192">
        <f>'Plan-Kunden'!J82</f>
        <v/>
      </c>
      <c r="G82" s="219">
        <f>D82*'Plan-Annahmen'!$B$21</f>
        <v/>
      </c>
      <c r="H82" s="215">
        <f>E82*'Plan-Annahmen'!$B$14+F82*'Plan-Annahmen'!$B$15</f>
        <v/>
      </c>
      <c r="I82" s="215">
        <f>H82*('Plan-Annahmen'!$B$52+'Plan-Annahmen'!$B$53)</f>
        <v/>
      </c>
      <c r="J82" s="215">
        <f>E82*('Plan-Annahmen'!$B$14*'Plan-Annahmen'!$B$18+'Plan-Annahmen'!$B$19)+F82*('Plan-Annahmen'!$B$15*'Plan-Annahmen'!$B$18+'Plan-Annahmen'!$B$19)</f>
        <v/>
      </c>
      <c r="K82" s="215">
        <f>G82*'Plan-Annahmen'!$B$17/100</f>
        <v/>
      </c>
      <c r="L82" s="215">
        <f>'Plan-Kunden'!D82*'Plan-Annahmen'!$B$15*'Plan-Annahmen'!$B$50</f>
        <v/>
      </c>
      <c r="M82" s="215">
        <f>'Plan-Kosten'!AD$61</f>
        <v/>
      </c>
      <c r="N82" s="215">
        <f>IF(A82&gt;=$O$64,'Plan-Kosten'!$F$71,0)</f>
        <v/>
      </c>
      <c r="O82" s="215">
        <f>'Plan-Kosten'!AD$58</f>
        <v/>
      </c>
      <c r="P82" s="215">
        <f>IF(A82=$O$64,'Plan-Kosten'!$F$72,0)</f>
        <v/>
      </c>
      <c r="Q82" s="182">
        <f>I82+J82+K82+L82+M82+N82+O82+P82</f>
        <v/>
      </c>
      <c r="R82" s="153">
        <f>H82-Q82</f>
        <v/>
      </c>
      <c r="S82" s="215">
        <f>MAX(0,R82*'Plan-Annahmen'!$B$82)</f>
        <v/>
      </c>
      <c r="T82" s="182">
        <f>R82-S82</f>
        <v/>
      </c>
      <c r="U82" s="182">
        <f>U81+T82</f>
        <v/>
      </c>
      <c r="V82" s="215">
        <f>V81+'Plan-Kosten'!AD$59+IF(A82=$O$64,'Plan-Kosten'!$F$73,0)</f>
        <v/>
      </c>
      <c r="W82" s="153">
        <f>U82-V82</f>
        <v/>
      </c>
      <c r="X82" s="149">
        <f>IF(R82&gt;0,1,0)</f>
        <v/>
      </c>
      <c r="Y82" s="192">
        <f>'Plan-Kunden'!P82</f>
        <v/>
      </c>
      <c r="Z82" s="220">
        <f>'Plan-Kunden'!Q82</f>
        <v/>
      </c>
      <c r="AA82" s="220">
        <f>IF(D82&gt;='Plan-Phase B'!$C$22,1,0)</f>
        <v/>
      </c>
      <c r="AB82" s="220">
        <f>IF(D82&gt;='Plan-Phase B'!$D$22,1,0)</f>
        <v/>
      </c>
      <c r="AC82" s="220">
        <f>IF(D82&gt;='Plan-Phase B'!$E$22,1,0)</f>
        <v/>
      </c>
      <c r="AD82" s="149">
        <f>IF(AND(W82&gt;=0,A82&gt;$K$64),1,0)</f>
        <v/>
      </c>
      <c r="AE82" s="149">
        <f>IF(A82&gt;=$O$64,1,0)</f>
        <v/>
      </c>
    </row>
    <row r="83" ht="15" customHeight="1" s="116">
      <c r="A83" s="149" t="n">
        <v>18</v>
      </c>
      <c r="B83" s="187">
        <f>'Plan-Kunden'!B83</f>
        <v/>
      </c>
      <c r="C83" s="192">
        <f>'Plan-Kunden'!E83</f>
        <v/>
      </c>
      <c r="D83" s="192">
        <f>'Plan-Kunden'!K83</f>
        <v/>
      </c>
      <c r="E83" s="192">
        <f>'Plan-Kunden'!I83</f>
        <v/>
      </c>
      <c r="F83" s="192">
        <f>'Plan-Kunden'!J83</f>
        <v/>
      </c>
      <c r="G83" s="219">
        <f>D83*'Plan-Annahmen'!$B$21</f>
        <v/>
      </c>
      <c r="H83" s="215">
        <f>E83*'Plan-Annahmen'!$B$14+F83*'Plan-Annahmen'!$B$15</f>
        <v/>
      </c>
      <c r="I83" s="215">
        <f>H83*('Plan-Annahmen'!$B$52+'Plan-Annahmen'!$B$53)</f>
        <v/>
      </c>
      <c r="J83" s="215">
        <f>E83*('Plan-Annahmen'!$B$14*'Plan-Annahmen'!$B$18+'Plan-Annahmen'!$B$19)+F83*('Plan-Annahmen'!$B$15*'Plan-Annahmen'!$B$18+'Plan-Annahmen'!$B$19)</f>
        <v/>
      </c>
      <c r="K83" s="215">
        <f>G83*'Plan-Annahmen'!$B$17/100</f>
        <v/>
      </c>
      <c r="L83" s="215">
        <f>'Plan-Kunden'!D83*'Plan-Annahmen'!$B$15*'Plan-Annahmen'!$B$50</f>
        <v/>
      </c>
      <c r="M83" s="215">
        <f>'Plan-Kosten'!AE$61</f>
        <v/>
      </c>
      <c r="N83" s="215">
        <f>IF(A83&gt;=$O$64,'Plan-Kosten'!$F$71,0)</f>
        <v/>
      </c>
      <c r="O83" s="215">
        <f>'Plan-Kosten'!AE$58</f>
        <v/>
      </c>
      <c r="P83" s="215">
        <f>IF(A83=$O$64,'Plan-Kosten'!$F$72,0)</f>
        <v/>
      </c>
      <c r="Q83" s="182">
        <f>I83+J83+K83+L83+M83+N83+O83+P83</f>
        <v/>
      </c>
      <c r="R83" s="153">
        <f>H83-Q83</f>
        <v/>
      </c>
      <c r="S83" s="215">
        <f>MAX(0,R83*'Plan-Annahmen'!$B$82)</f>
        <v/>
      </c>
      <c r="T83" s="182">
        <f>R83-S83</f>
        <v/>
      </c>
      <c r="U83" s="182">
        <f>U82+T83</f>
        <v/>
      </c>
      <c r="V83" s="215">
        <f>V82+'Plan-Kosten'!AE$59+IF(A83=$O$64,'Plan-Kosten'!$F$73,0)</f>
        <v/>
      </c>
      <c r="W83" s="153">
        <f>U83-V83</f>
        <v/>
      </c>
      <c r="X83" s="149">
        <f>IF(R83&gt;0,1,0)</f>
        <v/>
      </c>
      <c r="Y83" s="192">
        <f>'Plan-Kunden'!P83</f>
        <v/>
      </c>
      <c r="Z83" s="220">
        <f>'Plan-Kunden'!Q83</f>
        <v/>
      </c>
      <c r="AA83" s="220">
        <f>IF(D83&gt;='Plan-Phase B'!$C$22,1,0)</f>
        <v/>
      </c>
      <c r="AB83" s="220">
        <f>IF(D83&gt;='Plan-Phase B'!$D$22,1,0)</f>
        <v/>
      </c>
      <c r="AC83" s="220">
        <f>IF(D83&gt;='Plan-Phase B'!$E$22,1,0)</f>
        <v/>
      </c>
      <c r="AD83" s="149">
        <f>IF(AND(W83&gt;=0,A83&gt;$K$64),1,0)</f>
        <v/>
      </c>
      <c r="AE83" s="149">
        <f>IF(A83&gt;=$O$64,1,0)</f>
        <v/>
      </c>
    </row>
    <row r="84" ht="15" customHeight="1" s="116">
      <c r="A84" s="149" t="n">
        <v>19</v>
      </c>
      <c r="B84" s="187">
        <f>'Plan-Kunden'!B84</f>
        <v/>
      </c>
      <c r="C84" s="192">
        <f>'Plan-Kunden'!E84</f>
        <v/>
      </c>
      <c r="D84" s="192">
        <f>'Plan-Kunden'!K84</f>
        <v/>
      </c>
      <c r="E84" s="192">
        <f>'Plan-Kunden'!I84</f>
        <v/>
      </c>
      <c r="F84" s="192">
        <f>'Plan-Kunden'!J84</f>
        <v/>
      </c>
      <c r="G84" s="219">
        <f>D84*'Plan-Annahmen'!$B$21</f>
        <v/>
      </c>
      <c r="H84" s="215">
        <f>E84*'Plan-Annahmen'!$B$14+F84*'Plan-Annahmen'!$B$15</f>
        <v/>
      </c>
      <c r="I84" s="215">
        <f>H84*('Plan-Annahmen'!$B$52+'Plan-Annahmen'!$B$53)</f>
        <v/>
      </c>
      <c r="J84" s="215">
        <f>E84*('Plan-Annahmen'!$B$14*'Plan-Annahmen'!$B$18+'Plan-Annahmen'!$B$19)+F84*('Plan-Annahmen'!$B$15*'Plan-Annahmen'!$B$18+'Plan-Annahmen'!$B$19)</f>
        <v/>
      </c>
      <c r="K84" s="215">
        <f>G84*'Plan-Annahmen'!$B$17/100</f>
        <v/>
      </c>
      <c r="L84" s="215">
        <f>'Plan-Kunden'!D84*'Plan-Annahmen'!$B$15*'Plan-Annahmen'!$B$50</f>
        <v/>
      </c>
      <c r="M84" s="215">
        <f>'Plan-Kosten'!AF$61</f>
        <v/>
      </c>
      <c r="N84" s="215">
        <f>IF(A84&gt;=$O$64,'Plan-Kosten'!$F$71,0)</f>
        <v/>
      </c>
      <c r="O84" s="215">
        <f>'Plan-Kosten'!AF$58</f>
        <v/>
      </c>
      <c r="P84" s="215">
        <f>IF(A84=$O$64,'Plan-Kosten'!$F$72,0)</f>
        <v/>
      </c>
      <c r="Q84" s="182">
        <f>I84+J84+K84+L84+M84+N84+O84+P84</f>
        <v/>
      </c>
      <c r="R84" s="153">
        <f>H84-Q84</f>
        <v/>
      </c>
      <c r="S84" s="215">
        <f>MAX(0,R84*'Plan-Annahmen'!$B$82)</f>
        <v/>
      </c>
      <c r="T84" s="182">
        <f>R84-S84</f>
        <v/>
      </c>
      <c r="U84" s="182">
        <f>U83+T84</f>
        <v/>
      </c>
      <c r="V84" s="215">
        <f>V83+'Plan-Kosten'!AF$59+IF(A84=$O$64,'Plan-Kosten'!$F$73,0)</f>
        <v/>
      </c>
      <c r="W84" s="153">
        <f>U84-V84</f>
        <v/>
      </c>
      <c r="X84" s="149">
        <f>IF(R84&gt;0,1,0)</f>
        <v/>
      </c>
      <c r="Y84" s="192">
        <f>'Plan-Kunden'!P84</f>
        <v/>
      </c>
      <c r="Z84" s="220">
        <f>'Plan-Kunden'!Q84</f>
        <v/>
      </c>
      <c r="AA84" s="220">
        <f>IF(D84&gt;='Plan-Phase B'!$C$22,1,0)</f>
        <v/>
      </c>
      <c r="AB84" s="220">
        <f>IF(D84&gt;='Plan-Phase B'!$D$22,1,0)</f>
        <v/>
      </c>
      <c r="AC84" s="220">
        <f>IF(D84&gt;='Plan-Phase B'!$E$22,1,0)</f>
        <v/>
      </c>
      <c r="AD84" s="149">
        <f>IF(AND(W84&gt;=0,A84&gt;$K$64),1,0)</f>
        <v/>
      </c>
      <c r="AE84" s="149">
        <f>IF(A84&gt;=$O$64,1,0)</f>
        <v/>
      </c>
    </row>
    <row r="85" ht="15" customHeight="1" s="116">
      <c r="A85" s="149" t="n">
        <v>20</v>
      </c>
      <c r="B85" s="187">
        <f>'Plan-Kunden'!B85</f>
        <v/>
      </c>
      <c r="C85" s="192">
        <f>'Plan-Kunden'!E85</f>
        <v/>
      </c>
      <c r="D85" s="192">
        <f>'Plan-Kunden'!K85</f>
        <v/>
      </c>
      <c r="E85" s="192">
        <f>'Plan-Kunden'!I85</f>
        <v/>
      </c>
      <c r="F85" s="192">
        <f>'Plan-Kunden'!J85</f>
        <v/>
      </c>
      <c r="G85" s="219">
        <f>D85*'Plan-Annahmen'!$B$21</f>
        <v/>
      </c>
      <c r="H85" s="215">
        <f>E85*'Plan-Annahmen'!$B$14+F85*'Plan-Annahmen'!$B$15</f>
        <v/>
      </c>
      <c r="I85" s="215">
        <f>H85*('Plan-Annahmen'!$B$52+'Plan-Annahmen'!$B$53)</f>
        <v/>
      </c>
      <c r="J85" s="215">
        <f>E85*('Plan-Annahmen'!$B$14*'Plan-Annahmen'!$B$18+'Plan-Annahmen'!$B$19)+F85*('Plan-Annahmen'!$B$15*'Plan-Annahmen'!$B$18+'Plan-Annahmen'!$B$19)</f>
        <v/>
      </c>
      <c r="K85" s="215">
        <f>G85*'Plan-Annahmen'!$B$17/100</f>
        <v/>
      </c>
      <c r="L85" s="215">
        <f>'Plan-Kunden'!D85*'Plan-Annahmen'!$B$15*'Plan-Annahmen'!$B$50</f>
        <v/>
      </c>
      <c r="M85" s="215">
        <f>'Plan-Kosten'!AG$61</f>
        <v/>
      </c>
      <c r="N85" s="215">
        <f>IF(A85&gt;=$O$64,'Plan-Kosten'!$F$71,0)</f>
        <v/>
      </c>
      <c r="O85" s="215">
        <f>'Plan-Kosten'!AG$58</f>
        <v/>
      </c>
      <c r="P85" s="215">
        <f>IF(A85=$O$64,'Plan-Kosten'!$F$72,0)</f>
        <v/>
      </c>
      <c r="Q85" s="182">
        <f>I85+J85+K85+L85+M85+N85+O85+P85</f>
        <v/>
      </c>
      <c r="R85" s="153">
        <f>H85-Q85</f>
        <v/>
      </c>
      <c r="S85" s="215">
        <f>MAX(0,R85*'Plan-Annahmen'!$B$82)</f>
        <v/>
      </c>
      <c r="T85" s="182">
        <f>R85-S85</f>
        <v/>
      </c>
      <c r="U85" s="182">
        <f>U84+T85</f>
        <v/>
      </c>
      <c r="V85" s="215">
        <f>V84+'Plan-Kosten'!AG$59+IF(A85=$O$64,'Plan-Kosten'!$F$73,0)</f>
        <v/>
      </c>
      <c r="W85" s="153">
        <f>U85-V85</f>
        <v/>
      </c>
      <c r="X85" s="149">
        <f>IF(R85&gt;0,1,0)</f>
        <v/>
      </c>
      <c r="Y85" s="192">
        <f>'Plan-Kunden'!P85</f>
        <v/>
      </c>
      <c r="Z85" s="220">
        <f>'Plan-Kunden'!Q85</f>
        <v/>
      </c>
      <c r="AA85" s="220">
        <f>IF(D85&gt;='Plan-Phase B'!$C$22,1,0)</f>
        <v/>
      </c>
      <c r="AB85" s="220">
        <f>IF(D85&gt;='Plan-Phase B'!$D$22,1,0)</f>
        <v/>
      </c>
      <c r="AC85" s="220">
        <f>IF(D85&gt;='Plan-Phase B'!$E$22,1,0)</f>
        <v/>
      </c>
      <c r="AD85" s="149">
        <f>IF(AND(W85&gt;=0,A85&gt;$K$64),1,0)</f>
        <v/>
      </c>
      <c r="AE85" s="149">
        <f>IF(A85&gt;=$O$64,1,0)</f>
        <v/>
      </c>
    </row>
    <row r="86" ht="15" customHeight="1" s="116">
      <c r="A86" s="149" t="n">
        <v>21</v>
      </c>
      <c r="B86" s="187">
        <f>'Plan-Kunden'!B86</f>
        <v/>
      </c>
      <c r="C86" s="192">
        <f>'Plan-Kunden'!E86</f>
        <v/>
      </c>
      <c r="D86" s="192">
        <f>'Plan-Kunden'!K86</f>
        <v/>
      </c>
      <c r="E86" s="192">
        <f>'Plan-Kunden'!I86</f>
        <v/>
      </c>
      <c r="F86" s="192">
        <f>'Plan-Kunden'!J86</f>
        <v/>
      </c>
      <c r="G86" s="219">
        <f>D86*'Plan-Annahmen'!$B$21</f>
        <v/>
      </c>
      <c r="H86" s="215">
        <f>E86*'Plan-Annahmen'!$B$14+F86*'Plan-Annahmen'!$B$15</f>
        <v/>
      </c>
      <c r="I86" s="215">
        <f>H86*('Plan-Annahmen'!$B$52+'Plan-Annahmen'!$B$53)</f>
        <v/>
      </c>
      <c r="J86" s="215">
        <f>E86*('Plan-Annahmen'!$B$14*'Plan-Annahmen'!$B$18+'Plan-Annahmen'!$B$19)+F86*('Plan-Annahmen'!$B$15*'Plan-Annahmen'!$B$18+'Plan-Annahmen'!$B$19)</f>
        <v/>
      </c>
      <c r="K86" s="215">
        <f>G86*'Plan-Annahmen'!$B$17/100</f>
        <v/>
      </c>
      <c r="L86" s="215">
        <f>'Plan-Kunden'!D86*'Plan-Annahmen'!$B$15*'Plan-Annahmen'!$B$50</f>
        <v/>
      </c>
      <c r="M86" s="215">
        <f>'Plan-Kosten'!AH$61</f>
        <v/>
      </c>
      <c r="N86" s="215">
        <f>IF(A86&gt;=$O$64,'Plan-Kosten'!$F$71,0)</f>
        <v/>
      </c>
      <c r="O86" s="215">
        <f>'Plan-Kosten'!AH$58</f>
        <v/>
      </c>
      <c r="P86" s="215">
        <f>IF(A86=$O$64,'Plan-Kosten'!$F$72,0)</f>
        <v/>
      </c>
      <c r="Q86" s="182">
        <f>I86+J86+K86+L86+M86+N86+O86+P86</f>
        <v/>
      </c>
      <c r="R86" s="153">
        <f>H86-Q86</f>
        <v/>
      </c>
      <c r="S86" s="215">
        <f>MAX(0,R86*'Plan-Annahmen'!$B$82)</f>
        <v/>
      </c>
      <c r="T86" s="182">
        <f>R86-S86</f>
        <v/>
      </c>
      <c r="U86" s="182">
        <f>U85+T86</f>
        <v/>
      </c>
      <c r="V86" s="215">
        <f>V85+'Plan-Kosten'!AH$59+IF(A86=$O$64,'Plan-Kosten'!$F$73,0)</f>
        <v/>
      </c>
      <c r="W86" s="153">
        <f>U86-V86</f>
        <v/>
      </c>
      <c r="X86" s="149">
        <f>IF(R86&gt;0,1,0)</f>
        <v/>
      </c>
      <c r="Y86" s="192">
        <f>'Plan-Kunden'!P86</f>
        <v/>
      </c>
      <c r="Z86" s="220">
        <f>'Plan-Kunden'!Q86</f>
        <v/>
      </c>
      <c r="AA86" s="220">
        <f>IF(D86&gt;='Plan-Phase B'!$C$22,1,0)</f>
        <v/>
      </c>
      <c r="AB86" s="220">
        <f>IF(D86&gt;='Plan-Phase B'!$D$22,1,0)</f>
        <v/>
      </c>
      <c r="AC86" s="220">
        <f>IF(D86&gt;='Plan-Phase B'!$E$22,1,0)</f>
        <v/>
      </c>
      <c r="AD86" s="149">
        <f>IF(AND(W86&gt;=0,A86&gt;$K$64),1,0)</f>
        <v/>
      </c>
      <c r="AE86" s="149">
        <f>IF(A86&gt;=$O$64,1,0)</f>
        <v/>
      </c>
    </row>
    <row r="87" ht="15" customHeight="1" s="116">
      <c r="A87" s="149" t="n">
        <v>22</v>
      </c>
      <c r="B87" s="187">
        <f>'Plan-Kunden'!B87</f>
        <v/>
      </c>
      <c r="C87" s="192">
        <f>'Plan-Kunden'!E87</f>
        <v/>
      </c>
      <c r="D87" s="192">
        <f>'Plan-Kunden'!K87</f>
        <v/>
      </c>
      <c r="E87" s="192">
        <f>'Plan-Kunden'!I87</f>
        <v/>
      </c>
      <c r="F87" s="192">
        <f>'Plan-Kunden'!J87</f>
        <v/>
      </c>
      <c r="G87" s="219">
        <f>D87*'Plan-Annahmen'!$B$21</f>
        <v/>
      </c>
      <c r="H87" s="215">
        <f>E87*'Plan-Annahmen'!$B$14+F87*'Plan-Annahmen'!$B$15</f>
        <v/>
      </c>
      <c r="I87" s="215">
        <f>H87*('Plan-Annahmen'!$B$52+'Plan-Annahmen'!$B$53)</f>
        <v/>
      </c>
      <c r="J87" s="215">
        <f>E87*('Plan-Annahmen'!$B$14*'Plan-Annahmen'!$B$18+'Plan-Annahmen'!$B$19)+F87*('Plan-Annahmen'!$B$15*'Plan-Annahmen'!$B$18+'Plan-Annahmen'!$B$19)</f>
        <v/>
      </c>
      <c r="K87" s="215">
        <f>G87*'Plan-Annahmen'!$B$17/100</f>
        <v/>
      </c>
      <c r="L87" s="215">
        <f>'Plan-Kunden'!D87*'Plan-Annahmen'!$B$15*'Plan-Annahmen'!$B$50</f>
        <v/>
      </c>
      <c r="M87" s="215">
        <f>'Plan-Kosten'!AI$61</f>
        <v/>
      </c>
      <c r="N87" s="215">
        <f>IF(A87&gt;=$O$64,'Plan-Kosten'!$F$71,0)</f>
        <v/>
      </c>
      <c r="O87" s="215">
        <f>'Plan-Kosten'!AI$58</f>
        <v/>
      </c>
      <c r="P87" s="215">
        <f>IF(A87=$O$64,'Plan-Kosten'!$F$72,0)</f>
        <v/>
      </c>
      <c r="Q87" s="182">
        <f>I87+J87+K87+L87+M87+N87+O87+P87</f>
        <v/>
      </c>
      <c r="R87" s="153">
        <f>H87-Q87</f>
        <v/>
      </c>
      <c r="S87" s="215">
        <f>MAX(0,R87*'Plan-Annahmen'!$B$82)</f>
        <v/>
      </c>
      <c r="T87" s="182">
        <f>R87-S87</f>
        <v/>
      </c>
      <c r="U87" s="182">
        <f>U86+T87</f>
        <v/>
      </c>
      <c r="V87" s="215">
        <f>V86+'Plan-Kosten'!AI$59+IF(A87=$O$64,'Plan-Kosten'!$F$73,0)</f>
        <v/>
      </c>
      <c r="W87" s="153">
        <f>U87-V87</f>
        <v/>
      </c>
      <c r="X87" s="149">
        <f>IF(R87&gt;0,1,0)</f>
        <v/>
      </c>
      <c r="Y87" s="192">
        <f>'Plan-Kunden'!P87</f>
        <v/>
      </c>
      <c r="Z87" s="220">
        <f>'Plan-Kunden'!Q87</f>
        <v/>
      </c>
      <c r="AA87" s="220">
        <f>IF(D87&gt;='Plan-Phase B'!$C$22,1,0)</f>
        <v/>
      </c>
      <c r="AB87" s="220">
        <f>IF(D87&gt;='Plan-Phase B'!$D$22,1,0)</f>
        <v/>
      </c>
      <c r="AC87" s="220">
        <f>IF(D87&gt;='Plan-Phase B'!$E$22,1,0)</f>
        <v/>
      </c>
      <c r="AD87" s="149">
        <f>IF(AND(W87&gt;=0,A87&gt;$K$64),1,0)</f>
        <v/>
      </c>
      <c r="AE87" s="149">
        <f>IF(A87&gt;=$O$64,1,0)</f>
        <v/>
      </c>
    </row>
    <row r="88" ht="15" customHeight="1" s="116">
      <c r="A88" s="149" t="n">
        <v>23</v>
      </c>
      <c r="B88" s="187">
        <f>'Plan-Kunden'!B88</f>
        <v/>
      </c>
      <c r="C88" s="192">
        <f>'Plan-Kunden'!E88</f>
        <v/>
      </c>
      <c r="D88" s="192">
        <f>'Plan-Kunden'!K88</f>
        <v/>
      </c>
      <c r="E88" s="192">
        <f>'Plan-Kunden'!I88</f>
        <v/>
      </c>
      <c r="F88" s="192">
        <f>'Plan-Kunden'!J88</f>
        <v/>
      </c>
      <c r="G88" s="219">
        <f>D88*'Plan-Annahmen'!$B$21</f>
        <v/>
      </c>
      <c r="H88" s="215">
        <f>E88*'Plan-Annahmen'!$B$14+F88*'Plan-Annahmen'!$B$15</f>
        <v/>
      </c>
      <c r="I88" s="215">
        <f>H88*('Plan-Annahmen'!$B$52+'Plan-Annahmen'!$B$53)</f>
        <v/>
      </c>
      <c r="J88" s="215">
        <f>E88*('Plan-Annahmen'!$B$14*'Plan-Annahmen'!$B$18+'Plan-Annahmen'!$B$19)+F88*('Plan-Annahmen'!$B$15*'Plan-Annahmen'!$B$18+'Plan-Annahmen'!$B$19)</f>
        <v/>
      </c>
      <c r="K88" s="215">
        <f>G88*'Plan-Annahmen'!$B$17/100</f>
        <v/>
      </c>
      <c r="L88" s="215">
        <f>'Plan-Kunden'!D88*'Plan-Annahmen'!$B$15*'Plan-Annahmen'!$B$50</f>
        <v/>
      </c>
      <c r="M88" s="215">
        <f>'Plan-Kosten'!AJ$61</f>
        <v/>
      </c>
      <c r="N88" s="215">
        <f>IF(A88&gt;=$O$64,'Plan-Kosten'!$F$71,0)</f>
        <v/>
      </c>
      <c r="O88" s="215">
        <f>'Plan-Kosten'!AJ$58</f>
        <v/>
      </c>
      <c r="P88" s="215">
        <f>IF(A88=$O$64,'Plan-Kosten'!$F$72,0)</f>
        <v/>
      </c>
      <c r="Q88" s="182">
        <f>I88+J88+K88+L88+M88+N88+O88+P88</f>
        <v/>
      </c>
      <c r="R88" s="153">
        <f>H88-Q88</f>
        <v/>
      </c>
      <c r="S88" s="215">
        <f>MAX(0,R88*'Plan-Annahmen'!$B$82)</f>
        <v/>
      </c>
      <c r="T88" s="182">
        <f>R88-S88</f>
        <v/>
      </c>
      <c r="U88" s="182">
        <f>U87+T88</f>
        <v/>
      </c>
      <c r="V88" s="215">
        <f>V87+'Plan-Kosten'!AJ$59+IF(A88=$O$64,'Plan-Kosten'!$F$73,0)</f>
        <v/>
      </c>
      <c r="W88" s="153">
        <f>U88-V88</f>
        <v/>
      </c>
      <c r="X88" s="149">
        <f>IF(R88&gt;0,1,0)</f>
        <v/>
      </c>
      <c r="Y88" s="192">
        <f>'Plan-Kunden'!P88</f>
        <v/>
      </c>
      <c r="Z88" s="220">
        <f>'Plan-Kunden'!Q88</f>
        <v/>
      </c>
      <c r="AA88" s="220">
        <f>IF(D88&gt;='Plan-Phase B'!$C$22,1,0)</f>
        <v/>
      </c>
      <c r="AB88" s="220">
        <f>IF(D88&gt;='Plan-Phase B'!$D$22,1,0)</f>
        <v/>
      </c>
      <c r="AC88" s="220">
        <f>IF(D88&gt;='Plan-Phase B'!$E$22,1,0)</f>
        <v/>
      </c>
      <c r="AD88" s="149">
        <f>IF(AND(W88&gt;=0,A88&gt;$K$64),1,0)</f>
        <v/>
      </c>
      <c r="AE88" s="149">
        <f>IF(A88&gt;=$O$64,1,0)</f>
        <v/>
      </c>
    </row>
    <row r="89" ht="15" customHeight="1" s="116">
      <c r="A89" s="149" t="n">
        <v>24</v>
      </c>
      <c r="B89" s="187">
        <f>'Plan-Kunden'!B89</f>
        <v/>
      </c>
      <c r="C89" s="192">
        <f>'Plan-Kunden'!E89</f>
        <v/>
      </c>
      <c r="D89" s="192">
        <f>'Plan-Kunden'!K89</f>
        <v/>
      </c>
      <c r="E89" s="192">
        <f>'Plan-Kunden'!I89</f>
        <v/>
      </c>
      <c r="F89" s="192">
        <f>'Plan-Kunden'!J89</f>
        <v/>
      </c>
      <c r="G89" s="219">
        <f>D89*'Plan-Annahmen'!$B$21</f>
        <v/>
      </c>
      <c r="H89" s="215">
        <f>E89*'Plan-Annahmen'!$B$14+F89*'Plan-Annahmen'!$B$15</f>
        <v/>
      </c>
      <c r="I89" s="215">
        <f>H89*('Plan-Annahmen'!$B$52+'Plan-Annahmen'!$B$53)</f>
        <v/>
      </c>
      <c r="J89" s="215">
        <f>E89*('Plan-Annahmen'!$B$14*'Plan-Annahmen'!$B$18+'Plan-Annahmen'!$B$19)+F89*('Plan-Annahmen'!$B$15*'Plan-Annahmen'!$B$18+'Plan-Annahmen'!$B$19)</f>
        <v/>
      </c>
      <c r="K89" s="215">
        <f>G89*'Plan-Annahmen'!$B$17/100</f>
        <v/>
      </c>
      <c r="L89" s="215">
        <f>'Plan-Kunden'!D89*'Plan-Annahmen'!$B$15*'Plan-Annahmen'!$B$50</f>
        <v/>
      </c>
      <c r="M89" s="215">
        <f>'Plan-Kosten'!AK$61</f>
        <v/>
      </c>
      <c r="N89" s="215">
        <f>IF(A89&gt;=$O$64,'Plan-Kosten'!$F$71,0)</f>
        <v/>
      </c>
      <c r="O89" s="215">
        <f>'Plan-Kosten'!AK$58</f>
        <v/>
      </c>
      <c r="P89" s="215">
        <f>IF(A89=$O$64,'Plan-Kosten'!$F$72,0)</f>
        <v/>
      </c>
      <c r="Q89" s="182">
        <f>I89+J89+K89+L89+M89+N89+O89+P89</f>
        <v/>
      </c>
      <c r="R89" s="153">
        <f>H89-Q89</f>
        <v/>
      </c>
      <c r="S89" s="215">
        <f>MAX(0,R89*'Plan-Annahmen'!$B$82)</f>
        <v/>
      </c>
      <c r="T89" s="182">
        <f>R89-S89</f>
        <v/>
      </c>
      <c r="U89" s="182">
        <f>U88+T89</f>
        <v/>
      </c>
      <c r="V89" s="215">
        <f>V88+'Plan-Kosten'!AK$59+IF(A89=$O$64,'Plan-Kosten'!$F$73,0)</f>
        <v/>
      </c>
      <c r="W89" s="153">
        <f>U89-V89</f>
        <v/>
      </c>
      <c r="X89" s="149">
        <f>IF(R89&gt;0,1,0)</f>
        <v/>
      </c>
      <c r="Y89" s="192">
        <f>'Plan-Kunden'!P89</f>
        <v/>
      </c>
      <c r="Z89" s="220">
        <f>'Plan-Kunden'!Q89</f>
        <v/>
      </c>
      <c r="AA89" s="220">
        <f>IF(D89&gt;='Plan-Phase B'!$C$22,1,0)</f>
        <v/>
      </c>
      <c r="AB89" s="220">
        <f>IF(D89&gt;='Plan-Phase B'!$D$22,1,0)</f>
        <v/>
      </c>
      <c r="AC89" s="220">
        <f>IF(D89&gt;='Plan-Phase B'!$E$22,1,0)</f>
        <v/>
      </c>
      <c r="AD89" s="149">
        <f>IF(AND(W89&gt;=0,A89&gt;$K$64),1,0)</f>
        <v/>
      </c>
      <c r="AE89" s="149">
        <f>IF(A89&gt;=$O$64,1,0)</f>
        <v/>
      </c>
    </row>
    <row r="90" ht="15" customHeight="1" s="116">
      <c r="A90" s="129" t="inlineStr">
        <is>
          <t>Σ 24 Monate</t>
        </is>
      </c>
      <c r="B90" s="130" t="n"/>
      <c r="C90" s="130" t="n"/>
      <c r="D90" s="130" t="n"/>
      <c r="E90" s="130" t="n"/>
      <c r="F90" s="130" t="n"/>
      <c r="G90" s="130" t="n"/>
      <c r="H90" s="132">
        <f>SUM(H66:H89)</f>
        <v/>
      </c>
      <c r="I90" s="132">
        <f>SUM(I66:I89)</f>
        <v/>
      </c>
      <c r="J90" s="132">
        <f>SUM(J66:J89)</f>
        <v/>
      </c>
      <c r="K90" s="132">
        <f>SUM(K66:K89)</f>
        <v/>
      </c>
      <c r="L90" s="132">
        <f>SUM(L66:L89)</f>
        <v/>
      </c>
      <c r="M90" s="132">
        <f>SUM(M66:M89)</f>
        <v/>
      </c>
      <c r="N90" s="132">
        <f>SUM(N66:N89)</f>
        <v/>
      </c>
      <c r="O90" s="132">
        <f>SUM(O66:O89)</f>
        <v/>
      </c>
      <c r="P90" s="132">
        <f>SUM(P66:P89)</f>
        <v/>
      </c>
      <c r="Q90" s="132">
        <f>SUM(Q66:Q89)</f>
        <v/>
      </c>
      <c r="R90" s="132">
        <f>SUM(R66:R89)</f>
        <v/>
      </c>
      <c r="S90" s="132">
        <f>SUM(S66:S89)</f>
        <v/>
      </c>
      <c r="T90" s="132">
        <f>SUM(T66:T89)</f>
        <v/>
      </c>
      <c r="U90" s="130" t="n"/>
      <c r="V90" s="130" t="n"/>
      <c r="W90" s="130" t="n"/>
      <c r="X90" s="130" t="n"/>
      <c r="Y90" s="130" t="n"/>
      <c r="Z90" s="130" t="n"/>
      <c r="AA90" s="130" t="n"/>
      <c r="AB90" s="130" t="n"/>
      <c r="AC90" s="130" t="n"/>
      <c r="AD90" s="130" t="n"/>
      <c r="AE90" s="130" t="n"/>
    </row>
  </sheetData>
  <mergeCells count="1">
    <mergeCell ref="A2:AE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187"/>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6" customWidth="1" style="213" min="1" max="1"/>
    <col width="17" customWidth="1" style="213" min="2" max="5"/>
    <col width="15" customWidth="1" style="213" min="6" max="9"/>
  </cols>
  <sheetData>
    <row r="1" ht="17.25" customHeight="1" s="116">
      <c r="A1" s="117" t="inlineStr">
        <is>
          <t>Plan-Phase B — der Ausstieg als Treppe, nicht als Sprung</t>
        </is>
      </c>
    </row>
    <row r="2" ht="15" customHeight="1" s="116">
      <c r="A2" s="157" t="inlineStr">
        <is>
          <t>Drei Stufen: A = heute (40 Std., das Gehalt deckt den Bedarf) · B1 = Teilzeit (30 oder 25 Std., Sofortangebot schließt nur die LÜCKE zum reduzierten Netto, die Krankenversicherung bleibt beim Arbeitgeber) · B2 = Anstellung fällt ganz weg (volle 2.500 € netto plus alles, was der Arbeitgeber bisher getragen hat). Für B1 wird der zusätzliche Gewinn mit dem Grenzsteuersatz auf dem jeweils kleineren Gehalt versteuert, für B2 greift die Nachschlagetabelle unten. Gerechnet als Einzelunternehmen — in der Einzelunternehmens-Phase ist das die richtige Rechnung; ab einer UG-Gründung käme die Besteuerung der Gesellschaft dazwischen (Steuerberater).</t>
        </is>
      </c>
    </row>
    <row r="3" ht="15" customHeight="1" s="116"/>
    <row r="4" ht="15" customHeight="1" s="116"/>
    <row r="6" ht="15" customHeight="1" s="116">
      <c r="A6" s="133" t="inlineStr">
        <is>
          <t>Die Stufen</t>
        </is>
      </c>
    </row>
    <row r="7" ht="26.25" customHeight="1" s="116">
      <c r="A7" s="119" t="n"/>
      <c r="B7" s="119" t="inlineStr">
        <is>
          <t>Stufe A — 40 Std. (heute)</t>
        </is>
      </c>
      <c r="C7" s="119" t="inlineStr">
        <is>
          <t>Stufe B1 — 30 Std.</t>
        </is>
      </c>
      <c r="D7" s="119" t="inlineStr">
        <is>
          <t>Stufe B1 — 25 Std.</t>
        </is>
      </c>
      <c r="E7" s="119" t="inlineStr">
        <is>
          <t>Stufe B2 — 0 Std.</t>
        </is>
      </c>
    </row>
    <row r="8" ht="15" customHeight="1" s="116">
      <c r="A8" s="149" t="inlineStr">
        <is>
          <t>Wochenstunden in der Anstellung</t>
        </is>
      </c>
      <c r="B8" s="184" t="n">
        <v>40</v>
      </c>
      <c r="C8" s="188">
        <f>'Plan-Annahmen'!$B$89</f>
        <v/>
      </c>
      <c r="D8" s="188">
        <f>'Plan-Annahmen'!$B$90</f>
        <v/>
      </c>
      <c r="E8" s="184" t="n">
        <v>0</v>
      </c>
    </row>
    <row r="9" ht="15" customHeight="1" s="116">
      <c r="A9" s="149" t="inlineStr">
        <is>
          <t>Bruttogehalt (Jahr)</t>
        </is>
      </c>
      <c r="B9" s="219">
        <f>'Plan-Annahmen'!$B$77</f>
        <v/>
      </c>
      <c r="C9" s="219">
        <f>'Plan-Annahmen'!$B$77*C8/40</f>
        <v/>
      </c>
      <c r="D9" s="219">
        <f>'Plan-Annahmen'!$B$77*D8/40</f>
        <v/>
      </c>
      <c r="E9" s="185" t="n">
        <v>0</v>
      </c>
    </row>
    <row r="10" ht="15" customHeight="1" s="116">
      <c r="A10" s="149" t="inlineStr">
        <is>
          <t>zu versteuerndes Einkommen aus dem Gehalt</t>
        </is>
      </c>
      <c r="B10" s="219">
        <f>MAX(0,B9-'Plan-Annahmen'!$B$79-B9*'Plan-Annahmen'!$B$80-36)</f>
        <v/>
      </c>
      <c r="C10" s="219">
        <f>MAX(0,C9-'Plan-Annahmen'!$B$79-C9*'Plan-Annahmen'!$B$80-36)</f>
        <v/>
      </c>
      <c r="D10" s="219">
        <f>MAX(0,D9-'Plan-Annahmen'!$B$79-D9*'Plan-Annahmen'!$B$80-36)</f>
        <v/>
      </c>
      <c r="E10" s="185" t="n">
        <v>0</v>
      </c>
    </row>
    <row r="11" ht="15" customHeight="1" s="116">
      <c r="A11" s="149" t="inlineStr">
        <is>
          <t>Einkommensteuer auf das Gehalt (Jahr)</t>
        </is>
      </c>
      <c r="B11" s="185">
        <f>IF(INT(MAX(0,B10))&lt;=12348,0,IF(INT(MAX(0,B10))&lt;=17799,(914.51*((INT(MAX(0,B10))-12348)/10000)+1400)*((INT(MAX(0,B10))-12348)/10000),IF(INT(MAX(0,B10))&lt;=69878,(173.1*((INT(MAX(0,B10))-17799)/10000)+2397)*((INT(MAX(0,B10))-17799)/10000)+1034.87,IF(INT(MAX(0,B10))&lt;=277825,0.42*INT(MAX(0,B10))-11135.63,0.45*INT(MAX(0,B10))-19470.38))))</f>
        <v/>
      </c>
      <c r="C11" s="185">
        <f>IF(INT(MAX(0,C10))&lt;=12348,0,IF(INT(MAX(0,C10))&lt;=17799,(914.51*((INT(MAX(0,C10))-12348)/10000)+1400)*((INT(MAX(0,C10))-12348)/10000),IF(INT(MAX(0,C10))&lt;=69878,(173.1*((INT(MAX(0,C10))-17799)/10000)+2397)*((INT(MAX(0,C10))-17799)/10000)+1034.87,IF(INT(MAX(0,C10))&lt;=277825,0.42*INT(MAX(0,C10))-11135.63,0.45*INT(MAX(0,C10))-19470.38))))</f>
        <v/>
      </c>
      <c r="D11" s="185">
        <f>IF(INT(MAX(0,D10))&lt;=12348,0,IF(INT(MAX(0,D10))&lt;=17799,(914.51*((INT(MAX(0,D10))-12348)/10000)+1400)*((INT(MAX(0,D10))-12348)/10000),IF(INT(MAX(0,D10))&lt;=69878,(173.1*((INT(MAX(0,D10))-17799)/10000)+2397)*((INT(MAX(0,D10))-17799)/10000)+1034.87,IF(INT(MAX(0,D10))&lt;=277825,0.42*INT(MAX(0,D10))-11135.63,0.45*INT(MAX(0,D10))-19470.38))))</f>
        <v/>
      </c>
      <c r="E11" s="185" t="n">
        <v>0</v>
      </c>
    </row>
    <row r="12" ht="15" customHeight="1" s="116">
      <c r="A12" s="149" t="inlineStr">
        <is>
          <t>Nettogehalt pro Monat (Näherung)</t>
        </is>
      </c>
      <c r="B12" s="215">
        <f>(B9-B9*'Plan-Annahmen'!$B$78-B11)/12</f>
        <v/>
      </c>
      <c r="C12" s="215">
        <f>(C9-C9*'Plan-Annahmen'!$B$78-C11)/12</f>
        <v/>
      </c>
      <c r="D12" s="215">
        <f>(D9-D9*'Plan-Annahmen'!$B$78-D11)/12</f>
        <v/>
      </c>
      <c r="E12" s="182" t="n">
        <v>0</v>
      </c>
    </row>
    <row r="13" ht="15" customHeight="1" s="116">
      <c r="A13" s="155" t="inlineStr">
        <is>
          <t>Lücke zu 2.500 € netto, die Sofortangebot schließen muss (pro Monat)</t>
        </is>
      </c>
      <c r="B13" s="153">
        <f>MAX(0,'Plan-Annahmen'!$B$86-B12)</f>
        <v/>
      </c>
      <c r="C13" s="153">
        <f>MAX(0,'Plan-Annahmen'!$B$86-C12)</f>
        <v/>
      </c>
      <c r="D13" s="153">
        <f>MAX(0,'Plan-Annahmen'!$B$86-D12)</f>
        <v/>
      </c>
      <c r="E13" s="153">
        <f>'Plan-Annahmen'!$B$86</f>
        <v/>
      </c>
    </row>
    <row r="14" ht="15" customHeight="1" s="116">
      <c r="A14" s="149" t="inlineStr">
        <is>
          <t>Krankenversicherung</t>
        </is>
      </c>
      <c r="B14" s="184" t="inlineStr">
        <is>
          <t>Arbeitgeber</t>
        </is>
      </c>
      <c r="C14" s="184" t="inlineStr">
        <is>
          <t>Arbeitgeber</t>
        </is>
      </c>
      <c r="D14" s="184" t="inlineStr">
        <is>
          <t>Arbeitgeber</t>
        </is>
      </c>
      <c r="E14" s="184" t="inlineStr">
        <is>
          <t>selbst (voll)</t>
        </is>
      </c>
    </row>
    <row r="15" ht="15" customHeight="1" s="116">
      <c r="A15" s="149" t="inlineStr">
        <is>
          <t>Grenzsteuersatz auf den Sofortangebot-Gewinn</t>
        </is>
      </c>
      <c r="B15" s="210">
        <f>'Plan-Annahmen'!$B$82</f>
        <v/>
      </c>
      <c r="C15" s="186">
        <f>(IF(INT(MAX(0,C10+1000))&lt;=12348,0,IF(INT(MAX(0,C10+1000))&lt;=17799,(914.51*((INT(MAX(0,C10+1000))-12348)/10000)+1400)*((INT(MAX(0,C10+1000))-12348)/10000),IF(INT(MAX(0,C10+1000))&lt;=69878,(173.1*((INT(MAX(0,C10+1000))-17799)/10000)+2397)*((INT(MAX(0,C10+1000))-17799)/10000)+1034.87,IF(INT(MAX(0,C10+1000))&lt;=277825,0.42*INT(MAX(0,C10+1000))-11135.63,0.45*INT(MAX(0,C10+1000))-19470.38))))-IF(INT(MAX(0,C10))&lt;=12348,0,IF(INT(MAX(0,C10))&lt;=17799,(914.51*((INT(MAX(0,C10))-12348)/10000)+1400)*((INT(MAX(0,C10))-12348)/10000),IF(INT(MAX(0,C10))&lt;=69878,(173.1*((INT(MAX(0,C10))-17799)/10000)+2397)*((INT(MAX(0,C10))-17799)/10000)+1034.87,IF(INT(MAX(0,C10))&lt;=277825,0.42*INT(MAX(0,C10))-11135.63,0.45*INT(MAX(0,C10))-19470.38)))))/1000</f>
        <v/>
      </c>
      <c r="D15" s="186">
        <f>(IF(INT(MAX(0,D10+1000))&lt;=12348,0,IF(INT(MAX(0,D10+1000))&lt;=17799,(914.51*((INT(MAX(0,D10+1000))-12348)/10000)+1400)*((INT(MAX(0,D10+1000))-12348)/10000),IF(INT(MAX(0,D10+1000))&lt;=69878,(173.1*((INT(MAX(0,D10+1000))-17799)/10000)+2397)*((INT(MAX(0,D10+1000))-17799)/10000)+1034.87,IF(INT(MAX(0,D10+1000))&lt;=277825,0.42*INT(MAX(0,D10+1000))-11135.63,0.45*INT(MAX(0,D10+1000))-19470.38))))-IF(INT(MAX(0,D10))&lt;=12348,0,IF(INT(MAX(0,D10))&lt;=17799,(914.51*((INT(MAX(0,D10))-12348)/10000)+1400)*((INT(MAX(0,D10))-12348)/10000),IF(INT(MAX(0,D10))&lt;=69878,(173.1*((INT(MAX(0,D10))-17799)/10000)+2397)*((INT(MAX(0,D10))-17799)/10000)+1034.87,IF(INT(MAX(0,D10))&lt;=277825,0.42*INT(MAX(0,D10))-11135.63,0.45*INT(MAX(0,D10))-19470.38)))))/1000</f>
        <v/>
      </c>
      <c r="E15" s="186" t="inlineStr">
        <is>
          <t>—</t>
        </is>
      </c>
    </row>
    <row r="16" ht="15" customHeight="1" s="116">
      <c r="A16" s="155" t="inlineStr">
        <is>
          <t>Nötiger Gewinn aus Sofortangebot (pro Monat, vor Steuer)</t>
        </is>
      </c>
      <c r="B16" s="153" t="n">
        <v>0</v>
      </c>
      <c r="C16" s="153">
        <f>C13/(1-C15)</f>
        <v/>
      </c>
      <c r="D16" s="153">
        <f>D13/(1-D15)</f>
        <v/>
      </c>
      <c r="E16" s="153">
        <f>IFERROR(INDEX($A$47:$A$185,MATCH('Plan-Annahmen'!$B$86*12,$E$47:$E$185,1)+1)/12,"&gt; 150.000 €")</f>
        <v/>
      </c>
    </row>
    <row r="17" ht="15" customHeight="1" s="116">
      <c r="A17" s="149" t="inlineStr">
        <is>
          <t>Laufende Kosten Sofortangebot (€/Monat, Stand Monat 24)</t>
        </is>
      </c>
      <c r="B17" s="215">
        <f>'Plan-Kosten'!$AK$61</f>
        <v/>
      </c>
      <c r="C17" s="215">
        <f>'Plan-Kosten'!$AK$61+'Plan-Kosten'!$F$71</f>
        <v/>
      </c>
      <c r="D17" s="215">
        <f>'Plan-Kosten'!$AK$61+'Plan-Kosten'!$F$71</f>
        <v/>
      </c>
      <c r="E17" s="215">
        <f>'Plan-Kosten'!$AK$61+'Plan-Kosten'!$F$71</f>
        <v/>
      </c>
    </row>
    <row r="18" ht="26.25" customHeight="1" s="116">
      <c r="A18" s="157" t="inlineStr">
        <is>
          <t>In den Spalten B1 und B2 sind die UG-Mehrkosten (210 €/Monat) enthalten: Jede Ausstiegsstufe verlangt mehr als 30 zahlende Betriebe und liegt damit weit über dem UG-Auslöser von rund 20 — an diesen Punkten gibt es die UG also bereits. Stufe A zeigt die heutige Kostenbasis ohne UG.</t>
        </is>
      </c>
    </row>
    <row r="19" ht="15" customHeight="1" s="116">
      <c r="A19" s="149" t="inlineStr">
        <is>
          <t>Deckungsbeitrag je Gründerkunde (29 €, 8 Angebote, nach Ausfall/Kulanz)</t>
        </is>
      </c>
      <c r="B19" s="188">
        <f>'Plan-Annahmen'!$B$14*(1-'Plan-Annahmen'!$B$52-'Plan-Annahmen'!$B$53)-'Plan-Annahmen'!$B$21*'Plan-Annahmen'!$B$17/100-('Plan-Annahmen'!$B$14*'Plan-Annahmen'!$B$18+'Plan-Annahmen'!$B$19)</f>
        <v/>
      </c>
      <c r="C19" s="184">
        <f>$B$19</f>
        <v/>
      </c>
      <c r="D19" s="184">
        <f>$B$19</f>
        <v/>
      </c>
      <c r="E19" s="184">
        <f>$B$19</f>
        <v/>
      </c>
    </row>
    <row r="20" ht="15" customHeight="1" s="116">
      <c r="A20" s="149" t="inlineStr">
        <is>
          <t>Deckungsbeitrag je Standardkunde (49 €, 8 Angebote, nach Ausfall/Kulanz)</t>
        </is>
      </c>
      <c r="B20" s="188">
        <f>'Plan-Annahmen'!$B$15*(1-'Plan-Annahmen'!$B$52-'Plan-Annahmen'!$B$53)-'Plan-Annahmen'!$B$21*'Plan-Annahmen'!$B$17/100-('Plan-Annahmen'!$B$15*'Plan-Annahmen'!$B$18+'Plan-Annahmen'!$B$19)</f>
        <v/>
      </c>
      <c r="C20" s="184">
        <f>$B$20</f>
        <v/>
      </c>
      <c r="D20" s="184">
        <f>$B$20</f>
        <v/>
      </c>
      <c r="E20" s="184">
        <f>$B$20</f>
        <v/>
      </c>
    </row>
    <row r="21" ht="15" customHeight="1" s="116">
      <c r="A21" s="149" t="inlineStr">
        <is>
          <t>Nötiger Deckungsbeitrag pro Monat (Gewinn + laufende Kosten)</t>
        </is>
      </c>
      <c r="B21" s="182">
        <f>B16+B17</f>
        <v/>
      </c>
      <c r="C21" s="182">
        <f>C16+C17</f>
        <v/>
      </c>
      <c r="D21" s="182">
        <f>D16+D17</f>
        <v/>
      </c>
      <c r="E21" s="182">
        <f>E16+E17</f>
        <v/>
      </c>
    </row>
    <row r="22" ht="15" customHeight="1" s="116">
      <c r="A22" s="129" t="inlineStr">
        <is>
          <t>Nötige zahlende Betriebe (25 Gründerpreis zuerst, Rest zu 49 €)</t>
        </is>
      </c>
      <c r="B22" s="171">
        <f>IF(B21&lt;='Plan-Annahmen'!$B$16*B19,ROUNDUP(B21/B19,0),'Plan-Annahmen'!$B$16+ROUNDUP((B21-'Plan-Annahmen'!$B$16*B19)/B20,0))</f>
        <v/>
      </c>
      <c r="C22" s="171">
        <f>IF(C21&lt;='Plan-Annahmen'!$B$16*C19,ROUNDUP(C21/C19,0),'Plan-Annahmen'!$B$16+ROUNDUP((C21-'Plan-Annahmen'!$B$16*C19)/C20,0))</f>
        <v/>
      </c>
      <c r="D22" s="171">
        <f>IF(D21&lt;='Plan-Annahmen'!$B$16*D19,ROUNDUP(D21/D19,0),'Plan-Annahmen'!$B$16+ROUNDUP((D21-'Plan-Annahmen'!$B$16*D19)/D20,0))</f>
        <v/>
      </c>
      <c r="E22" s="171">
        <f>IF(E21&lt;='Plan-Annahmen'!$B$16*E19,ROUNDUP(E21/E19,0),'Plan-Annahmen'!$B$16+ROUNDUP((E21-'Plan-Annahmen'!$B$16*E19)/E20,0))</f>
        <v/>
      </c>
    </row>
    <row r="23" ht="15" customHeight="1" s="116">
      <c r="A23" s="129" t="inlineStr">
        <is>
          <t>Nötiger Umsatz pro Monat (netto)</t>
        </is>
      </c>
      <c r="B23" s="132">
        <f>MIN(B22,'Plan-Annahmen'!$B$16)*'Plan-Annahmen'!$B$14+MAX(B22-'Plan-Annahmen'!$B$16,0)*'Plan-Annahmen'!$B$15</f>
        <v/>
      </c>
      <c r="C23" s="132">
        <f>MIN(C22,'Plan-Annahmen'!$B$16)*'Plan-Annahmen'!$B$14+MAX(C22-'Plan-Annahmen'!$B$16,0)*'Plan-Annahmen'!$B$15</f>
        <v/>
      </c>
      <c r="D23" s="132">
        <f>MIN(D22,'Plan-Annahmen'!$B$16)*'Plan-Annahmen'!$B$14+MAX(D22-'Plan-Annahmen'!$B$16,0)*'Plan-Annahmen'!$B$15</f>
        <v/>
      </c>
      <c r="E23" s="132">
        <f>MIN(E22,'Plan-Annahmen'!$B$16)*'Plan-Annahmen'!$B$14+MAX(E22-'Plan-Annahmen'!$B$16,0)*'Plan-Annahmen'!$B$15</f>
        <v/>
      </c>
    </row>
    <row r="24" ht="15" customHeight="1" s="116">
      <c r="A24" s="149" t="inlineStr">
        <is>
          <t>Zusätzlich frei werdende Zeit für Sofortangebot</t>
        </is>
      </c>
      <c r="B24" s="189" t="n">
        <v>0</v>
      </c>
      <c r="C24" s="192">
        <f>'Plan-Annahmen'!$B$91</f>
        <v/>
      </c>
      <c r="D24" s="192">
        <f>'Plan-Annahmen'!$B$92</f>
        <v/>
      </c>
      <c r="E24" s="189" t="n">
        <v>160</v>
      </c>
    </row>
    <row r="25" ht="15" customHeight="1" s="116">
      <c r="A25" s="149" t="inlineStr">
        <is>
          <t>Kapazität gesamt (Dauerlinie + frei werdende Zeit)</t>
        </is>
      </c>
      <c r="B25" s="192">
        <f>'Plan-Annahmen'!$B$69</f>
        <v/>
      </c>
      <c r="C25" s="192">
        <f>'Plan-Annahmen'!$B$69+C24</f>
        <v/>
      </c>
      <c r="D25" s="192">
        <f>'Plan-Annahmen'!$B$69+D24</f>
        <v/>
      </c>
      <c r="E25" s="189" t="n">
        <v>160</v>
      </c>
    </row>
    <row r="27" ht="26.25" customHeight="1" s="116">
      <c r="A27" s="157" t="inlineStr">
        <is>
          <t>Stufe B1 ist der eigentliche Hebel: Weil das Teilzeitgehalt weiterläuft und die Krankenversicherung beim Arbeitgeber bleibt, muss Sofortangebot nur die Lücke schließen — ein Bruchteil dessen, was für B2 nötig wäre. Zusätzlich setzt jede Stufe Zeit frei (43 bzw. 65 Stunden im Monat), und daran hängt das weitere Wachstum.</t>
        </is>
      </c>
    </row>
    <row r="29" ht="39" customHeight="1" s="116">
      <c r="A29" s="157" t="inlineStr">
        <is>
          <t>Antragsfristen: Ein Teilzeitantrag muss mindestens drei Monate vorher schriftlich gestellt werden (§ 8 bzw. § 9a TzBfG). Der Antragsmonat steht im Deckblatt drei Monate vor dem Monat, in dem B1 finanziell trägt. Zwei Wege: § 8 unbefristete Teilzeit (kein Rückkehrrecht) und § 9a Brückenteilzeit (ab 45 Beschäftigten, 1–5 Jahre, danach automatische Rückkehr — eine Absicherung, falls B1 nicht trägt, mit einem Mindestjahr, das den frühesten B2-Zeitpunkt beeinflusst). Die Wahl ist Sandys Entscheidung. Rechtsstand vom Chief of Staff nachgesehen, keine Rechtsberatung.</t>
        </is>
      </c>
    </row>
    <row r="31" ht="15" customHeight="1" s="116">
      <c r="A31" s="157" t="inlineStr">
        <is>
          <t>Zusätzlich empfohlen und bewusst nicht im Raster: ein privates Polster von drei bis sechs Monatsbedarfen vor dem Schritt nach B2 (Katalog H). Das ist keine Betriebsausgabe.</t>
        </is>
      </c>
    </row>
    <row r="45" ht="15" customHeight="1" s="116">
      <c r="A45" s="133" t="inlineStr">
        <is>
          <t>Nachschlagetabelle für Stufe B2: Jahresgewinn → Netto (Einkommensteuer 2026, KV/PV 2026)</t>
        </is>
      </c>
    </row>
    <row r="46" ht="39" customHeight="1" s="116">
      <c r="A46" s="119" t="inlineStr">
        <is>
          <t>Jahresgewinn vor Steuern</t>
        </is>
      </c>
      <c r="B46" s="119" t="inlineStr">
        <is>
          <t>KV + PV (Jahr)</t>
        </is>
      </c>
      <c r="C46" s="119" t="inlineStr">
        <is>
          <t>zvE ohne Altersvorsorge</t>
        </is>
      </c>
      <c r="D46" s="119" t="inlineStr">
        <is>
          <t>Einkommensteuer</t>
        </is>
      </c>
      <c r="E46" s="119" t="inlineStr">
        <is>
          <t>Netto (Untergrenze)</t>
        </is>
      </c>
      <c r="F46" s="119" t="inlineStr">
        <is>
          <t>zvE mit Altersvorsorge</t>
        </is>
      </c>
      <c r="G46" s="119" t="inlineStr">
        <is>
          <t>Einkommensteuer mit AV</t>
        </is>
      </c>
      <c r="H46" s="119" t="inlineStr">
        <is>
          <t>Netto nach Altersvorsorge</t>
        </is>
      </c>
    </row>
    <row r="47" ht="15" customHeight="1" s="116">
      <c r="A47" s="221" t="n">
        <v>12000</v>
      </c>
      <c r="B47" s="219">
        <f>MIN(MAX(A47/12,'Plan-Annahmen'!$B$100),'Plan-Annahmen'!$B$101)*12*('Plan-Annahmen'!$B$97+'Plan-Annahmen'!$B$98+'Plan-Annahmen'!$B$99)</f>
        <v/>
      </c>
      <c r="C47" s="219">
        <f>MAX(0,A47-B47-'Plan-Annahmen'!$B$102)</f>
        <v/>
      </c>
      <c r="D47" s="185">
        <f>IF(INT(MAX(0,C47))&lt;=12348,0,IF(INT(MAX(0,C47))&lt;=17799,(914.51*((INT(MAX(0,C47))-12348)/10000)+1400)*((INT(MAX(0,C47))-12348)/10000),IF(INT(MAX(0,C47))&lt;=69878,(173.1*((INT(MAX(0,C47))-17799)/10000)+2397)*((INT(MAX(0,C47))-17799)/10000)+1034.87,IF(INT(MAX(0,C47))&lt;=277825,0.42*INT(MAX(0,C47))-11135.63,0.45*INT(MAX(0,C47))-19470.38))))</f>
        <v/>
      </c>
      <c r="E47" s="185">
        <f>A47-B47-D47</f>
        <v/>
      </c>
      <c r="F47" s="219">
        <f>MAX(0,A47-B47-'Plan-Annahmen'!$B$88*12-'Plan-Annahmen'!$B$102)</f>
        <v/>
      </c>
      <c r="G47" s="185">
        <f>IF(INT(MAX(0,F47))&lt;=12348,0,IF(INT(MAX(0,F47))&lt;=17799,(914.51*((INT(MAX(0,F47))-12348)/10000)+1400)*((INT(MAX(0,F47))-12348)/10000),IF(INT(MAX(0,F47))&lt;=69878,(173.1*((INT(MAX(0,F47))-17799)/10000)+2397)*((INT(MAX(0,F47))-17799)/10000)+1034.87,IF(INT(MAX(0,F47))&lt;=277825,0.42*INT(MAX(0,F47))-11135.63,0.45*INT(MAX(0,F47))-19470.38))))</f>
        <v/>
      </c>
      <c r="H47" s="185">
        <f>A47-B47-G47-'Plan-Annahmen'!$B$88*12</f>
        <v/>
      </c>
    </row>
    <row r="48" ht="15" customHeight="1" s="116">
      <c r="A48" s="221" t="n">
        <v>13000</v>
      </c>
      <c r="B48" s="219">
        <f>MIN(MAX(A48/12,'Plan-Annahmen'!$B$100),'Plan-Annahmen'!$B$101)*12*('Plan-Annahmen'!$B$97+'Plan-Annahmen'!$B$98+'Plan-Annahmen'!$B$99)</f>
        <v/>
      </c>
      <c r="C48" s="219">
        <f>MAX(0,A48-B48-'Plan-Annahmen'!$B$102)</f>
        <v/>
      </c>
      <c r="D48" s="185">
        <f>IF(INT(MAX(0,C48))&lt;=12348,0,IF(INT(MAX(0,C48))&lt;=17799,(914.51*((INT(MAX(0,C48))-12348)/10000)+1400)*((INT(MAX(0,C48))-12348)/10000),IF(INT(MAX(0,C48))&lt;=69878,(173.1*((INT(MAX(0,C48))-17799)/10000)+2397)*((INT(MAX(0,C48))-17799)/10000)+1034.87,IF(INT(MAX(0,C48))&lt;=277825,0.42*INT(MAX(0,C48))-11135.63,0.45*INT(MAX(0,C48))-19470.38))))</f>
        <v/>
      </c>
      <c r="E48" s="185">
        <f>A48-B48-D48</f>
        <v/>
      </c>
      <c r="F48" s="219">
        <f>MAX(0,A48-B48-'Plan-Annahmen'!$B$88*12-'Plan-Annahmen'!$B$102)</f>
        <v/>
      </c>
      <c r="G48" s="185">
        <f>IF(INT(MAX(0,F48))&lt;=12348,0,IF(INT(MAX(0,F48))&lt;=17799,(914.51*((INT(MAX(0,F48))-12348)/10000)+1400)*((INT(MAX(0,F48))-12348)/10000),IF(INT(MAX(0,F48))&lt;=69878,(173.1*((INT(MAX(0,F48))-17799)/10000)+2397)*((INT(MAX(0,F48))-17799)/10000)+1034.87,IF(INT(MAX(0,F48))&lt;=277825,0.42*INT(MAX(0,F48))-11135.63,0.45*INT(MAX(0,F48))-19470.38))))</f>
        <v/>
      </c>
      <c r="H48" s="185">
        <f>A48-B48-G48-'Plan-Annahmen'!$B$88*12</f>
        <v/>
      </c>
    </row>
    <row r="49" ht="15" customHeight="1" s="116">
      <c r="A49" s="221" t="n">
        <v>14000</v>
      </c>
      <c r="B49" s="219">
        <f>MIN(MAX(A49/12,'Plan-Annahmen'!$B$100),'Plan-Annahmen'!$B$101)*12*('Plan-Annahmen'!$B$97+'Plan-Annahmen'!$B$98+'Plan-Annahmen'!$B$99)</f>
        <v/>
      </c>
      <c r="C49" s="219">
        <f>MAX(0,A49-B49-'Plan-Annahmen'!$B$102)</f>
        <v/>
      </c>
      <c r="D49" s="185">
        <f>IF(INT(MAX(0,C49))&lt;=12348,0,IF(INT(MAX(0,C49))&lt;=17799,(914.51*((INT(MAX(0,C49))-12348)/10000)+1400)*((INT(MAX(0,C49))-12348)/10000),IF(INT(MAX(0,C49))&lt;=69878,(173.1*((INT(MAX(0,C49))-17799)/10000)+2397)*((INT(MAX(0,C49))-17799)/10000)+1034.87,IF(INT(MAX(0,C49))&lt;=277825,0.42*INT(MAX(0,C49))-11135.63,0.45*INT(MAX(0,C49))-19470.38))))</f>
        <v/>
      </c>
      <c r="E49" s="185">
        <f>A49-B49-D49</f>
        <v/>
      </c>
      <c r="F49" s="219">
        <f>MAX(0,A49-B49-'Plan-Annahmen'!$B$88*12-'Plan-Annahmen'!$B$102)</f>
        <v/>
      </c>
      <c r="G49" s="185">
        <f>IF(INT(MAX(0,F49))&lt;=12348,0,IF(INT(MAX(0,F49))&lt;=17799,(914.51*((INT(MAX(0,F49))-12348)/10000)+1400)*((INT(MAX(0,F49))-12348)/10000),IF(INT(MAX(0,F49))&lt;=69878,(173.1*((INT(MAX(0,F49))-17799)/10000)+2397)*((INT(MAX(0,F49))-17799)/10000)+1034.87,IF(INT(MAX(0,F49))&lt;=277825,0.42*INT(MAX(0,F49))-11135.63,0.45*INT(MAX(0,F49))-19470.38))))</f>
        <v/>
      </c>
      <c r="H49" s="185">
        <f>A49-B49-G49-'Plan-Annahmen'!$B$88*12</f>
        <v/>
      </c>
    </row>
    <row r="50" ht="15" customHeight="1" s="116">
      <c r="A50" s="221" t="n">
        <v>15000</v>
      </c>
      <c r="B50" s="219">
        <f>MIN(MAX(A50/12,'Plan-Annahmen'!$B$100),'Plan-Annahmen'!$B$101)*12*('Plan-Annahmen'!$B$97+'Plan-Annahmen'!$B$98+'Plan-Annahmen'!$B$99)</f>
        <v/>
      </c>
      <c r="C50" s="219">
        <f>MAX(0,A50-B50-'Plan-Annahmen'!$B$102)</f>
        <v/>
      </c>
      <c r="D50" s="185">
        <f>IF(INT(MAX(0,C50))&lt;=12348,0,IF(INT(MAX(0,C50))&lt;=17799,(914.51*((INT(MAX(0,C50))-12348)/10000)+1400)*((INT(MAX(0,C50))-12348)/10000),IF(INT(MAX(0,C50))&lt;=69878,(173.1*((INT(MAX(0,C50))-17799)/10000)+2397)*((INT(MAX(0,C50))-17799)/10000)+1034.87,IF(INT(MAX(0,C50))&lt;=277825,0.42*INT(MAX(0,C50))-11135.63,0.45*INT(MAX(0,C50))-19470.38))))</f>
        <v/>
      </c>
      <c r="E50" s="185">
        <f>A50-B50-D50</f>
        <v/>
      </c>
      <c r="F50" s="219">
        <f>MAX(0,A50-B50-'Plan-Annahmen'!$B$88*12-'Plan-Annahmen'!$B$102)</f>
        <v/>
      </c>
      <c r="G50" s="185">
        <f>IF(INT(MAX(0,F50))&lt;=12348,0,IF(INT(MAX(0,F50))&lt;=17799,(914.51*((INT(MAX(0,F50))-12348)/10000)+1400)*((INT(MAX(0,F50))-12348)/10000),IF(INT(MAX(0,F50))&lt;=69878,(173.1*((INT(MAX(0,F50))-17799)/10000)+2397)*((INT(MAX(0,F50))-17799)/10000)+1034.87,IF(INT(MAX(0,F50))&lt;=277825,0.42*INT(MAX(0,F50))-11135.63,0.45*INT(MAX(0,F50))-19470.38))))</f>
        <v/>
      </c>
      <c r="H50" s="185">
        <f>A50-B50-G50-'Plan-Annahmen'!$B$88*12</f>
        <v/>
      </c>
    </row>
    <row r="51" ht="15" customHeight="1" s="116">
      <c r="A51" s="221" t="n">
        <v>16000</v>
      </c>
      <c r="B51" s="219">
        <f>MIN(MAX(A51/12,'Plan-Annahmen'!$B$100),'Plan-Annahmen'!$B$101)*12*('Plan-Annahmen'!$B$97+'Plan-Annahmen'!$B$98+'Plan-Annahmen'!$B$99)</f>
        <v/>
      </c>
      <c r="C51" s="219">
        <f>MAX(0,A51-B51-'Plan-Annahmen'!$B$102)</f>
        <v/>
      </c>
      <c r="D51" s="185">
        <f>IF(INT(MAX(0,C51))&lt;=12348,0,IF(INT(MAX(0,C51))&lt;=17799,(914.51*((INT(MAX(0,C51))-12348)/10000)+1400)*((INT(MAX(0,C51))-12348)/10000),IF(INT(MAX(0,C51))&lt;=69878,(173.1*((INT(MAX(0,C51))-17799)/10000)+2397)*((INT(MAX(0,C51))-17799)/10000)+1034.87,IF(INT(MAX(0,C51))&lt;=277825,0.42*INT(MAX(0,C51))-11135.63,0.45*INT(MAX(0,C51))-19470.38))))</f>
        <v/>
      </c>
      <c r="E51" s="185">
        <f>A51-B51-D51</f>
        <v/>
      </c>
      <c r="F51" s="219">
        <f>MAX(0,A51-B51-'Plan-Annahmen'!$B$88*12-'Plan-Annahmen'!$B$102)</f>
        <v/>
      </c>
      <c r="G51" s="185">
        <f>IF(INT(MAX(0,F51))&lt;=12348,0,IF(INT(MAX(0,F51))&lt;=17799,(914.51*((INT(MAX(0,F51))-12348)/10000)+1400)*((INT(MAX(0,F51))-12348)/10000),IF(INT(MAX(0,F51))&lt;=69878,(173.1*((INT(MAX(0,F51))-17799)/10000)+2397)*((INT(MAX(0,F51))-17799)/10000)+1034.87,IF(INT(MAX(0,F51))&lt;=277825,0.42*INT(MAX(0,F51))-11135.63,0.45*INT(MAX(0,F51))-19470.38))))</f>
        <v/>
      </c>
      <c r="H51" s="185">
        <f>A51-B51-G51-'Plan-Annahmen'!$B$88*12</f>
        <v/>
      </c>
    </row>
    <row r="52" ht="15" customHeight="1" s="116">
      <c r="A52" s="221" t="n">
        <v>17000</v>
      </c>
      <c r="B52" s="219">
        <f>MIN(MAX(A52/12,'Plan-Annahmen'!$B$100),'Plan-Annahmen'!$B$101)*12*('Plan-Annahmen'!$B$97+'Plan-Annahmen'!$B$98+'Plan-Annahmen'!$B$99)</f>
        <v/>
      </c>
      <c r="C52" s="219">
        <f>MAX(0,A52-B52-'Plan-Annahmen'!$B$102)</f>
        <v/>
      </c>
      <c r="D52" s="185">
        <f>IF(INT(MAX(0,C52))&lt;=12348,0,IF(INT(MAX(0,C52))&lt;=17799,(914.51*((INT(MAX(0,C52))-12348)/10000)+1400)*((INT(MAX(0,C52))-12348)/10000),IF(INT(MAX(0,C52))&lt;=69878,(173.1*((INT(MAX(0,C52))-17799)/10000)+2397)*((INT(MAX(0,C52))-17799)/10000)+1034.87,IF(INT(MAX(0,C52))&lt;=277825,0.42*INT(MAX(0,C52))-11135.63,0.45*INT(MAX(0,C52))-19470.38))))</f>
        <v/>
      </c>
      <c r="E52" s="185">
        <f>A52-B52-D52</f>
        <v/>
      </c>
      <c r="F52" s="219">
        <f>MAX(0,A52-B52-'Plan-Annahmen'!$B$88*12-'Plan-Annahmen'!$B$102)</f>
        <v/>
      </c>
      <c r="G52" s="185">
        <f>IF(INT(MAX(0,F52))&lt;=12348,0,IF(INT(MAX(0,F52))&lt;=17799,(914.51*((INT(MAX(0,F52))-12348)/10000)+1400)*((INT(MAX(0,F52))-12348)/10000),IF(INT(MAX(0,F52))&lt;=69878,(173.1*((INT(MAX(0,F52))-17799)/10000)+2397)*((INT(MAX(0,F52))-17799)/10000)+1034.87,IF(INT(MAX(0,F52))&lt;=277825,0.42*INT(MAX(0,F52))-11135.63,0.45*INT(MAX(0,F52))-19470.38))))</f>
        <v/>
      </c>
      <c r="H52" s="185">
        <f>A52-B52-G52-'Plan-Annahmen'!$B$88*12</f>
        <v/>
      </c>
    </row>
    <row r="53" ht="15" customHeight="1" s="116">
      <c r="A53" s="221" t="n">
        <v>18000</v>
      </c>
      <c r="B53" s="219">
        <f>MIN(MAX(A53/12,'Plan-Annahmen'!$B$100),'Plan-Annahmen'!$B$101)*12*('Plan-Annahmen'!$B$97+'Plan-Annahmen'!$B$98+'Plan-Annahmen'!$B$99)</f>
        <v/>
      </c>
      <c r="C53" s="219">
        <f>MAX(0,A53-B53-'Plan-Annahmen'!$B$102)</f>
        <v/>
      </c>
      <c r="D53" s="185">
        <f>IF(INT(MAX(0,C53))&lt;=12348,0,IF(INT(MAX(0,C53))&lt;=17799,(914.51*((INT(MAX(0,C53))-12348)/10000)+1400)*((INT(MAX(0,C53))-12348)/10000),IF(INT(MAX(0,C53))&lt;=69878,(173.1*((INT(MAX(0,C53))-17799)/10000)+2397)*((INT(MAX(0,C53))-17799)/10000)+1034.87,IF(INT(MAX(0,C53))&lt;=277825,0.42*INT(MAX(0,C53))-11135.63,0.45*INT(MAX(0,C53))-19470.38))))</f>
        <v/>
      </c>
      <c r="E53" s="185">
        <f>A53-B53-D53</f>
        <v/>
      </c>
      <c r="F53" s="219">
        <f>MAX(0,A53-B53-'Plan-Annahmen'!$B$88*12-'Plan-Annahmen'!$B$102)</f>
        <v/>
      </c>
      <c r="G53" s="185">
        <f>IF(INT(MAX(0,F53))&lt;=12348,0,IF(INT(MAX(0,F53))&lt;=17799,(914.51*((INT(MAX(0,F53))-12348)/10000)+1400)*((INT(MAX(0,F53))-12348)/10000),IF(INT(MAX(0,F53))&lt;=69878,(173.1*((INT(MAX(0,F53))-17799)/10000)+2397)*((INT(MAX(0,F53))-17799)/10000)+1034.87,IF(INT(MAX(0,F53))&lt;=277825,0.42*INT(MAX(0,F53))-11135.63,0.45*INT(MAX(0,F53))-19470.38))))</f>
        <v/>
      </c>
      <c r="H53" s="185">
        <f>A53-B53-G53-'Plan-Annahmen'!$B$88*12</f>
        <v/>
      </c>
    </row>
    <row r="54" ht="15" customHeight="1" s="116">
      <c r="A54" s="221" t="n">
        <v>19000</v>
      </c>
      <c r="B54" s="219">
        <f>MIN(MAX(A54/12,'Plan-Annahmen'!$B$100),'Plan-Annahmen'!$B$101)*12*('Plan-Annahmen'!$B$97+'Plan-Annahmen'!$B$98+'Plan-Annahmen'!$B$99)</f>
        <v/>
      </c>
      <c r="C54" s="219">
        <f>MAX(0,A54-B54-'Plan-Annahmen'!$B$102)</f>
        <v/>
      </c>
      <c r="D54" s="185">
        <f>IF(INT(MAX(0,C54))&lt;=12348,0,IF(INT(MAX(0,C54))&lt;=17799,(914.51*((INT(MAX(0,C54))-12348)/10000)+1400)*((INT(MAX(0,C54))-12348)/10000),IF(INT(MAX(0,C54))&lt;=69878,(173.1*((INT(MAX(0,C54))-17799)/10000)+2397)*((INT(MAX(0,C54))-17799)/10000)+1034.87,IF(INT(MAX(0,C54))&lt;=277825,0.42*INT(MAX(0,C54))-11135.63,0.45*INT(MAX(0,C54))-19470.38))))</f>
        <v/>
      </c>
      <c r="E54" s="185">
        <f>A54-B54-D54</f>
        <v/>
      </c>
      <c r="F54" s="219">
        <f>MAX(0,A54-B54-'Plan-Annahmen'!$B$88*12-'Plan-Annahmen'!$B$102)</f>
        <v/>
      </c>
      <c r="G54" s="185">
        <f>IF(INT(MAX(0,F54))&lt;=12348,0,IF(INT(MAX(0,F54))&lt;=17799,(914.51*((INT(MAX(0,F54))-12348)/10000)+1400)*((INT(MAX(0,F54))-12348)/10000),IF(INT(MAX(0,F54))&lt;=69878,(173.1*((INT(MAX(0,F54))-17799)/10000)+2397)*((INT(MAX(0,F54))-17799)/10000)+1034.87,IF(INT(MAX(0,F54))&lt;=277825,0.42*INT(MAX(0,F54))-11135.63,0.45*INT(MAX(0,F54))-19470.38))))</f>
        <v/>
      </c>
      <c r="H54" s="185">
        <f>A54-B54-G54-'Plan-Annahmen'!$B$88*12</f>
        <v/>
      </c>
    </row>
    <row r="55" ht="15" customHeight="1" s="116">
      <c r="A55" s="221" t="n">
        <v>20000</v>
      </c>
      <c r="B55" s="219">
        <f>MIN(MAX(A55/12,'Plan-Annahmen'!$B$100),'Plan-Annahmen'!$B$101)*12*('Plan-Annahmen'!$B$97+'Plan-Annahmen'!$B$98+'Plan-Annahmen'!$B$99)</f>
        <v/>
      </c>
      <c r="C55" s="219">
        <f>MAX(0,A55-B55-'Plan-Annahmen'!$B$102)</f>
        <v/>
      </c>
      <c r="D55" s="185">
        <f>IF(INT(MAX(0,C55))&lt;=12348,0,IF(INT(MAX(0,C55))&lt;=17799,(914.51*((INT(MAX(0,C55))-12348)/10000)+1400)*((INT(MAX(0,C55))-12348)/10000),IF(INT(MAX(0,C55))&lt;=69878,(173.1*((INT(MAX(0,C55))-17799)/10000)+2397)*((INT(MAX(0,C55))-17799)/10000)+1034.87,IF(INT(MAX(0,C55))&lt;=277825,0.42*INT(MAX(0,C55))-11135.63,0.45*INT(MAX(0,C55))-19470.38))))</f>
        <v/>
      </c>
      <c r="E55" s="185">
        <f>A55-B55-D55</f>
        <v/>
      </c>
      <c r="F55" s="219">
        <f>MAX(0,A55-B55-'Plan-Annahmen'!$B$88*12-'Plan-Annahmen'!$B$102)</f>
        <v/>
      </c>
      <c r="G55" s="185">
        <f>IF(INT(MAX(0,F55))&lt;=12348,0,IF(INT(MAX(0,F55))&lt;=17799,(914.51*((INT(MAX(0,F55))-12348)/10000)+1400)*((INT(MAX(0,F55))-12348)/10000),IF(INT(MAX(0,F55))&lt;=69878,(173.1*((INT(MAX(0,F55))-17799)/10000)+2397)*((INT(MAX(0,F55))-17799)/10000)+1034.87,IF(INT(MAX(0,F55))&lt;=277825,0.42*INT(MAX(0,F55))-11135.63,0.45*INT(MAX(0,F55))-19470.38))))</f>
        <v/>
      </c>
      <c r="H55" s="185">
        <f>A55-B55-G55-'Plan-Annahmen'!$B$88*12</f>
        <v/>
      </c>
    </row>
    <row r="56" ht="15" customHeight="1" s="116">
      <c r="A56" s="221" t="n">
        <v>21000</v>
      </c>
      <c r="B56" s="219">
        <f>MIN(MAX(A56/12,'Plan-Annahmen'!$B$100),'Plan-Annahmen'!$B$101)*12*('Plan-Annahmen'!$B$97+'Plan-Annahmen'!$B$98+'Plan-Annahmen'!$B$99)</f>
        <v/>
      </c>
      <c r="C56" s="219">
        <f>MAX(0,A56-B56-'Plan-Annahmen'!$B$102)</f>
        <v/>
      </c>
      <c r="D56" s="185">
        <f>IF(INT(MAX(0,C56))&lt;=12348,0,IF(INT(MAX(0,C56))&lt;=17799,(914.51*((INT(MAX(0,C56))-12348)/10000)+1400)*((INT(MAX(0,C56))-12348)/10000),IF(INT(MAX(0,C56))&lt;=69878,(173.1*((INT(MAX(0,C56))-17799)/10000)+2397)*((INT(MAX(0,C56))-17799)/10000)+1034.87,IF(INT(MAX(0,C56))&lt;=277825,0.42*INT(MAX(0,C56))-11135.63,0.45*INT(MAX(0,C56))-19470.38))))</f>
        <v/>
      </c>
      <c r="E56" s="185">
        <f>A56-B56-D56</f>
        <v/>
      </c>
      <c r="F56" s="219">
        <f>MAX(0,A56-B56-'Plan-Annahmen'!$B$88*12-'Plan-Annahmen'!$B$102)</f>
        <v/>
      </c>
      <c r="G56" s="185">
        <f>IF(INT(MAX(0,F56))&lt;=12348,0,IF(INT(MAX(0,F56))&lt;=17799,(914.51*((INT(MAX(0,F56))-12348)/10000)+1400)*((INT(MAX(0,F56))-12348)/10000),IF(INT(MAX(0,F56))&lt;=69878,(173.1*((INT(MAX(0,F56))-17799)/10000)+2397)*((INT(MAX(0,F56))-17799)/10000)+1034.87,IF(INT(MAX(0,F56))&lt;=277825,0.42*INT(MAX(0,F56))-11135.63,0.45*INT(MAX(0,F56))-19470.38))))</f>
        <v/>
      </c>
      <c r="H56" s="185">
        <f>A56-B56-G56-'Plan-Annahmen'!$B$88*12</f>
        <v/>
      </c>
    </row>
    <row r="57" ht="15" customHeight="1" s="116">
      <c r="A57" s="221" t="n">
        <v>22000</v>
      </c>
      <c r="B57" s="219">
        <f>MIN(MAX(A57/12,'Plan-Annahmen'!$B$100),'Plan-Annahmen'!$B$101)*12*('Plan-Annahmen'!$B$97+'Plan-Annahmen'!$B$98+'Plan-Annahmen'!$B$99)</f>
        <v/>
      </c>
      <c r="C57" s="219">
        <f>MAX(0,A57-B57-'Plan-Annahmen'!$B$102)</f>
        <v/>
      </c>
      <c r="D57" s="185">
        <f>IF(INT(MAX(0,C57))&lt;=12348,0,IF(INT(MAX(0,C57))&lt;=17799,(914.51*((INT(MAX(0,C57))-12348)/10000)+1400)*((INT(MAX(0,C57))-12348)/10000),IF(INT(MAX(0,C57))&lt;=69878,(173.1*((INT(MAX(0,C57))-17799)/10000)+2397)*((INT(MAX(0,C57))-17799)/10000)+1034.87,IF(INT(MAX(0,C57))&lt;=277825,0.42*INT(MAX(0,C57))-11135.63,0.45*INT(MAX(0,C57))-19470.38))))</f>
        <v/>
      </c>
      <c r="E57" s="185">
        <f>A57-B57-D57</f>
        <v/>
      </c>
      <c r="F57" s="219">
        <f>MAX(0,A57-B57-'Plan-Annahmen'!$B$88*12-'Plan-Annahmen'!$B$102)</f>
        <v/>
      </c>
      <c r="G57" s="185">
        <f>IF(INT(MAX(0,F57))&lt;=12348,0,IF(INT(MAX(0,F57))&lt;=17799,(914.51*((INT(MAX(0,F57))-12348)/10000)+1400)*((INT(MAX(0,F57))-12348)/10000),IF(INT(MAX(0,F57))&lt;=69878,(173.1*((INT(MAX(0,F57))-17799)/10000)+2397)*((INT(MAX(0,F57))-17799)/10000)+1034.87,IF(INT(MAX(0,F57))&lt;=277825,0.42*INT(MAX(0,F57))-11135.63,0.45*INT(MAX(0,F57))-19470.38))))</f>
        <v/>
      </c>
      <c r="H57" s="185">
        <f>A57-B57-G57-'Plan-Annahmen'!$B$88*12</f>
        <v/>
      </c>
    </row>
    <row r="58" ht="15" customHeight="1" s="116">
      <c r="A58" s="221" t="n">
        <v>23000</v>
      </c>
      <c r="B58" s="219">
        <f>MIN(MAX(A58/12,'Plan-Annahmen'!$B$100),'Plan-Annahmen'!$B$101)*12*('Plan-Annahmen'!$B$97+'Plan-Annahmen'!$B$98+'Plan-Annahmen'!$B$99)</f>
        <v/>
      </c>
      <c r="C58" s="219">
        <f>MAX(0,A58-B58-'Plan-Annahmen'!$B$102)</f>
        <v/>
      </c>
      <c r="D58" s="185">
        <f>IF(INT(MAX(0,C58))&lt;=12348,0,IF(INT(MAX(0,C58))&lt;=17799,(914.51*((INT(MAX(0,C58))-12348)/10000)+1400)*((INT(MAX(0,C58))-12348)/10000),IF(INT(MAX(0,C58))&lt;=69878,(173.1*((INT(MAX(0,C58))-17799)/10000)+2397)*((INT(MAX(0,C58))-17799)/10000)+1034.87,IF(INT(MAX(0,C58))&lt;=277825,0.42*INT(MAX(0,C58))-11135.63,0.45*INT(MAX(0,C58))-19470.38))))</f>
        <v/>
      </c>
      <c r="E58" s="185">
        <f>A58-B58-D58</f>
        <v/>
      </c>
      <c r="F58" s="219">
        <f>MAX(0,A58-B58-'Plan-Annahmen'!$B$88*12-'Plan-Annahmen'!$B$102)</f>
        <v/>
      </c>
      <c r="G58" s="185">
        <f>IF(INT(MAX(0,F58))&lt;=12348,0,IF(INT(MAX(0,F58))&lt;=17799,(914.51*((INT(MAX(0,F58))-12348)/10000)+1400)*((INT(MAX(0,F58))-12348)/10000),IF(INT(MAX(0,F58))&lt;=69878,(173.1*((INT(MAX(0,F58))-17799)/10000)+2397)*((INT(MAX(0,F58))-17799)/10000)+1034.87,IF(INT(MAX(0,F58))&lt;=277825,0.42*INT(MAX(0,F58))-11135.63,0.45*INT(MAX(0,F58))-19470.38))))</f>
        <v/>
      </c>
      <c r="H58" s="185">
        <f>A58-B58-G58-'Plan-Annahmen'!$B$88*12</f>
        <v/>
      </c>
    </row>
    <row r="59" ht="15" customHeight="1" s="116">
      <c r="A59" s="221" t="n">
        <v>24000</v>
      </c>
      <c r="B59" s="219">
        <f>MIN(MAX(A59/12,'Plan-Annahmen'!$B$100),'Plan-Annahmen'!$B$101)*12*('Plan-Annahmen'!$B$97+'Plan-Annahmen'!$B$98+'Plan-Annahmen'!$B$99)</f>
        <v/>
      </c>
      <c r="C59" s="219">
        <f>MAX(0,A59-B59-'Plan-Annahmen'!$B$102)</f>
        <v/>
      </c>
      <c r="D59" s="185">
        <f>IF(INT(MAX(0,C59))&lt;=12348,0,IF(INT(MAX(0,C59))&lt;=17799,(914.51*((INT(MAX(0,C59))-12348)/10000)+1400)*((INT(MAX(0,C59))-12348)/10000),IF(INT(MAX(0,C59))&lt;=69878,(173.1*((INT(MAX(0,C59))-17799)/10000)+2397)*((INT(MAX(0,C59))-17799)/10000)+1034.87,IF(INT(MAX(0,C59))&lt;=277825,0.42*INT(MAX(0,C59))-11135.63,0.45*INT(MAX(0,C59))-19470.38))))</f>
        <v/>
      </c>
      <c r="E59" s="185">
        <f>A59-B59-D59</f>
        <v/>
      </c>
      <c r="F59" s="219">
        <f>MAX(0,A59-B59-'Plan-Annahmen'!$B$88*12-'Plan-Annahmen'!$B$102)</f>
        <v/>
      </c>
      <c r="G59" s="185">
        <f>IF(INT(MAX(0,F59))&lt;=12348,0,IF(INT(MAX(0,F59))&lt;=17799,(914.51*((INT(MAX(0,F59))-12348)/10000)+1400)*((INT(MAX(0,F59))-12348)/10000),IF(INT(MAX(0,F59))&lt;=69878,(173.1*((INT(MAX(0,F59))-17799)/10000)+2397)*((INT(MAX(0,F59))-17799)/10000)+1034.87,IF(INT(MAX(0,F59))&lt;=277825,0.42*INT(MAX(0,F59))-11135.63,0.45*INT(MAX(0,F59))-19470.38))))</f>
        <v/>
      </c>
      <c r="H59" s="185">
        <f>A59-B59-G59-'Plan-Annahmen'!$B$88*12</f>
        <v/>
      </c>
    </row>
    <row r="60" ht="15" customHeight="1" s="116">
      <c r="A60" s="221" t="n">
        <v>25000</v>
      </c>
      <c r="B60" s="219">
        <f>MIN(MAX(A60/12,'Plan-Annahmen'!$B$100),'Plan-Annahmen'!$B$101)*12*('Plan-Annahmen'!$B$97+'Plan-Annahmen'!$B$98+'Plan-Annahmen'!$B$99)</f>
        <v/>
      </c>
      <c r="C60" s="219">
        <f>MAX(0,A60-B60-'Plan-Annahmen'!$B$102)</f>
        <v/>
      </c>
      <c r="D60" s="185">
        <f>IF(INT(MAX(0,C60))&lt;=12348,0,IF(INT(MAX(0,C60))&lt;=17799,(914.51*((INT(MAX(0,C60))-12348)/10000)+1400)*((INT(MAX(0,C60))-12348)/10000),IF(INT(MAX(0,C60))&lt;=69878,(173.1*((INT(MAX(0,C60))-17799)/10000)+2397)*((INT(MAX(0,C60))-17799)/10000)+1034.87,IF(INT(MAX(0,C60))&lt;=277825,0.42*INT(MAX(0,C60))-11135.63,0.45*INT(MAX(0,C60))-19470.38))))</f>
        <v/>
      </c>
      <c r="E60" s="185">
        <f>A60-B60-D60</f>
        <v/>
      </c>
      <c r="F60" s="219">
        <f>MAX(0,A60-B60-'Plan-Annahmen'!$B$88*12-'Plan-Annahmen'!$B$102)</f>
        <v/>
      </c>
      <c r="G60" s="185">
        <f>IF(INT(MAX(0,F60))&lt;=12348,0,IF(INT(MAX(0,F60))&lt;=17799,(914.51*((INT(MAX(0,F60))-12348)/10000)+1400)*((INT(MAX(0,F60))-12348)/10000),IF(INT(MAX(0,F60))&lt;=69878,(173.1*((INT(MAX(0,F60))-17799)/10000)+2397)*((INT(MAX(0,F60))-17799)/10000)+1034.87,IF(INT(MAX(0,F60))&lt;=277825,0.42*INT(MAX(0,F60))-11135.63,0.45*INT(MAX(0,F60))-19470.38))))</f>
        <v/>
      </c>
      <c r="H60" s="185">
        <f>A60-B60-G60-'Plan-Annahmen'!$B$88*12</f>
        <v/>
      </c>
    </row>
    <row r="61" ht="15" customHeight="1" s="116">
      <c r="A61" s="221" t="n">
        <v>26000</v>
      </c>
      <c r="B61" s="219">
        <f>MIN(MAX(A61/12,'Plan-Annahmen'!$B$100),'Plan-Annahmen'!$B$101)*12*('Plan-Annahmen'!$B$97+'Plan-Annahmen'!$B$98+'Plan-Annahmen'!$B$99)</f>
        <v/>
      </c>
      <c r="C61" s="219">
        <f>MAX(0,A61-B61-'Plan-Annahmen'!$B$102)</f>
        <v/>
      </c>
      <c r="D61" s="185">
        <f>IF(INT(MAX(0,C61))&lt;=12348,0,IF(INT(MAX(0,C61))&lt;=17799,(914.51*((INT(MAX(0,C61))-12348)/10000)+1400)*((INT(MAX(0,C61))-12348)/10000),IF(INT(MAX(0,C61))&lt;=69878,(173.1*((INT(MAX(0,C61))-17799)/10000)+2397)*((INT(MAX(0,C61))-17799)/10000)+1034.87,IF(INT(MAX(0,C61))&lt;=277825,0.42*INT(MAX(0,C61))-11135.63,0.45*INT(MAX(0,C61))-19470.38))))</f>
        <v/>
      </c>
      <c r="E61" s="185">
        <f>A61-B61-D61</f>
        <v/>
      </c>
      <c r="F61" s="219">
        <f>MAX(0,A61-B61-'Plan-Annahmen'!$B$88*12-'Plan-Annahmen'!$B$102)</f>
        <v/>
      </c>
      <c r="G61" s="185">
        <f>IF(INT(MAX(0,F61))&lt;=12348,0,IF(INT(MAX(0,F61))&lt;=17799,(914.51*((INT(MAX(0,F61))-12348)/10000)+1400)*((INT(MAX(0,F61))-12348)/10000),IF(INT(MAX(0,F61))&lt;=69878,(173.1*((INT(MAX(0,F61))-17799)/10000)+2397)*((INT(MAX(0,F61))-17799)/10000)+1034.87,IF(INT(MAX(0,F61))&lt;=277825,0.42*INT(MAX(0,F61))-11135.63,0.45*INT(MAX(0,F61))-19470.38))))</f>
        <v/>
      </c>
      <c r="H61" s="185">
        <f>A61-B61-G61-'Plan-Annahmen'!$B$88*12</f>
        <v/>
      </c>
    </row>
    <row r="62" ht="15" customHeight="1" s="116">
      <c r="A62" s="221" t="n">
        <v>27000</v>
      </c>
      <c r="B62" s="219">
        <f>MIN(MAX(A62/12,'Plan-Annahmen'!$B$100),'Plan-Annahmen'!$B$101)*12*('Plan-Annahmen'!$B$97+'Plan-Annahmen'!$B$98+'Plan-Annahmen'!$B$99)</f>
        <v/>
      </c>
      <c r="C62" s="219">
        <f>MAX(0,A62-B62-'Plan-Annahmen'!$B$102)</f>
        <v/>
      </c>
      <c r="D62" s="185">
        <f>IF(INT(MAX(0,C62))&lt;=12348,0,IF(INT(MAX(0,C62))&lt;=17799,(914.51*((INT(MAX(0,C62))-12348)/10000)+1400)*((INT(MAX(0,C62))-12348)/10000),IF(INT(MAX(0,C62))&lt;=69878,(173.1*((INT(MAX(0,C62))-17799)/10000)+2397)*((INT(MAX(0,C62))-17799)/10000)+1034.87,IF(INT(MAX(0,C62))&lt;=277825,0.42*INT(MAX(0,C62))-11135.63,0.45*INT(MAX(0,C62))-19470.38))))</f>
        <v/>
      </c>
      <c r="E62" s="185">
        <f>A62-B62-D62</f>
        <v/>
      </c>
      <c r="F62" s="219">
        <f>MAX(0,A62-B62-'Plan-Annahmen'!$B$88*12-'Plan-Annahmen'!$B$102)</f>
        <v/>
      </c>
      <c r="G62" s="185">
        <f>IF(INT(MAX(0,F62))&lt;=12348,0,IF(INT(MAX(0,F62))&lt;=17799,(914.51*((INT(MAX(0,F62))-12348)/10000)+1400)*((INT(MAX(0,F62))-12348)/10000),IF(INT(MAX(0,F62))&lt;=69878,(173.1*((INT(MAX(0,F62))-17799)/10000)+2397)*((INT(MAX(0,F62))-17799)/10000)+1034.87,IF(INT(MAX(0,F62))&lt;=277825,0.42*INT(MAX(0,F62))-11135.63,0.45*INT(MAX(0,F62))-19470.38))))</f>
        <v/>
      </c>
      <c r="H62" s="185">
        <f>A62-B62-G62-'Plan-Annahmen'!$B$88*12</f>
        <v/>
      </c>
    </row>
    <row r="63" ht="15" customHeight="1" s="116">
      <c r="A63" s="221" t="n">
        <v>28000</v>
      </c>
      <c r="B63" s="219">
        <f>MIN(MAX(A63/12,'Plan-Annahmen'!$B$100),'Plan-Annahmen'!$B$101)*12*('Plan-Annahmen'!$B$97+'Plan-Annahmen'!$B$98+'Plan-Annahmen'!$B$99)</f>
        <v/>
      </c>
      <c r="C63" s="219">
        <f>MAX(0,A63-B63-'Plan-Annahmen'!$B$102)</f>
        <v/>
      </c>
      <c r="D63" s="185">
        <f>IF(INT(MAX(0,C63))&lt;=12348,0,IF(INT(MAX(0,C63))&lt;=17799,(914.51*((INT(MAX(0,C63))-12348)/10000)+1400)*((INT(MAX(0,C63))-12348)/10000),IF(INT(MAX(0,C63))&lt;=69878,(173.1*((INT(MAX(0,C63))-17799)/10000)+2397)*((INT(MAX(0,C63))-17799)/10000)+1034.87,IF(INT(MAX(0,C63))&lt;=277825,0.42*INT(MAX(0,C63))-11135.63,0.45*INT(MAX(0,C63))-19470.38))))</f>
        <v/>
      </c>
      <c r="E63" s="185">
        <f>A63-B63-D63</f>
        <v/>
      </c>
      <c r="F63" s="219">
        <f>MAX(0,A63-B63-'Plan-Annahmen'!$B$88*12-'Plan-Annahmen'!$B$102)</f>
        <v/>
      </c>
      <c r="G63" s="185">
        <f>IF(INT(MAX(0,F63))&lt;=12348,0,IF(INT(MAX(0,F63))&lt;=17799,(914.51*((INT(MAX(0,F63))-12348)/10000)+1400)*((INT(MAX(0,F63))-12348)/10000),IF(INT(MAX(0,F63))&lt;=69878,(173.1*((INT(MAX(0,F63))-17799)/10000)+2397)*((INT(MAX(0,F63))-17799)/10000)+1034.87,IF(INT(MAX(0,F63))&lt;=277825,0.42*INT(MAX(0,F63))-11135.63,0.45*INT(MAX(0,F63))-19470.38))))</f>
        <v/>
      </c>
      <c r="H63" s="185">
        <f>A63-B63-G63-'Plan-Annahmen'!$B$88*12</f>
        <v/>
      </c>
    </row>
    <row r="64" ht="15" customHeight="1" s="116">
      <c r="A64" s="221" t="n">
        <v>29000</v>
      </c>
      <c r="B64" s="219">
        <f>MIN(MAX(A64/12,'Plan-Annahmen'!$B$100),'Plan-Annahmen'!$B$101)*12*('Plan-Annahmen'!$B$97+'Plan-Annahmen'!$B$98+'Plan-Annahmen'!$B$99)</f>
        <v/>
      </c>
      <c r="C64" s="219">
        <f>MAX(0,A64-B64-'Plan-Annahmen'!$B$102)</f>
        <v/>
      </c>
      <c r="D64" s="185">
        <f>IF(INT(MAX(0,C64))&lt;=12348,0,IF(INT(MAX(0,C64))&lt;=17799,(914.51*((INT(MAX(0,C64))-12348)/10000)+1400)*((INT(MAX(0,C64))-12348)/10000),IF(INT(MAX(0,C64))&lt;=69878,(173.1*((INT(MAX(0,C64))-17799)/10000)+2397)*((INT(MAX(0,C64))-17799)/10000)+1034.87,IF(INT(MAX(0,C64))&lt;=277825,0.42*INT(MAX(0,C64))-11135.63,0.45*INT(MAX(0,C64))-19470.38))))</f>
        <v/>
      </c>
      <c r="E64" s="185">
        <f>A64-B64-D64</f>
        <v/>
      </c>
      <c r="F64" s="219">
        <f>MAX(0,A64-B64-'Plan-Annahmen'!$B$88*12-'Plan-Annahmen'!$B$102)</f>
        <v/>
      </c>
      <c r="G64" s="185">
        <f>IF(INT(MAX(0,F64))&lt;=12348,0,IF(INT(MAX(0,F64))&lt;=17799,(914.51*((INT(MAX(0,F64))-12348)/10000)+1400)*((INT(MAX(0,F64))-12348)/10000),IF(INT(MAX(0,F64))&lt;=69878,(173.1*((INT(MAX(0,F64))-17799)/10000)+2397)*((INT(MAX(0,F64))-17799)/10000)+1034.87,IF(INT(MAX(0,F64))&lt;=277825,0.42*INT(MAX(0,F64))-11135.63,0.45*INT(MAX(0,F64))-19470.38))))</f>
        <v/>
      </c>
      <c r="H64" s="185">
        <f>A64-B64-G64-'Plan-Annahmen'!$B$88*12</f>
        <v/>
      </c>
    </row>
    <row r="65" ht="15" customHeight="1" s="116">
      <c r="A65" s="221" t="n">
        <v>30000</v>
      </c>
      <c r="B65" s="219">
        <f>MIN(MAX(A65/12,'Plan-Annahmen'!$B$100),'Plan-Annahmen'!$B$101)*12*('Plan-Annahmen'!$B$97+'Plan-Annahmen'!$B$98+'Plan-Annahmen'!$B$99)</f>
        <v/>
      </c>
      <c r="C65" s="219">
        <f>MAX(0,A65-B65-'Plan-Annahmen'!$B$102)</f>
        <v/>
      </c>
      <c r="D65" s="185">
        <f>IF(INT(MAX(0,C65))&lt;=12348,0,IF(INT(MAX(0,C65))&lt;=17799,(914.51*((INT(MAX(0,C65))-12348)/10000)+1400)*((INT(MAX(0,C65))-12348)/10000),IF(INT(MAX(0,C65))&lt;=69878,(173.1*((INT(MAX(0,C65))-17799)/10000)+2397)*((INT(MAX(0,C65))-17799)/10000)+1034.87,IF(INT(MAX(0,C65))&lt;=277825,0.42*INT(MAX(0,C65))-11135.63,0.45*INT(MAX(0,C65))-19470.38))))</f>
        <v/>
      </c>
      <c r="E65" s="185">
        <f>A65-B65-D65</f>
        <v/>
      </c>
      <c r="F65" s="219">
        <f>MAX(0,A65-B65-'Plan-Annahmen'!$B$88*12-'Plan-Annahmen'!$B$102)</f>
        <v/>
      </c>
      <c r="G65" s="185">
        <f>IF(INT(MAX(0,F65))&lt;=12348,0,IF(INT(MAX(0,F65))&lt;=17799,(914.51*((INT(MAX(0,F65))-12348)/10000)+1400)*((INT(MAX(0,F65))-12348)/10000),IF(INT(MAX(0,F65))&lt;=69878,(173.1*((INT(MAX(0,F65))-17799)/10000)+2397)*((INT(MAX(0,F65))-17799)/10000)+1034.87,IF(INT(MAX(0,F65))&lt;=277825,0.42*INT(MAX(0,F65))-11135.63,0.45*INT(MAX(0,F65))-19470.38))))</f>
        <v/>
      </c>
      <c r="H65" s="185">
        <f>A65-B65-G65-'Plan-Annahmen'!$B$88*12</f>
        <v/>
      </c>
    </row>
    <row r="66" ht="15" customHeight="1" s="116">
      <c r="A66" s="221" t="n">
        <v>31000</v>
      </c>
      <c r="B66" s="219">
        <f>MIN(MAX(A66/12,'Plan-Annahmen'!$B$100),'Plan-Annahmen'!$B$101)*12*('Plan-Annahmen'!$B$97+'Plan-Annahmen'!$B$98+'Plan-Annahmen'!$B$99)</f>
        <v/>
      </c>
      <c r="C66" s="219">
        <f>MAX(0,A66-B66-'Plan-Annahmen'!$B$102)</f>
        <v/>
      </c>
      <c r="D66" s="185">
        <f>IF(INT(MAX(0,C66))&lt;=12348,0,IF(INT(MAX(0,C66))&lt;=17799,(914.51*((INT(MAX(0,C66))-12348)/10000)+1400)*((INT(MAX(0,C66))-12348)/10000),IF(INT(MAX(0,C66))&lt;=69878,(173.1*((INT(MAX(0,C66))-17799)/10000)+2397)*((INT(MAX(0,C66))-17799)/10000)+1034.87,IF(INT(MAX(0,C66))&lt;=277825,0.42*INT(MAX(0,C66))-11135.63,0.45*INT(MAX(0,C66))-19470.38))))</f>
        <v/>
      </c>
      <c r="E66" s="185">
        <f>A66-B66-D66</f>
        <v/>
      </c>
      <c r="F66" s="219">
        <f>MAX(0,A66-B66-'Plan-Annahmen'!$B$88*12-'Plan-Annahmen'!$B$102)</f>
        <v/>
      </c>
      <c r="G66" s="185">
        <f>IF(INT(MAX(0,F66))&lt;=12348,0,IF(INT(MAX(0,F66))&lt;=17799,(914.51*((INT(MAX(0,F66))-12348)/10000)+1400)*((INT(MAX(0,F66))-12348)/10000),IF(INT(MAX(0,F66))&lt;=69878,(173.1*((INT(MAX(0,F66))-17799)/10000)+2397)*((INT(MAX(0,F66))-17799)/10000)+1034.87,IF(INT(MAX(0,F66))&lt;=277825,0.42*INT(MAX(0,F66))-11135.63,0.45*INT(MAX(0,F66))-19470.38))))</f>
        <v/>
      </c>
      <c r="H66" s="185">
        <f>A66-B66-G66-'Plan-Annahmen'!$B$88*12</f>
        <v/>
      </c>
    </row>
    <row r="67" ht="15" customHeight="1" s="116">
      <c r="A67" s="221" t="n">
        <v>32000</v>
      </c>
      <c r="B67" s="219">
        <f>MIN(MAX(A67/12,'Plan-Annahmen'!$B$100),'Plan-Annahmen'!$B$101)*12*('Plan-Annahmen'!$B$97+'Plan-Annahmen'!$B$98+'Plan-Annahmen'!$B$99)</f>
        <v/>
      </c>
      <c r="C67" s="219">
        <f>MAX(0,A67-B67-'Plan-Annahmen'!$B$102)</f>
        <v/>
      </c>
      <c r="D67" s="185">
        <f>IF(INT(MAX(0,C67))&lt;=12348,0,IF(INT(MAX(0,C67))&lt;=17799,(914.51*((INT(MAX(0,C67))-12348)/10000)+1400)*((INT(MAX(0,C67))-12348)/10000),IF(INT(MAX(0,C67))&lt;=69878,(173.1*((INT(MAX(0,C67))-17799)/10000)+2397)*((INT(MAX(0,C67))-17799)/10000)+1034.87,IF(INT(MAX(0,C67))&lt;=277825,0.42*INT(MAX(0,C67))-11135.63,0.45*INT(MAX(0,C67))-19470.38))))</f>
        <v/>
      </c>
      <c r="E67" s="185">
        <f>A67-B67-D67</f>
        <v/>
      </c>
      <c r="F67" s="219">
        <f>MAX(0,A67-B67-'Plan-Annahmen'!$B$88*12-'Plan-Annahmen'!$B$102)</f>
        <v/>
      </c>
      <c r="G67" s="185">
        <f>IF(INT(MAX(0,F67))&lt;=12348,0,IF(INT(MAX(0,F67))&lt;=17799,(914.51*((INT(MAX(0,F67))-12348)/10000)+1400)*((INT(MAX(0,F67))-12348)/10000),IF(INT(MAX(0,F67))&lt;=69878,(173.1*((INT(MAX(0,F67))-17799)/10000)+2397)*((INT(MAX(0,F67))-17799)/10000)+1034.87,IF(INT(MAX(0,F67))&lt;=277825,0.42*INT(MAX(0,F67))-11135.63,0.45*INT(MAX(0,F67))-19470.38))))</f>
        <v/>
      </c>
      <c r="H67" s="185">
        <f>A67-B67-G67-'Plan-Annahmen'!$B$88*12</f>
        <v/>
      </c>
    </row>
    <row r="68" ht="15" customHeight="1" s="116">
      <c r="A68" s="221" t="n">
        <v>33000</v>
      </c>
      <c r="B68" s="219">
        <f>MIN(MAX(A68/12,'Plan-Annahmen'!$B$100),'Plan-Annahmen'!$B$101)*12*('Plan-Annahmen'!$B$97+'Plan-Annahmen'!$B$98+'Plan-Annahmen'!$B$99)</f>
        <v/>
      </c>
      <c r="C68" s="219">
        <f>MAX(0,A68-B68-'Plan-Annahmen'!$B$102)</f>
        <v/>
      </c>
      <c r="D68" s="185">
        <f>IF(INT(MAX(0,C68))&lt;=12348,0,IF(INT(MAX(0,C68))&lt;=17799,(914.51*((INT(MAX(0,C68))-12348)/10000)+1400)*((INT(MAX(0,C68))-12348)/10000),IF(INT(MAX(0,C68))&lt;=69878,(173.1*((INT(MAX(0,C68))-17799)/10000)+2397)*((INT(MAX(0,C68))-17799)/10000)+1034.87,IF(INT(MAX(0,C68))&lt;=277825,0.42*INT(MAX(0,C68))-11135.63,0.45*INT(MAX(0,C68))-19470.38))))</f>
        <v/>
      </c>
      <c r="E68" s="185">
        <f>A68-B68-D68</f>
        <v/>
      </c>
      <c r="F68" s="219">
        <f>MAX(0,A68-B68-'Plan-Annahmen'!$B$88*12-'Plan-Annahmen'!$B$102)</f>
        <v/>
      </c>
      <c r="G68" s="185">
        <f>IF(INT(MAX(0,F68))&lt;=12348,0,IF(INT(MAX(0,F68))&lt;=17799,(914.51*((INT(MAX(0,F68))-12348)/10000)+1400)*((INT(MAX(0,F68))-12348)/10000),IF(INT(MAX(0,F68))&lt;=69878,(173.1*((INT(MAX(0,F68))-17799)/10000)+2397)*((INT(MAX(0,F68))-17799)/10000)+1034.87,IF(INT(MAX(0,F68))&lt;=277825,0.42*INT(MAX(0,F68))-11135.63,0.45*INT(MAX(0,F68))-19470.38))))</f>
        <v/>
      </c>
      <c r="H68" s="185">
        <f>A68-B68-G68-'Plan-Annahmen'!$B$88*12</f>
        <v/>
      </c>
    </row>
    <row r="69" ht="15" customHeight="1" s="116">
      <c r="A69" s="221" t="n">
        <v>34000</v>
      </c>
      <c r="B69" s="219">
        <f>MIN(MAX(A69/12,'Plan-Annahmen'!$B$100),'Plan-Annahmen'!$B$101)*12*('Plan-Annahmen'!$B$97+'Plan-Annahmen'!$B$98+'Plan-Annahmen'!$B$99)</f>
        <v/>
      </c>
      <c r="C69" s="219">
        <f>MAX(0,A69-B69-'Plan-Annahmen'!$B$102)</f>
        <v/>
      </c>
      <c r="D69" s="185">
        <f>IF(INT(MAX(0,C69))&lt;=12348,0,IF(INT(MAX(0,C69))&lt;=17799,(914.51*((INT(MAX(0,C69))-12348)/10000)+1400)*((INT(MAX(0,C69))-12348)/10000),IF(INT(MAX(0,C69))&lt;=69878,(173.1*((INT(MAX(0,C69))-17799)/10000)+2397)*((INT(MAX(0,C69))-17799)/10000)+1034.87,IF(INT(MAX(0,C69))&lt;=277825,0.42*INT(MAX(0,C69))-11135.63,0.45*INT(MAX(0,C69))-19470.38))))</f>
        <v/>
      </c>
      <c r="E69" s="185">
        <f>A69-B69-D69</f>
        <v/>
      </c>
      <c r="F69" s="219">
        <f>MAX(0,A69-B69-'Plan-Annahmen'!$B$88*12-'Plan-Annahmen'!$B$102)</f>
        <v/>
      </c>
      <c r="G69" s="185">
        <f>IF(INT(MAX(0,F69))&lt;=12348,0,IF(INT(MAX(0,F69))&lt;=17799,(914.51*((INT(MAX(0,F69))-12348)/10000)+1400)*((INT(MAX(0,F69))-12348)/10000),IF(INT(MAX(0,F69))&lt;=69878,(173.1*((INT(MAX(0,F69))-17799)/10000)+2397)*((INT(MAX(0,F69))-17799)/10000)+1034.87,IF(INT(MAX(0,F69))&lt;=277825,0.42*INT(MAX(0,F69))-11135.63,0.45*INT(MAX(0,F69))-19470.38))))</f>
        <v/>
      </c>
      <c r="H69" s="185">
        <f>A69-B69-G69-'Plan-Annahmen'!$B$88*12</f>
        <v/>
      </c>
    </row>
    <row r="70" ht="15" customHeight="1" s="116">
      <c r="A70" s="221" t="n">
        <v>35000</v>
      </c>
      <c r="B70" s="219">
        <f>MIN(MAX(A70/12,'Plan-Annahmen'!$B$100),'Plan-Annahmen'!$B$101)*12*('Plan-Annahmen'!$B$97+'Plan-Annahmen'!$B$98+'Plan-Annahmen'!$B$99)</f>
        <v/>
      </c>
      <c r="C70" s="219">
        <f>MAX(0,A70-B70-'Plan-Annahmen'!$B$102)</f>
        <v/>
      </c>
      <c r="D70" s="185">
        <f>IF(INT(MAX(0,C70))&lt;=12348,0,IF(INT(MAX(0,C70))&lt;=17799,(914.51*((INT(MAX(0,C70))-12348)/10000)+1400)*((INT(MAX(0,C70))-12348)/10000),IF(INT(MAX(0,C70))&lt;=69878,(173.1*((INT(MAX(0,C70))-17799)/10000)+2397)*((INT(MAX(0,C70))-17799)/10000)+1034.87,IF(INT(MAX(0,C70))&lt;=277825,0.42*INT(MAX(0,C70))-11135.63,0.45*INT(MAX(0,C70))-19470.38))))</f>
        <v/>
      </c>
      <c r="E70" s="185">
        <f>A70-B70-D70</f>
        <v/>
      </c>
      <c r="F70" s="219">
        <f>MAX(0,A70-B70-'Plan-Annahmen'!$B$88*12-'Plan-Annahmen'!$B$102)</f>
        <v/>
      </c>
      <c r="G70" s="185">
        <f>IF(INT(MAX(0,F70))&lt;=12348,0,IF(INT(MAX(0,F70))&lt;=17799,(914.51*((INT(MAX(0,F70))-12348)/10000)+1400)*((INT(MAX(0,F70))-12348)/10000),IF(INT(MAX(0,F70))&lt;=69878,(173.1*((INT(MAX(0,F70))-17799)/10000)+2397)*((INT(MAX(0,F70))-17799)/10000)+1034.87,IF(INT(MAX(0,F70))&lt;=277825,0.42*INT(MAX(0,F70))-11135.63,0.45*INT(MAX(0,F70))-19470.38))))</f>
        <v/>
      </c>
      <c r="H70" s="185">
        <f>A70-B70-G70-'Plan-Annahmen'!$B$88*12</f>
        <v/>
      </c>
    </row>
    <row r="71" ht="15" customHeight="1" s="116">
      <c r="A71" s="221" t="n">
        <v>36000</v>
      </c>
      <c r="B71" s="219">
        <f>MIN(MAX(A71/12,'Plan-Annahmen'!$B$100),'Plan-Annahmen'!$B$101)*12*('Plan-Annahmen'!$B$97+'Plan-Annahmen'!$B$98+'Plan-Annahmen'!$B$99)</f>
        <v/>
      </c>
      <c r="C71" s="219">
        <f>MAX(0,A71-B71-'Plan-Annahmen'!$B$102)</f>
        <v/>
      </c>
      <c r="D71" s="185">
        <f>IF(INT(MAX(0,C71))&lt;=12348,0,IF(INT(MAX(0,C71))&lt;=17799,(914.51*((INT(MAX(0,C71))-12348)/10000)+1400)*((INT(MAX(0,C71))-12348)/10000),IF(INT(MAX(0,C71))&lt;=69878,(173.1*((INT(MAX(0,C71))-17799)/10000)+2397)*((INT(MAX(0,C71))-17799)/10000)+1034.87,IF(INT(MAX(0,C71))&lt;=277825,0.42*INT(MAX(0,C71))-11135.63,0.45*INT(MAX(0,C71))-19470.38))))</f>
        <v/>
      </c>
      <c r="E71" s="185">
        <f>A71-B71-D71</f>
        <v/>
      </c>
      <c r="F71" s="219">
        <f>MAX(0,A71-B71-'Plan-Annahmen'!$B$88*12-'Plan-Annahmen'!$B$102)</f>
        <v/>
      </c>
      <c r="G71" s="185">
        <f>IF(INT(MAX(0,F71))&lt;=12348,0,IF(INT(MAX(0,F71))&lt;=17799,(914.51*((INT(MAX(0,F71))-12348)/10000)+1400)*((INT(MAX(0,F71))-12348)/10000),IF(INT(MAX(0,F71))&lt;=69878,(173.1*((INT(MAX(0,F71))-17799)/10000)+2397)*((INT(MAX(0,F71))-17799)/10000)+1034.87,IF(INT(MAX(0,F71))&lt;=277825,0.42*INT(MAX(0,F71))-11135.63,0.45*INT(MAX(0,F71))-19470.38))))</f>
        <v/>
      </c>
      <c r="H71" s="185">
        <f>A71-B71-G71-'Plan-Annahmen'!$B$88*12</f>
        <v/>
      </c>
    </row>
    <row r="72" ht="15" customHeight="1" s="116">
      <c r="A72" s="221" t="n">
        <v>37000</v>
      </c>
      <c r="B72" s="219">
        <f>MIN(MAX(A72/12,'Plan-Annahmen'!$B$100),'Plan-Annahmen'!$B$101)*12*('Plan-Annahmen'!$B$97+'Plan-Annahmen'!$B$98+'Plan-Annahmen'!$B$99)</f>
        <v/>
      </c>
      <c r="C72" s="219">
        <f>MAX(0,A72-B72-'Plan-Annahmen'!$B$102)</f>
        <v/>
      </c>
      <c r="D72" s="185">
        <f>IF(INT(MAX(0,C72))&lt;=12348,0,IF(INT(MAX(0,C72))&lt;=17799,(914.51*((INT(MAX(0,C72))-12348)/10000)+1400)*((INT(MAX(0,C72))-12348)/10000),IF(INT(MAX(0,C72))&lt;=69878,(173.1*((INT(MAX(0,C72))-17799)/10000)+2397)*((INT(MAX(0,C72))-17799)/10000)+1034.87,IF(INT(MAX(0,C72))&lt;=277825,0.42*INT(MAX(0,C72))-11135.63,0.45*INT(MAX(0,C72))-19470.38))))</f>
        <v/>
      </c>
      <c r="E72" s="185">
        <f>A72-B72-D72</f>
        <v/>
      </c>
      <c r="F72" s="219">
        <f>MAX(0,A72-B72-'Plan-Annahmen'!$B$88*12-'Plan-Annahmen'!$B$102)</f>
        <v/>
      </c>
      <c r="G72" s="185">
        <f>IF(INT(MAX(0,F72))&lt;=12348,0,IF(INT(MAX(0,F72))&lt;=17799,(914.51*((INT(MAX(0,F72))-12348)/10000)+1400)*((INT(MAX(0,F72))-12348)/10000),IF(INT(MAX(0,F72))&lt;=69878,(173.1*((INT(MAX(0,F72))-17799)/10000)+2397)*((INT(MAX(0,F72))-17799)/10000)+1034.87,IF(INT(MAX(0,F72))&lt;=277825,0.42*INT(MAX(0,F72))-11135.63,0.45*INT(MAX(0,F72))-19470.38))))</f>
        <v/>
      </c>
      <c r="H72" s="185">
        <f>A72-B72-G72-'Plan-Annahmen'!$B$88*12</f>
        <v/>
      </c>
    </row>
    <row r="73" ht="15" customHeight="1" s="116">
      <c r="A73" s="221" t="n">
        <v>38000</v>
      </c>
      <c r="B73" s="219">
        <f>MIN(MAX(A73/12,'Plan-Annahmen'!$B$100),'Plan-Annahmen'!$B$101)*12*('Plan-Annahmen'!$B$97+'Plan-Annahmen'!$B$98+'Plan-Annahmen'!$B$99)</f>
        <v/>
      </c>
      <c r="C73" s="219">
        <f>MAX(0,A73-B73-'Plan-Annahmen'!$B$102)</f>
        <v/>
      </c>
      <c r="D73" s="185">
        <f>IF(INT(MAX(0,C73))&lt;=12348,0,IF(INT(MAX(0,C73))&lt;=17799,(914.51*((INT(MAX(0,C73))-12348)/10000)+1400)*((INT(MAX(0,C73))-12348)/10000),IF(INT(MAX(0,C73))&lt;=69878,(173.1*((INT(MAX(0,C73))-17799)/10000)+2397)*((INT(MAX(0,C73))-17799)/10000)+1034.87,IF(INT(MAX(0,C73))&lt;=277825,0.42*INT(MAX(0,C73))-11135.63,0.45*INT(MAX(0,C73))-19470.38))))</f>
        <v/>
      </c>
      <c r="E73" s="185">
        <f>A73-B73-D73</f>
        <v/>
      </c>
      <c r="F73" s="219">
        <f>MAX(0,A73-B73-'Plan-Annahmen'!$B$88*12-'Plan-Annahmen'!$B$102)</f>
        <v/>
      </c>
      <c r="G73" s="185">
        <f>IF(INT(MAX(0,F73))&lt;=12348,0,IF(INT(MAX(0,F73))&lt;=17799,(914.51*((INT(MAX(0,F73))-12348)/10000)+1400)*((INT(MAX(0,F73))-12348)/10000),IF(INT(MAX(0,F73))&lt;=69878,(173.1*((INT(MAX(0,F73))-17799)/10000)+2397)*((INT(MAX(0,F73))-17799)/10000)+1034.87,IF(INT(MAX(0,F73))&lt;=277825,0.42*INT(MAX(0,F73))-11135.63,0.45*INT(MAX(0,F73))-19470.38))))</f>
        <v/>
      </c>
      <c r="H73" s="185">
        <f>A73-B73-G73-'Plan-Annahmen'!$B$88*12</f>
        <v/>
      </c>
    </row>
    <row r="74" ht="15" customHeight="1" s="116">
      <c r="A74" s="221" t="n">
        <v>39000</v>
      </c>
      <c r="B74" s="219">
        <f>MIN(MAX(A74/12,'Plan-Annahmen'!$B$100),'Plan-Annahmen'!$B$101)*12*('Plan-Annahmen'!$B$97+'Plan-Annahmen'!$B$98+'Plan-Annahmen'!$B$99)</f>
        <v/>
      </c>
      <c r="C74" s="219">
        <f>MAX(0,A74-B74-'Plan-Annahmen'!$B$102)</f>
        <v/>
      </c>
      <c r="D74" s="185">
        <f>IF(INT(MAX(0,C74))&lt;=12348,0,IF(INT(MAX(0,C74))&lt;=17799,(914.51*((INT(MAX(0,C74))-12348)/10000)+1400)*((INT(MAX(0,C74))-12348)/10000),IF(INT(MAX(0,C74))&lt;=69878,(173.1*((INT(MAX(0,C74))-17799)/10000)+2397)*((INT(MAX(0,C74))-17799)/10000)+1034.87,IF(INT(MAX(0,C74))&lt;=277825,0.42*INT(MAX(0,C74))-11135.63,0.45*INT(MAX(0,C74))-19470.38))))</f>
        <v/>
      </c>
      <c r="E74" s="185">
        <f>A74-B74-D74</f>
        <v/>
      </c>
      <c r="F74" s="219">
        <f>MAX(0,A74-B74-'Plan-Annahmen'!$B$88*12-'Plan-Annahmen'!$B$102)</f>
        <v/>
      </c>
      <c r="G74" s="185">
        <f>IF(INT(MAX(0,F74))&lt;=12348,0,IF(INT(MAX(0,F74))&lt;=17799,(914.51*((INT(MAX(0,F74))-12348)/10000)+1400)*((INT(MAX(0,F74))-12348)/10000),IF(INT(MAX(0,F74))&lt;=69878,(173.1*((INT(MAX(0,F74))-17799)/10000)+2397)*((INT(MAX(0,F74))-17799)/10000)+1034.87,IF(INT(MAX(0,F74))&lt;=277825,0.42*INT(MAX(0,F74))-11135.63,0.45*INT(MAX(0,F74))-19470.38))))</f>
        <v/>
      </c>
      <c r="H74" s="185">
        <f>A74-B74-G74-'Plan-Annahmen'!$B$88*12</f>
        <v/>
      </c>
    </row>
    <row r="75" ht="15" customHeight="1" s="116">
      <c r="A75" s="221" t="n">
        <v>40000</v>
      </c>
      <c r="B75" s="219">
        <f>MIN(MAX(A75/12,'Plan-Annahmen'!$B$100),'Plan-Annahmen'!$B$101)*12*('Plan-Annahmen'!$B$97+'Plan-Annahmen'!$B$98+'Plan-Annahmen'!$B$99)</f>
        <v/>
      </c>
      <c r="C75" s="219">
        <f>MAX(0,A75-B75-'Plan-Annahmen'!$B$102)</f>
        <v/>
      </c>
      <c r="D75" s="185">
        <f>IF(INT(MAX(0,C75))&lt;=12348,0,IF(INT(MAX(0,C75))&lt;=17799,(914.51*((INT(MAX(0,C75))-12348)/10000)+1400)*((INT(MAX(0,C75))-12348)/10000),IF(INT(MAX(0,C75))&lt;=69878,(173.1*((INT(MAX(0,C75))-17799)/10000)+2397)*((INT(MAX(0,C75))-17799)/10000)+1034.87,IF(INT(MAX(0,C75))&lt;=277825,0.42*INT(MAX(0,C75))-11135.63,0.45*INT(MAX(0,C75))-19470.38))))</f>
        <v/>
      </c>
      <c r="E75" s="185">
        <f>A75-B75-D75</f>
        <v/>
      </c>
      <c r="F75" s="219">
        <f>MAX(0,A75-B75-'Plan-Annahmen'!$B$88*12-'Plan-Annahmen'!$B$102)</f>
        <v/>
      </c>
      <c r="G75" s="185">
        <f>IF(INT(MAX(0,F75))&lt;=12348,0,IF(INT(MAX(0,F75))&lt;=17799,(914.51*((INT(MAX(0,F75))-12348)/10000)+1400)*((INT(MAX(0,F75))-12348)/10000),IF(INT(MAX(0,F75))&lt;=69878,(173.1*((INT(MAX(0,F75))-17799)/10000)+2397)*((INT(MAX(0,F75))-17799)/10000)+1034.87,IF(INT(MAX(0,F75))&lt;=277825,0.42*INT(MAX(0,F75))-11135.63,0.45*INT(MAX(0,F75))-19470.38))))</f>
        <v/>
      </c>
      <c r="H75" s="185">
        <f>A75-B75-G75-'Plan-Annahmen'!$B$88*12</f>
        <v/>
      </c>
    </row>
    <row r="76" ht="15" customHeight="1" s="116">
      <c r="A76" s="221" t="n">
        <v>41000</v>
      </c>
      <c r="B76" s="219">
        <f>MIN(MAX(A76/12,'Plan-Annahmen'!$B$100),'Plan-Annahmen'!$B$101)*12*('Plan-Annahmen'!$B$97+'Plan-Annahmen'!$B$98+'Plan-Annahmen'!$B$99)</f>
        <v/>
      </c>
      <c r="C76" s="219">
        <f>MAX(0,A76-B76-'Plan-Annahmen'!$B$102)</f>
        <v/>
      </c>
      <c r="D76" s="185">
        <f>IF(INT(MAX(0,C76))&lt;=12348,0,IF(INT(MAX(0,C76))&lt;=17799,(914.51*((INT(MAX(0,C76))-12348)/10000)+1400)*((INT(MAX(0,C76))-12348)/10000),IF(INT(MAX(0,C76))&lt;=69878,(173.1*((INT(MAX(0,C76))-17799)/10000)+2397)*((INT(MAX(0,C76))-17799)/10000)+1034.87,IF(INT(MAX(0,C76))&lt;=277825,0.42*INT(MAX(0,C76))-11135.63,0.45*INT(MAX(0,C76))-19470.38))))</f>
        <v/>
      </c>
      <c r="E76" s="185">
        <f>A76-B76-D76</f>
        <v/>
      </c>
      <c r="F76" s="219">
        <f>MAX(0,A76-B76-'Plan-Annahmen'!$B$88*12-'Plan-Annahmen'!$B$102)</f>
        <v/>
      </c>
      <c r="G76" s="185">
        <f>IF(INT(MAX(0,F76))&lt;=12348,0,IF(INT(MAX(0,F76))&lt;=17799,(914.51*((INT(MAX(0,F76))-12348)/10000)+1400)*((INT(MAX(0,F76))-12348)/10000),IF(INT(MAX(0,F76))&lt;=69878,(173.1*((INT(MAX(0,F76))-17799)/10000)+2397)*((INT(MAX(0,F76))-17799)/10000)+1034.87,IF(INT(MAX(0,F76))&lt;=277825,0.42*INT(MAX(0,F76))-11135.63,0.45*INT(MAX(0,F76))-19470.38))))</f>
        <v/>
      </c>
      <c r="H76" s="185">
        <f>A76-B76-G76-'Plan-Annahmen'!$B$88*12</f>
        <v/>
      </c>
    </row>
    <row r="77" ht="15" customHeight="1" s="116">
      <c r="A77" s="221" t="n">
        <v>42000</v>
      </c>
      <c r="B77" s="219">
        <f>MIN(MAX(A77/12,'Plan-Annahmen'!$B$100),'Plan-Annahmen'!$B$101)*12*('Plan-Annahmen'!$B$97+'Plan-Annahmen'!$B$98+'Plan-Annahmen'!$B$99)</f>
        <v/>
      </c>
      <c r="C77" s="219">
        <f>MAX(0,A77-B77-'Plan-Annahmen'!$B$102)</f>
        <v/>
      </c>
      <c r="D77" s="185">
        <f>IF(INT(MAX(0,C77))&lt;=12348,0,IF(INT(MAX(0,C77))&lt;=17799,(914.51*((INT(MAX(0,C77))-12348)/10000)+1400)*((INT(MAX(0,C77))-12348)/10000),IF(INT(MAX(0,C77))&lt;=69878,(173.1*((INT(MAX(0,C77))-17799)/10000)+2397)*((INT(MAX(0,C77))-17799)/10000)+1034.87,IF(INT(MAX(0,C77))&lt;=277825,0.42*INT(MAX(0,C77))-11135.63,0.45*INT(MAX(0,C77))-19470.38))))</f>
        <v/>
      </c>
      <c r="E77" s="185">
        <f>A77-B77-D77</f>
        <v/>
      </c>
      <c r="F77" s="219">
        <f>MAX(0,A77-B77-'Plan-Annahmen'!$B$88*12-'Plan-Annahmen'!$B$102)</f>
        <v/>
      </c>
      <c r="G77" s="185">
        <f>IF(INT(MAX(0,F77))&lt;=12348,0,IF(INT(MAX(0,F77))&lt;=17799,(914.51*((INT(MAX(0,F77))-12348)/10000)+1400)*((INT(MAX(0,F77))-12348)/10000),IF(INT(MAX(0,F77))&lt;=69878,(173.1*((INT(MAX(0,F77))-17799)/10000)+2397)*((INT(MAX(0,F77))-17799)/10000)+1034.87,IF(INT(MAX(0,F77))&lt;=277825,0.42*INT(MAX(0,F77))-11135.63,0.45*INT(MAX(0,F77))-19470.38))))</f>
        <v/>
      </c>
      <c r="H77" s="185">
        <f>A77-B77-G77-'Plan-Annahmen'!$B$88*12</f>
        <v/>
      </c>
    </row>
    <row r="78" ht="15" customHeight="1" s="116">
      <c r="A78" s="221" t="n">
        <v>43000</v>
      </c>
      <c r="B78" s="219">
        <f>MIN(MAX(A78/12,'Plan-Annahmen'!$B$100),'Plan-Annahmen'!$B$101)*12*('Plan-Annahmen'!$B$97+'Plan-Annahmen'!$B$98+'Plan-Annahmen'!$B$99)</f>
        <v/>
      </c>
      <c r="C78" s="219">
        <f>MAX(0,A78-B78-'Plan-Annahmen'!$B$102)</f>
        <v/>
      </c>
      <c r="D78" s="185">
        <f>IF(INT(MAX(0,C78))&lt;=12348,0,IF(INT(MAX(0,C78))&lt;=17799,(914.51*((INT(MAX(0,C78))-12348)/10000)+1400)*((INT(MAX(0,C78))-12348)/10000),IF(INT(MAX(0,C78))&lt;=69878,(173.1*((INT(MAX(0,C78))-17799)/10000)+2397)*((INT(MAX(0,C78))-17799)/10000)+1034.87,IF(INT(MAX(0,C78))&lt;=277825,0.42*INT(MAX(0,C78))-11135.63,0.45*INT(MAX(0,C78))-19470.38))))</f>
        <v/>
      </c>
      <c r="E78" s="185">
        <f>A78-B78-D78</f>
        <v/>
      </c>
      <c r="F78" s="219">
        <f>MAX(0,A78-B78-'Plan-Annahmen'!$B$88*12-'Plan-Annahmen'!$B$102)</f>
        <v/>
      </c>
      <c r="G78" s="185">
        <f>IF(INT(MAX(0,F78))&lt;=12348,0,IF(INT(MAX(0,F78))&lt;=17799,(914.51*((INT(MAX(0,F78))-12348)/10000)+1400)*((INT(MAX(0,F78))-12348)/10000),IF(INT(MAX(0,F78))&lt;=69878,(173.1*((INT(MAX(0,F78))-17799)/10000)+2397)*((INT(MAX(0,F78))-17799)/10000)+1034.87,IF(INT(MAX(0,F78))&lt;=277825,0.42*INT(MAX(0,F78))-11135.63,0.45*INT(MAX(0,F78))-19470.38))))</f>
        <v/>
      </c>
      <c r="H78" s="185">
        <f>A78-B78-G78-'Plan-Annahmen'!$B$88*12</f>
        <v/>
      </c>
    </row>
    <row r="79" ht="15" customHeight="1" s="116">
      <c r="A79" s="221" t="n">
        <v>44000</v>
      </c>
      <c r="B79" s="219">
        <f>MIN(MAX(A79/12,'Plan-Annahmen'!$B$100),'Plan-Annahmen'!$B$101)*12*('Plan-Annahmen'!$B$97+'Plan-Annahmen'!$B$98+'Plan-Annahmen'!$B$99)</f>
        <v/>
      </c>
      <c r="C79" s="219">
        <f>MAX(0,A79-B79-'Plan-Annahmen'!$B$102)</f>
        <v/>
      </c>
      <c r="D79" s="185">
        <f>IF(INT(MAX(0,C79))&lt;=12348,0,IF(INT(MAX(0,C79))&lt;=17799,(914.51*((INT(MAX(0,C79))-12348)/10000)+1400)*((INT(MAX(0,C79))-12348)/10000),IF(INT(MAX(0,C79))&lt;=69878,(173.1*((INT(MAX(0,C79))-17799)/10000)+2397)*((INT(MAX(0,C79))-17799)/10000)+1034.87,IF(INT(MAX(0,C79))&lt;=277825,0.42*INT(MAX(0,C79))-11135.63,0.45*INT(MAX(0,C79))-19470.38))))</f>
        <v/>
      </c>
      <c r="E79" s="185">
        <f>A79-B79-D79</f>
        <v/>
      </c>
      <c r="F79" s="219">
        <f>MAX(0,A79-B79-'Plan-Annahmen'!$B$88*12-'Plan-Annahmen'!$B$102)</f>
        <v/>
      </c>
      <c r="G79" s="185">
        <f>IF(INT(MAX(0,F79))&lt;=12348,0,IF(INT(MAX(0,F79))&lt;=17799,(914.51*((INT(MAX(0,F79))-12348)/10000)+1400)*((INT(MAX(0,F79))-12348)/10000),IF(INT(MAX(0,F79))&lt;=69878,(173.1*((INT(MAX(0,F79))-17799)/10000)+2397)*((INT(MAX(0,F79))-17799)/10000)+1034.87,IF(INT(MAX(0,F79))&lt;=277825,0.42*INT(MAX(0,F79))-11135.63,0.45*INT(MAX(0,F79))-19470.38))))</f>
        <v/>
      </c>
      <c r="H79" s="185">
        <f>A79-B79-G79-'Plan-Annahmen'!$B$88*12</f>
        <v/>
      </c>
    </row>
    <row r="80" ht="15" customHeight="1" s="116">
      <c r="A80" s="221" t="n">
        <v>45000</v>
      </c>
      <c r="B80" s="219">
        <f>MIN(MAX(A80/12,'Plan-Annahmen'!$B$100),'Plan-Annahmen'!$B$101)*12*('Plan-Annahmen'!$B$97+'Plan-Annahmen'!$B$98+'Plan-Annahmen'!$B$99)</f>
        <v/>
      </c>
      <c r="C80" s="219">
        <f>MAX(0,A80-B80-'Plan-Annahmen'!$B$102)</f>
        <v/>
      </c>
      <c r="D80" s="185">
        <f>IF(INT(MAX(0,C80))&lt;=12348,0,IF(INT(MAX(0,C80))&lt;=17799,(914.51*((INT(MAX(0,C80))-12348)/10000)+1400)*((INT(MAX(0,C80))-12348)/10000),IF(INT(MAX(0,C80))&lt;=69878,(173.1*((INT(MAX(0,C80))-17799)/10000)+2397)*((INT(MAX(0,C80))-17799)/10000)+1034.87,IF(INT(MAX(0,C80))&lt;=277825,0.42*INT(MAX(0,C80))-11135.63,0.45*INT(MAX(0,C80))-19470.38))))</f>
        <v/>
      </c>
      <c r="E80" s="185">
        <f>A80-B80-D80</f>
        <v/>
      </c>
      <c r="F80" s="219">
        <f>MAX(0,A80-B80-'Plan-Annahmen'!$B$88*12-'Plan-Annahmen'!$B$102)</f>
        <v/>
      </c>
      <c r="G80" s="185">
        <f>IF(INT(MAX(0,F80))&lt;=12348,0,IF(INT(MAX(0,F80))&lt;=17799,(914.51*((INT(MAX(0,F80))-12348)/10000)+1400)*((INT(MAX(0,F80))-12348)/10000),IF(INT(MAX(0,F80))&lt;=69878,(173.1*((INT(MAX(0,F80))-17799)/10000)+2397)*((INT(MAX(0,F80))-17799)/10000)+1034.87,IF(INT(MAX(0,F80))&lt;=277825,0.42*INT(MAX(0,F80))-11135.63,0.45*INT(MAX(0,F80))-19470.38))))</f>
        <v/>
      </c>
      <c r="H80" s="185">
        <f>A80-B80-G80-'Plan-Annahmen'!$B$88*12</f>
        <v/>
      </c>
    </row>
    <row r="81" ht="15" customHeight="1" s="116">
      <c r="A81" s="221" t="n">
        <v>46000</v>
      </c>
      <c r="B81" s="219">
        <f>MIN(MAX(A81/12,'Plan-Annahmen'!$B$100),'Plan-Annahmen'!$B$101)*12*('Plan-Annahmen'!$B$97+'Plan-Annahmen'!$B$98+'Plan-Annahmen'!$B$99)</f>
        <v/>
      </c>
      <c r="C81" s="219">
        <f>MAX(0,A81-B81-'Plan-Annahmen'!$B$102)</f>
        <v/>
      </c>
      <c r="D81" s="185">
        <f>IF(INT(MAX(0,C81))&lt;=12348,0,IF(INT(MAX(0,C81))&lt;=17799,(914.51*((INT(MAX(0,C81))-12348)/10000)+1400)*((INT(MAX(0,C81))-12348)/10000),IF(INT(MAX(0,C81))&lt;=69878,(173.1*((INT(MAX(0,C81))-17799)/10000)+2397)*((INT(MAX(0,C81))-17799)/10000)+1034.87,IF(INT(MAX(0,C81))&lt;=277825,0.42*INT(MAX(0,C81))-11135.63,0.45*INT(MAX(0,C81))-19470.38))))</f>
        <v/>
      </c>
      <c r="E81" s="185">
        <f>A81-B81-D81</f>
        <v/>
      </c>
      <c r="F81" s="219">
        <f>MAX(0,A81-B81-'Plan-Annahmen'!$B$88*12-'Plan-Annahmen'!$B$102)</f>
        <v/>
      </c>
      <c r="G81" s="185">
        <f>IF(INT(MAX(0,F81))&lt;=12348,0,IF(INT(MAX(0,F81))&lt;=17799,(914.51*((INT(MAX(0,F81))-12348)/10000)+1400)*((INT(MAX(0,F81))-12348)/10000),IF(INT(MAX(0,F81))&lt;=69878,(173.1*((INT(MAX(0,F81))-17799)/10000)+2397)*((INT(MAX(0,F81))-17799)/10000)+1034.87,IF(INT(MAX(0,F81))&lt;=277825,0.42*INT(MAX(0,F81))-11135.63,0.45*INT(MAX(0,F81))-19470.38))))</f>
        <v/>
      </c>
      <c r="H81" s="185">
        <f>A81-B81-G81-'Plan-Annahmen'!$B$88*12</f>
        <v/>
      </c>
    </row>
    <row r="82" ht="15" customHeight="1" s="116">
      <c r="A82" s="221" t="n">
        <v>47000</v>
      </c>
      <c r="B82" s="219">
        <f>MIN(MAX(A82/12,'Plan-Annahmen'!$B$100),'Plan-Annahmen'!$B$101)*12*('Plan-Annahmen'!$B$97+'Plan-Annahmen'!$B$98+'Plan-Annahmen'!$B$99)</f>
        <v/>
      </c>
      <c r="C82" s="219">
        <f>MAX(0,A82-B82-'Plan-Annahmen'!$B$102)</f>
        <v/>
      </c>
      <c r="D82" s="185">
        <f>IF(INT(MAX(0,C82))&lt;=12348,0,IF(INT(MAX(0,C82))&lt;=17799,(914.51*((INT(MAX(0,C82))-12348)/10000)+1400)*((INT(MAX(0,C82))-12348)/10000),IF(INT(MAX(0,C82))&lt;=69878,(173.1*((INT(MAX(0,C82))-17799)/10000)+2397)*((INT(MAX(0,C82))-17799)/10000)+1034.87,IF(INT(MAX(0,C82))&lt;=277825,0.42*INT(MAX(0,C82))-11135.63,0.45*INT(MAX(0,C82))-19470.38))))</f>
        <v/>
      </c>
      <c r="E82" s="185">
        <f>A82-B82-D82</f>
        <v/>
      </c>
      <c r="F82" s="219">
        <f>MAX(0,A82-B82-'Plan-Annahmen'!$B$88*12-'Plan-Annahmen'!$B$102)</f>
        <v/>
      </c>
      <c r="G82" s="185">
        <f>IF(INT(MAX(0,F82))&lt;=12348,0,IF(INT(MAX(0,F82))&lt;=17799,(914.51*((INT(MAX(0,F82))-12348)/10000)+1400)*((INT(MAX(0,F82))-12348)/10000),IF(INT(MAX(0,F82))&lt;=69878,(173.1*((INT(MAX(0,F82))-17799)/10000)+2397)*((INT(MAX(0,F82))-17799)/10000)+1034.87,IF(INT(MAX(0,F82))&lt;=277825,0.42*INT(MAX(0,F82))-11135.63,0.45*INT(MAX(0,F82))-19470.38))))</f>
        <v/>
      </c>
      <c r="H82" s="185">
        <f>A82-B82-G82-'Plan-Annahmen'!$B$88*12</f>
        <v/>
      </c>
    </row>
    <row r="83" ht="15" customHeight="1" s="116">
      <c r="A83" s="221" t="n">
        <v>48000</v>
      </c>
      <c r="B83" s="219">
        <f>MIN(MAX(A83/12,'Plan-Annahmen'!$B$100),'Plan-Annahmen'!$B$101)*12*('Plan-Annahmen'!$B$97+'Plan-Annahmen'!$B$98+'Plan-Annahmen'!$B$99)</f>
        <v/>
      </c>
      <c r="C83" s="219">
        <f>MAX(0,A83-B83-'Plan-Annahmen'!$B$102)</f>
        <v/>
      </c>
      <c r="D83" s="185">
        <f>IF(INT(MAX(0,C83))&lt;=12348,0,IF(INT(MAX(0,C83))&lt;=17799,(914.51*((INT(MAX(0,C83))-12348)/10000)+1400)*((INT(MAX(0,C83))-12348)/10000),IF(INT(MAX(0,C83))&lt;=69878,(173.1*((INT(MAX(0,C83))-17799)/10000)+2397)*((INT(MAX(0,C83))-17799)/10000)+1034.87,IF(INT(MAX(0,C83))&lt;=277825,0.42*INT(MAX(0,C83))-11135.63,0.45*INT(MAX(0,C83))-19470.38))))</f>
        <v/>
      </c>
      <c r="E83" s="185">
        <f>A83-B83-D83</f>
        <v/>
      </c>
      <c r="F83" s="219">
        <f>MAX(0,A83-B83-'Plan-Annahmen'!$B$88*12-'Plan-Annahmen'!$B$102)</f>
        <v/>
      </c>
      <c r="G83" s="185">
        <f>IF(INT(MAX(0,F83))&lt;=12348,0,IF(INT(MAX(0,F83))&lt;=17799,(914.51*((INT(MAX(0,F83))-12348)/10000)+1400)*((INT(MAX(0,F83))-12348)/10000),IF(INT(MAX(0,F83))&lt;=69878,(173.1*((INT(MAX(0,F83))-17799)/10000)+2397)*((INT(MAX(0,F83))-17799)/10000)+1034.87,IF(INT(MAX(0,F83))&lt;=277825,0.42*INT(MAX(0,F83))-11135.63,0.45*INT(MAX(0,F83))-19470.38))))</f>
        <v/>
      </c>
      <c r="H83" s="185">
        <f>A83-B83-G83-'Plan-Annahmen'!$B$88*12</f>
        <v/>
      </c>
    </row>
    <row r="84" ht="15" customHeight="1" s="116">
      <c r="A84" s="221" t="n">
        <v>49000</v>
      </c>
      <c r="B84" s="219">
        <f>MIN(MAX(A84/12,'Plan-Annahmen'!$B$100),'Plan-Annahmen'!$B$101)*12*('Plan-Annahmen'!$B$97+'Plan-Annahmen'!$B$98+'Plan-Annahmen'!$B$99)</f>
        <v/>
      </c>
      <c r="C84" s="219">
        <f>MAX(0,A84-B84-'Plan-Annahmen'!$B$102)</f>
        <v/>
      </c>
      <c r="D84" s="185">
        <f>IF(INT(MAX(0,C84))&lt;=12348,0,IF(INT(MAX(0,C84))&lt;=17799,(914.51*((INT(MAX(0,C84))-12348)/10000)+1400)*((INT(MAX(0,C84))-12348)/10000),IF(INT(MAX(0,C84))&lt;=69878,(173.1*((INT(MAX(0,C84))-17799)/10000)+2397)*((INT(MAX(0,C84))-17799)/10000)+1034.87,IF(INT(MAX(0,C84))&lt;=277825,0.42*INT(MAX(0,C84))-11135.63,0.45*INT(MAX(0,C84))-19470.38))))</f>
        <v/>
      </c>
      <c r="E84" s="185">
        <f>A84-B84-D84</f>
        <v/>
      </c>
      <c r="F84" s="219">
        <f>MAX(0,A84-B84-'Plan-Annahmen'!$B$88*12-'Plan-Annahmen'!$B$102)</f>
        <v/>
      </c>
      <c r="G84" s="185">
        <f>IF(INT(MAX(0,F84))&lt;=12348,0,IF(INT(MAX(0,F84))&lt;=17799,(914.51*((INT(MAX(0,F84))-12348)/10000)+1400)*((INT(MAX(0,F84))-12348)/10000),IF(INT(MAX(0,F84))&lt;=69878,(173.1*((INT(MAX(0,F84))-17799)/10000)+2397)*((INT(MAX(0,F84))-17799)/10000)+1034.87,IF(INT(MAX(0,F84))&lt;=277825,0.42*INT(MAX(0,F84))-11135.63,0.45*INT(MAX(0,F84))-19470.38))))</f>
        <v/>
      </c>
      <c r="H84" s="185">
        <f>A84-B84-G84-'Plan-Annahmen'!$B$88*12</f>
        <v/>
      </c>
    </row>
    <row r="85" ht="15" customHeight="1" s="116">
      <c r="A85" s="221" t="n">
        <v>50000</v>
      </c>
      <c r="B85" s="219">
        <f>MIN(MAX(A85/12,'Plan-Annahmen'!$B$100),'Plan-Annahmen'!$B$101)*12*('Plan-Annahmen'!$B$97+'Plan-Annahmen'!$B$98+'Plan-Annahmen'!$B$99)</f>
        <v/>
      </c>
      <c r="C85" s="219">
        <f>MAX(0,A85-B85-'Plan-Annahmen'!$B$102)</f>
        <v/>
      </c>
      <c r="D85" s="185">
        <f>IF(INT(MAX(0,C85))&lt;=12348,0,IF(INT(MAX(0,C85))&lt;=17799,(914.51*((INT(MAX(0,C85))-12348)/10000)+1400)*((INT(MAX(0,C85))-12348)/10000),IF(INT(MAX(0,C85))&lt;=69878,(173.1*((INT(MAX(0,C85))-17799)/10000)+2397)*((INT(MAX(0,C85))-17799)/10000)+1034.87,IF(INT(MAX(0,C85))&lt;=277825,0.42*INT(MAX(0,C85))-11135.63,0.45*INT(MAX(0,C85))-19470.38))))</f>
        <v/>
      </c>
      <c r="E85" s="185">
        <f>A85-B85-D85</f>
        <v/>
      </c>
      <c r="F85" s="219">
        <f>MAX(0,A85-B85-'Plan-Annahmen'!$B$88*12-'Plan-Annahmen'!$B$102)</f>
        <v/>
      </c>
      <c r="G85" s="185">
        <f>IF(INT(MAX(0,F85))&lt;=12348,0,IF(INT(MAX(0,F85))&lt;=17799,(914.51*((INT(MAX(0,F85))-12348)/10000)+1400)*((INT(MAX(0,F85))-12348)/10000),IF(INT(MAX(0,F85))&lt;=69878,(173.1*((INT(MAX(0,F85))-17799)/10000)+2397)*((INT(MAX(0,F85))-17799)/10000)+1034.87,IF(INT(MAX(0,F85))&lt;=277825,0.42*INT(MAX(0,F85))-11135.63,0.45*INT(MAX(0,F85))-19470.38))))</f>
        <v/>
      </c>
      <c r="H85" s="185">
        <f>A85-B85-G85-'Plan-Annahmen'!$B$88*12</f>
        <v/>
      </c>
    </row>
    <row r="86" ht="15" customHeight="1" s="116">
      <c r="A86" s="221" t="n">
        <v>51000</v>
      </c>
      <c r="B86" s="219">
        <f>MIN(MAX(A86/12,'Plan-Annahmen'!$B$100),'Plan-Annahmen'!$B$101)*12*('Plan-Annahmen'!$B$97+'Plan-Annahmen'!$B$98+'Plan-Annahmen'!$B$99)</f>
        <v/>
      </c>
      <c r="C86" s="219">
        <f>MAX(0,A86-B86-'Plan-Annahmen'!$B$102)</f>
        <v/>
      </c>
      <c r="D86" s="185">
        <f>IF(INT(MAX(0,C86))&lt;=12348,0,IF(INT(MAX(0,C86))&lt;=17799,(914.51*((INT(MAX(0,C86))-12348)/10000)+1400)*((INT(MAX(0,C86))-12348)/10000),IF(INT(MAX(0,C86))&lt;=69878,(173.1*((INT(MAX(0,C86))-17799)/10000)+2397)*((INT(MAX(0,C86))-17799)/10000)+1034.87,IF(INT(MAX(0,C86))&lt;=277825,0.42*INT(MAX(0,C86))-11135.63,0.45*INT(MAX(0,C86))-19470.38))))</f>
        <v/>
      </c>
      <c r="E86" s="185">
        <f>A86-B86-D86</f>
        <v/>
      </c>
      <c r="F86" s="219">
        <f>MAX(0,A86-B86-'Plan-Annahmen'!$B$88*12-'Plan-Annahmen'!$B$102)</f>
        <v/>
      </c>
      <c r="G86" s="185">
        <f>IF(INT(MAX(0,F86))&lt;=12348,0,IF(INT(MAX(0,F86))&lt;=17799,(914.51*((INT(MAX(0,F86))-12348)/10000)+1400)*((INT(MAX(0,F86))-12348)/10000),IF(INT(MAX(0,F86))&lt;=69878,(173.1*((INT(MAX(0,F86))-17799)/10000)+2397)*((INT(MAX(0,F86))-17799)/10000)+1034.87,IF(INT(MAX(0,F86))&lt;=277825,0.42*INT(MAX(0,F86))-11135.63,0.45*INT(MAX(0,F86))-19470.38))))</f>
        <v/>
      </c>
      <c r="H86" s="185">
        <f>A86-B86-G86-'Plan-Annahmen'!$B$88*12</f>
        <v/>
      </c>
    </row>
    <row r="87" ht="15" customHeight="1" s="116">
      <c r="A87" s="221" t="n">
        <v>52000</v>
      </c>
      <c r="B87" s="219">
        <f>MIN(MAX(A87/12,'Plan-Annahmen'!$B$100),'Plan-Annahmen'!$B$101)*12*('Plan-Annahmen'!$B$97+'Plan-Annahmen'!$B$98+'Plan-Annahmen'!$B$99)</f>
        <v/>
      </c>
      <c r="C87" s="219">
        <f>MAX(0,A87-B87-'Plan-Annahmen'!$B$102)</f>
        <v/>
      </c>
      <c r="D87" s="185">
        <f>IF(INT(MAX(0,C87))&lt;=12348,0,IF(INT(MAX(0,C87))&lt;=17799,(914.51*((INT(MAX(0,C87))-12348)/10000)+1400)*((INT(MAX(0,C87))-12348)/10000),IF(INT(MAX(0,C87))&lt;=69878,(173.1*((INT(MAX(0,C87))-17799)/10000)+2397)*((INT(MAX(0,C87))-17799)/10000)+1034.87,IF(INT(MAX(0,C87))&lt;=277825,0.42*INT(MAX(0,C87))-11135.63,0.45*INT(MAX(0,C87))-19470.38))))</f>
        <v/>
      </c>
      <c r="E87" s="185">
        <f>A87-B87-D87</f>
        <v/>
      </c>
      <c r="F87" s="219">
        <f>MAX(0,A87-B87-'Plan-Annahmen'!$B$88*12-'Plan-Annahmen'!$B$102)</f>
        <v/>
      </c>
      <c r="G87" s="185">
        <f>IF(INT(MAX(0,F87))&lt;=12348,0,IF(INT(MAX(0,F87))&lt;=17799,(914.51*((INT(MAX(0,F87))-12348)/10000)+1400)*((INT(MAX(0,F87))-12348)/10000),IF(INT(MAX(0,F87))&lt;=69878,(173.1*((INT(MAX(0,F87))-17799)/10000)+2397)*((INT(MAX(0,F87))-17799)/10000)+1034.87,IF(INT(MAX(0,F87))&lt;=277825,0.42*INT(MAX(0,F87))-11135.63,0.45*INT(MAX(0,F87))-19470.38))))</f>
        <v/>
      </c>
      <c r="H87" s="185">
        <f>A87-B87-G87-'Plan-Annahmen'!$B$88*12</f>
        <v/>
      </c>
    </row>
    <row r="88" ht="15" customHeight="1" s="116">
      <c r="A88" s="221" t="n">
        <v>53000</v>
      </c>
      <c r="B88" s="219">
        <f>MIN(MAX(A88/12,'Plan-Annahmen'!$B$100),'Plan-Annahmen'!$B$101)*12*('Plan-Annahmen'!$B$97+'Plan-Annahmen'!$B$98+'Plan-Annahmen'!$B$99)</f>
        <v/>
      </c>
      <c r="C88" s="219">
        <f>MAX(0,A88-B88-'Plan-Annahmen'!$B$102)</f>
        <v/>
      </c>
      <c r="D88" s="185">
        <f>IF(INT(MAX(0,C88))&lt;=12348,0,IF(INT(MAX(0,C88))&lt;=17799,(914.51*((INT(MAX(0,C88))-12348)/10000)+1400)*((INT(MAX(0,C88))-12348)/10000),IF(INT(MAX(0,C88))&lt;=69878,(173.1*((INT(MAX(0,C88))-17799)/10000)+2397)*((INT(MAX(0,C88))-17799)/10000)+1034.87,IF(INT(MAX(0,C88))&lt;=277825,0.42*INT(MAX(0,C88))-11135.63,0.45*INT(MAX(0,C88))-19470.38))))</f>
        <v/>
      </c>
      <c r="E88" s="185">
        <f>A88-B88-D88</f>
        <v/>
      </c>
      <c r="F88" s="219">
        <f>MAX(0,A88-B88-'Plan-Annahmen'!$B$88*12-'Plan-Annahmen'!$B$102)</f>
        <v/>
      </c>
      <c r="G88" s="185">
        <f>IF(INT(MAX(0,F88))&lt;=12348,0,IF(INT(MAX(0,F88))&lt;=17799,(914.51*((INT(MAX(0,F88))-12348)/10000)+1400)*((INT(MAX(0,F88))-12348)/10000),IF(INT(MAX(0,F88))&lt;=69878,(173.1*((INT(MAX(0,F88))-17799)/10000)+2397)*((INT(MAX(0,F88))-17799)/10000)+1034.87,IF(INT(MAX(0,F88))&lt;=277825,0.42*INT(MAX(0,F88))-11135.63,0.45*INT(MAX(0,F88))-19470.38))))</f>
        <v/>
      </c>
      <c r="H88" s="185">
        <f>A88-B88-G88-'Plan-Annahmen'!$B$88*12</f>
        <v/>
      </c>
    </row>
    <row r="89" ht="15" customHeight="1" s="116">
      <c r="A89" s="221" t="n">
        <v>54000</v>
      </c>
      <c r="B89" s="219">
        <f>MIN(MAX(A89/12,'Plan-Annahmen'!$B$100),'Plan-Annahmen'!$B$101)*12*('Plan-Annahmen'!$B$97+'Plan-Annahmen'!$B$98+'Plan-Annahmen'!$B$99)</f>
        <v/>
      </c>
      <c r="C89" s="219">
        <f>MAX(0,A89-B89-'Plan-Annahmen'!$B$102)</f>
        <v/>
      </c>
      <c r="D89" s="185">
        <f>IF(INT(MAX(0,C89))&lt;=12348,0,IF(INT(MAX(0,C89))&lt;=17799,(914.51*((INT(MAX(0,C89))-12348)/10000)+1400)*((INT(MAX(0,C89))-12348)/10000),IF(INT(MAX(0,C89))&lt;=69878,(173.1*((INT(MAX(0,C89))-17799)/10000)+2397)*((INT(MAX(0,C89))-17799)/10000)+1034.87,IF(INT(MAX(0,C89))&lt;=277825,0.42*INT(MAX(0,C89))-11135.63,0.45*INT(MAX(0,C89))-19470.38))))</f>
        <v/>
      </c>
      <c r="E89" s="185">
        <f>A89-B89-D89</f>
        <v/>
      </c>
      <c r="F89" s="219">
        <f>MAX(0,A89-B89-'Plan-Annahmen'!$B$88*12-'Plan-Annahmen'!$B$102)</f>
        <v/>
      </c>
      <c r="G89" s="185">
        <f>IF(INT(MAX(0,F89))&lt;=12348,0,IF(INT(MAX(0,F89))&lt;=17799,(914.51*((INT(MAX(0,F89))-12348)/10000)+1400)*((INT(MAX(0,F89))-12348)/10000),IF(INT(MAX(0,F89))&lt;=69878,(173.1*((INT(MAX(0,F89))-17799)/10000)+2397)*((INT(MAX(0,F89))-17799)/10000)+1034.87,IF(INT(MAX(0,F89))&lt;=277825,0.42*INT(MAX(0,F89))-11135.63,0.45*INT(MAX(0,F89))-19470.38))))</f>
        <v/>
      </c>
      <c r="H89" s="185">
        <f>A89-B89-G89-'Plan-Annahmen'!$B$88*12</f>
        <v/>
      </c>
    </row>
    <row r="90" ht="15" customHeight="1" s="116">
      <c r="A90" s="221" t="n">
        <v>55000</v>
      </c>
      <c r="B90" s="219">
        <f>MIN(MAX(A90/12,'Plan-Annahmen'!$B$100),'Plan-Annahmen'!$B$101)*12*('Plan-Annahmen'!$B$97+'Plan-Annahmen'!$B$98+'Plan-Annahmen'!$B$99)</f>
        <v/>
      </c>
      <c r="C90" s="219">
        <f>MAX(0,A90-B90-'Plan-Annahmen'!$B$102)</f>
        <v/>
      </c>
      <c r="D90" s="185">
        <f>IF(INT(MAX(0,C90))&lt;=12348,0,IF(INT(MAX(0,C90))&lt;=17799,(914.51*((INT(MAX(0,C90))-12348)/10000)+1400)*((INT(MAX(0,C90))-12348)/10000),IF(INT(MAX(0,C90))&lt;=69878,(173.1*((INT(MAX(0,C90))-17799)/10000)+2397)*((INT(MAX(0,C90))-17799)/10000)+1034.87,IF(INT(MAX(0,C90))&lt;=277825,0.42*INT(MAX(0,C90))-11135.63,0.45*INT(MAX(0,C90))-19470.38))))</f>
        <v/>
      </c>
      <c r="E90" s="185">
        <f>A90-B90-D90</f>
        <v/>
      </c>
      <c r="F90" s="219">
        <f>MAX(0,A90-B90-'Plan-Annahmen'!$B$88*12-'Plan-Annahmen'!$B$102)</f>
        <v/>
      </c>
      <c r="G90" s="185">
        <f>IF(INT(MAX(0,F90))&lt;=12348,0,IF(INT(MAX(0,F90))&lt;=17799,(914.51*((INT(MAX(0,F90))-12348)/10000)+1400)*((INT(MAX(0,F90))-12348)/10000),IF(INT(MAX(0,F90))&lt;=69878,(173.1*((INT(MAX(0,F90))-17799)/10000)+2397)*((INT(MAX(0,F90))-17799)/10000)+1034.87,IF(INT(MAX(0,F90))&lt;=277825,0.42*INT(MAX(0,F90))-11135.63,0.45*INT(MAX(0,F90))-19470.38))))</f>
        <v/>
      </c>
      <c r="H90" s="185">
        <f>A90-B90-G90-'Plan-Annahmen'!$B$88*12</f>
        <v/>
      </c>
    </row>
    <row r="91" ht="15" customHeight="1" s="116">
      <c r="A91" s="221" t="n">
        <v>56000</v>
      </c>
      <c r="B91" s="219">
        <f>MIN(MAX(A91/12,'Plan-Annahmen'!$B$100),'Plan-Annahmen'!$B$101)*12*('Plan-Annahmen'!$B$97+'Plan-Annahmen'!$B$98+'Plan-Annahmen'!$B$99)</f>
        <v/>
      </c>
      <c r="C91" s="219">
        <f>MAX(0,A91-B91-'Plan-Annahmen'!$B$102)</f>
        <v/>
      </c>
      <c r="D91" s="185">
        <f>IF(INT(MAX(0,C91))&lt;=12348,0,IF(INT(MAX(0,C91))&lt;=17799,(914.51*((INT(MAX(0,C91))-12348)/10000)+1400)*((INT(MAX(0,C91))-12348)/10000),IF(INT(MAX(0,C91))&lt;=69878,(173.1*((INT(MAX(0,C91))-17799)/10000)+2397)*((INT(MAX(0,C91))-17799)/10000)+1034.87,IF(INT(MAX(0,C91))&lt;=277825,0.42*INT(MAX(0,C91))-11135.63,0.45*INT(MAX(0,C91))-19470.38))))</f>
        <v/>
      </c>
      <c r="E91" s="185">
        <f>A91-B91-D91</f>
        <v/>
      </c>
      <c r="F91" s="219">
        <f>MAX(0,A91-B91-'Plan-Annahmen'!$B$88*12-'Plan-Annahmen'!$B$102)</f>
        <v/>
      </c>
      <c r="G91" s="185">
        <f>IF(INT(MAX(0,F91))&lt;=12348,0,IF(INT(MAX(0,F91))&lt;=17799,(914.51*((INT(MAX(0,F91))-12348)/10000)+1400)*((INT(MAX(0,F91))-12348)/10000),IF(INT(MAX(0,F91))&lt;=69878,(173.1*((INT(MAX(0,F91))-17799)/10000)+2397)*((INT(MAX(0,F91))-17799)/10000)+1034.87,IF(INT(MAX(0,F91))&lt;=277825,0.42*INT(MAX(0,F91))-11135.63,0.45*INT(MAX(0,F91))-19470.38))))</f>
        <v/>
      </c>
      <c r="H91" s="185">
        <f>A91-B91-G91-'Plan-Annahmen'!$B$88*12</f>
        <v/>
      </c>
    </row>
    <row r="92" ht="15" customHeight="1" s="116">
      <c r="A92" s="221" t="n">
        <v>57000</v>
      </c>
      <c r="B92" s="219">
        <f>MIN(MAX(A92/12,'Plan-Annahmen'!$B$100),'Plan-Annahmen'!$B$101)*12*('Plan-Annahmen'!$B$97+'Plan-Annahmen'!$B$98+'Plan-Annahmen'!$B$99)</f>
        <v/>
      </c>
      <c r="C92" s="219">
        <f>MAX(0,A92-B92-'Plan-Annahmen'!$B$102)</f>
        <v/>
      </c>
      <c r="D92" s="185">
        <f>IF(INT(MAX(0,C92))&lt;=12348,0,IF(INT(MAX(0,C92))&lt;=17799,(914.51*((INT(MAX(0,C92))-12348)/10000)+1400)*((INT(MAX(0,C92))-12348)/10000),IF(INT(MAX(0,C92))&lt;=69878,(173.1*((INT(MAX(0,C92))-17799)/10000)+2397)*((INT(MAX(0,C92))-17799)/10000)+1034.87,IF(INT(MAX(0,C92))&lt;=277825,0.42*INT(MAX(0,C92))-11135.63,0.45*INT(MAX(0,C92))-19470.38))))</f>
        <v/>
      </c>
      <c r="E92" s="185">
        <f>A92-B92-D92</f>
        <v/>
      </c>
      <c r="F92" s="219">
        <f>MAX(0,A92-B92-'Plan-Annahmen'!$B$88*12-'Plan-Annahmen'!$B$102)</f>
        <v/>
      </c>
      <c r="G92" s="185">
        <f>IF(INT(MAX(0,F92))&lt;=12348,0,IF(INT(MAX(0,F92))&lt;=17799,(914.51*((INT(MAX(0,F92))-12348)/10000)+1400)*((INT(MAX(0,F92))-12348)/10000),IF(INT(MAX(0,F92))&lt;=69878,(173.1*((INT(MAX(0,F92))-17799)/10000)+2397)*((INT(MAX(0,F92))-17799)/10000)+1034.87,IF(INT(MAX(0,F92))&lt;=277825,0.42*INT(MAX(0,F92))-11135.63,0.45*INT(MAX(0,F92))-19470.38))))</f>
        <v/>
      </c>
      <c r="H92" s="185">
        <f>A92-B92-G92-'Plan-Annahmen'!$B$88*12</f>
        <v/>
      </c>
    </row>
    <row r="93" ht="15" customHeight="1" s="116">
      <c r="A93" s="221" t="n">
        <v>58000</v>
      </c>
      <c r="B93" s="219">
        <f>MIN(MAX(A93/12,'Plan-Annahmen'!$B$100),'Plan-Annahmen'!$B$101)*12*('Plan-Annahmen'!$B$97+'Plan-Annahmen'!$B$98+'Plan-Annahmen'!$B$99)</f>
        <v/>
      </c>
      <c r="C93" s="219">
        <f>MAX(0,A93-B93-'Plan-Annahmen'!$B$102)</f>
        <v/>
      </c>
      <c r="D93" s="185">
        <f>IF(INT(MAX(0,C93))&lt;=12348,0,IF(INT(MAX(0,C93))&lt;=17799,(914.51*((INT(MAX(0,C93))-12348)/10000)+1400)*((INT(MAX(0,C93))-12348)/10000),IF(INT(MAX(0,C93))&lt;=69878,(173.1*((INT(MAX(0,C93))-17799)/10000)+2397)*((INT(MAX(0,C93))-17799)/10000)+1034.87,IF(INT(MAX(0,C93))&lt;=277825,0.42*INT(MAX(0,C93))-11135.63,0.45*INT(MAX(0,C93))-19470.38))))</f>
        <v/>
      </c>
      <c r="E93" s="185">
        <f>A93-B93-D93</f>
        <v/>
      </c>
      <c r="F93" s="219">
        <f>MAX(0,A93-B93-'Plan-Annahmen'!$B$88*12-'Plan-Annahmen'!$B$102)</f>
        <v/>
      </c>
      <c r="G93" s="185">
        <f>IF(INT(MAX(0,F93))&lt;=12348,0,IF(INT(MAX(0,F93))&lt;=17799,(914.51*((INT(MAX(0,F93))-12348)/10000)+1400)*((INT(MAX(0,F93))-12348)/10000),IF(INT(MAX(0,F93))&lt;=69878,(173.1*((INT(MAX(0,F93))-17799)/10000)+2397)*((INT(MAX(0,F93))-17799)/10000)+1034.87,IF(INT(MAX(0,F93))&lt;=277825,0.42*INT(MAX(0,F93))-11135.63,0.45*INT(MAX(0,F93))-19470.38))))</f>
        <v/>
      </c>
      <c r="H93" s="185">
        <f>A93-B93-G93-'Plan-Annahmen'!$B$88*12</f>
        <v/>
      </c>
    </row>
    <row r="94" ht="15" customHeight="1" s="116">
      <c r="A94" s="221" t="n">
        <v>59000</v>
      </c>
      <c r="B94" s="219">
        <f>MIN(MAX(A94/12,'Plan-Annahmen'!$B$100),'Plan-Annahmen'!$B$101)*12*('Plan-Annahmen'!$B$97+'Plan-Annahmen'!$B$98+'Plan-Annahmen'!$B$99)</f>
        <v/>
      </c>
      <c r="C94" s="219">
        <f>MAX(0,A94-B94-'Plan-Annahmen'!$B$102)</f>
        <v/>
      </c>
      <c r="D94" s="185">
        <f>IF(INT(MAX(0,C94))&lt;=12348,0,IF(INT(MAX(0,C94))&lt;=17799,(914.51*((INT(MAX(0,C94))-12348)/10000)+1400)*((INT(MAX(0,C94))-12348)/10000),IF(INT(MAX(0,C94))&lt;=69878,(173.1*((INT(MAX(0,C94))-17799)/10000)+2397)*((INT(MAX(0,C94))-17799)/10000)+1034.87,IF(INT(MAX(0,C94))&lt;=277825,0.42*INT(MAX(0,C94))-11135.63,0.45*INT(MAX(0,C94))-19470.38))))</f>
        <v/>
      </c>
      <c r="E94" s="185">
        <f>A94-B94-D94</f>
        <v/>
      </c>
      <c r="F94" s="219">
        <f>MAX(0,A94-B94-'Plan-Annahmen'!$B$88*12-'Plan-Annahmen'!$B$102)</f>
        <v/>
      </c>
      <c r="G94" s="185">
        <f>IF(INT(MAX(0,F94))&lt;=12348,0,IF(INT(MAX(0,F94))&lt;=17799,(914.51*((INT(MAX(0,F94))-12348)/10000)+1400)*((INT(MAX(0,F94))-12348)/10000),IF(INT(MAX(0,F94))&lt;=69878,(173.1*((INT(MAX(0,F94))-17799)/10000)+2397)*((INT(MAX(0,F94))-17799)/10000)+1034.87,IF(INT(MAX(0,F94))&lt;=277825,0.42*INT(MAX(0,F94))-11135.63,0.45*INT(MAX(0,F94))-19470.38))))</f>
        <v/>
      </c>
      <c r="H94" s="185">
        <f>A94-B94-G94-'Plan-Annahmen'!$B$88*12</f>
        <v/>
      </c>
    </row>
    <row r="95" ht="15" customHeight="1" s="116">
      <c r="A95" s="221" t="n">
        <v>60000</v>
      </c>
      <c r="B95" s="219">
        <f>MIN(MAX(A95/12,'Plan-Annahmen'!$B$100),'Plan-Annahmen'!$B$101)*12*('Plan-Annahmen'!$B$97+'Plan-Annahmen'!$B$98+'Plan-Annahmen'!$B$99)</f>
        <v/>
      </c>
      <c r="C95" s="219">
        <f>MAX(0,A95-B95-'Plan-Annahmen'!$B$102)</f>
        <v/>
      </c>
      <c r="D95" s="185">
        <f>IF(INT(MAX(0,C95))&lt;=12348,0,IF(INT(MAX(0,C95))&lt;=17799,(914.51*((INT(MAX(0,C95))-12348)/10000)+1400)*((INT(MAX(0,C95))-12348)/10000),IF(INT(MAX(0,C95))&lt;=69878,(173.1*((INT(MAX(0,C95))-17799)/10000)+2397)*((INT(MAX(0,C95))-17799)/10000)+1034.87,IF(INT(MAX(0,C95))&lt;=277825,0.42*INT(MAX(0,C95))-11135.63,0.45*INT(MAX(0,C95))-19470.38))))</f>
        <v/>
      </c>
      <c r="E95" s="185">
        <f>A95-B95-D95</f>
        <v/>
      </c>
      <c r="F95" s="219">
        <f>MAX(0,A95-B95-'Plan-Annahmen'!$B$88*12-'Plan-Annahmen'!$B$102)</f>
        <v/>
      </c>
      <c r="G95" s="185">
        <f>IF(INT(MAX(0,F95))&lt;=12348,0,IF(INT(MAX(0,F95))&lt;=17799,(914.51*((INT(MAX(0,F95))-12348)/10000)+1400)*((INT(MAX(0,F95))-12348)/10000),IF(INT(MAX(0,F95))&lt;=69878,(173.1*((INT(MAX(0,F95))-17799)/10000)+2397)*((INT(MAX(0,F95))-17799)/10000)+1034.87,IF(INT(MAX(0,F95))&lt;=277825,0.42*INT(MAX(0,F95))-11135.63,0.45*INT(MAX(0,F95))-19470.38))))</f>
        <v/>
      </c>
      <c r="H95" s="185">
        <f>A95-B95-G95-'Plan-Annahmen'!$B$88*12</f>
        <v/>
      </c>
    </row>
    <row r="96" ht="15" customHeight="1" s="116">
      <c r="A96" s="221" t="n">
        <v>61000</v>
      </c>
      <c r="B96" s="219">
        <f>MIN(MAX(A96/12,'Plan-Annahmen'!$B$100),'Plan-Annahmen'!$B$101)*12*('Plan-Annahmen'!$B$97+'Plan-Annahmen'!$B$98+'Plan-Annahmen'!$B$99)</f>
        <v/>
      </c>
      <c r="C96" s="219">
        <f>MAX(0,A96-B96-'Plan-Annahmen'!$B$102)</f>
        <v/>
      </c>
      <c r="D96" s="185">
        <f>IF(INT(MAX(0,C96))&lt;=12348,0,IF(INT(MAX(0,C96))&lt;=17799,(914.51*((INT(MAX(0,C96))-12348)/10000)+1400)*((INT(MAX(0,C96))-12348)/10000),IF(INT(MAX(0,C96))&lt;=69878,(173.1*((INT(MAX(0,C96))-17799)/10000)+2397)*((INT(MAX(0,C96))-17799)/10000)+1034.87,IF(INT(MAX(0,C96))&lt;=277825,0.42*INT(MAX(0,C96))-11135.63,0.45*INT(MAX(0,C96))-19470.38))))</f>
        <v/>
      </c>
      <c r="E96" s="185">
        <f>A96-B96-D96</f>
        <v/>
      </c>
      <c r="F96" s="219">
        <f>MAX(0,A96-B96-'Plan-Annahmen'!$B$88*12-'Plan-Annahmen'!$B$102)</f>
        <v/>
      </c>
      <c r="G96" s="185">
        <f>IF(INT(MAX(0,F96))&lt;=12348,0,IF(INT(MAX(0,F96))&lt;=17799,(914.51*((INT(MAX(0,F96))-12348)/10000)+1400)*((INT(MAX(0,F96))-12348)/10000),IF(INT(MAX(0,F96))&lt;=69878,(173.1*((INT(MAX(0,F96))-17799)/10000)+2397)*((INT(MAX(0,F96))-17799)/10000)+1034.87,IF(INT(MAX(0,F96))&lt;=277825,0.42*INT(MAX(0,F96))-11135.63,0.45*INT(MAX(0,F96))-19470.38))))</f>
        <v/>
      </c>
      <c r="H96" s="185">
        <f>A96-B96-G96-'Plan-Annahmen'!$B$88*12</f>
        <v/>
      </c>
    </row>
    <row r="97" ht="15" customHeight="1" s="116">
      <c r="A97" s="221" t="n">
        <v>62000</v>
      </c>
      <c r="B97" s="219">
        <f>MIN(MAX(A97/12,'Plan-Annahmen'!$B$100),'Plan-Annahmen'!$B$101)*12*('Plan-Annahmen'!$B$97+'Plan-Annahmen'!$B$98+'Plan-Annahmen'!$B$99)</f>
        <v/>
      </c>
      <c r="C97" s="219">
        <f>MAX(0,A97-B97-'Plan-Annahmen'!$B$102)</f>
        <v/>
      </c>
      <c r="D97" s="185">
        <f>IF(INT(MAX(0,C97))&lt;=12348,0,IF(INT(MAX(0,C97))&lt;=17799,(914.51*((INT(MAX(0,C97))-12348)/10000)+1400)*((INT(MAX(0,C97))-12348)/10000),IF(INT(MAX(0,C97))&lt;=69878,(173.1*((INT(MAX(0,C97))-17799)/10000)+2397)*((INT(MAX(0,C97))-17799)/10000)+1034.87,IF(INT(MAX(0,C97))&lt;=277825,0.42*INT(MAX(0,C97))-11135.63,0.45*INT(MAX(0,C97))-19470.38))))</f>
        <v/>
      </c>
      <c r="E97" s="185">
        <f>A97-B97-D97</f>
        <v/>
      </c>
      <c r="F97" s="219">
        <f>MAX(0,A97-B97-'Plan-Annahmen'!$B$88*12-'Plan-Annahmen'!$B$102)</f>
        <v/>
      </c>
      <c r="G97" s="185">
        <f>IF(INT(MAX(0,F97))&lt;=12348,0,IF(INT(MAX(0,F97))&lt;=17799,(914.51*((INT(MAX(0,F97))-12348)/10000)+1400)*((INT(MAX(0,F97))-12348)/10000),IF(INT(MAX(0,F97))&lt;=69878,(173.1*((INT(MAX(0,F97))-17799)/10000)+2397)*((INT(MAX(0,F97))-17799)/10000)+1034.87,IF(INT(MAX(0,F97))&lt;=277825,0.42*INT(MAX(0,F97))-11135.63,0.45*INT(MAX(0,F97))-19470.38))))</f>
        <v/>
      </c>
      <c r="H97" s="185">
        <f>A97-B97-G97-'Plan-Annahmen'!$B$88*12</f>
        <v/>
      </c>
    </row>
    <row r="98" ht="15" customHeight="1" s="116">
      <c r="A98" s="221" t="n">
        <v>63000</v>
      </c>
      <c r="B98" s="219">
        <f>MIN(MAX(A98/12,'Plan-Annahmen'!$B$100),'Plan-Annahmen'!$B$101)*12*('Plan-Annahmen'!$B$97+'Plan-Annahmen'!$B$98+'Plan-Annahmen'!$B$99)</f>
        <v/>
      </c>
      <c r="C98" s="219">
        <f>MAX(0,A98-B98-'Plan-Annahmen'!$B$102)</f>
        <v/>
      </c>
      <c r="D98" s="185">
        <f>IF(INT(MAX(0,C98))&lt;=12348,0,IF(INT(MAX(0,C98))&lt;=17799,(914.51*((INT(MAX(0,C98))-12348)/10000)+1400)*((INT(MAX(0,C98))-12348)/10000),IF(INT(MAX(0,C98))&lt;=69878,(173.1*((INT(MAX(0,C98))-17799)/10000)+2397)*((INT(MAX(0,C98))-17799)/10000)+1034.87,IF(INT(MAX(0,C98))&lt;=277825,0.42*INT(MAX(0,C98))-11135.63,0.45*INT(MAX(0,C98))-19470.38))))</f>
        <v/>
      </c>
      <c r="E98" s="185">
        <f>A98-B98-D98</f>
        <v/>
      </c>
      <c r="F98" s="219">
        <f>MAX(0,A98-B98-'Plan-Annahmen'!$B$88*12-'Plan-Annahmen'!$B$102)</f>
        <v/>
      </c>
      <c r="G98" s="185">
        <f>IF(INT(MAX(0,F98))&lt;=12348,0,IF(INT(MAX(0,F98))&lt;=17799,(914.51*((INT(MAX(0,F98))-12348)/10000)+1400)*((INT(MAX(0,F98))-12348)/10000),IF(INT(MAX(0,F98))&lt;=69878,(173.1*((INT(MAX(0,F98))-17799)/10000)+2397)*((INT(MAX(0,F98))-17799)/10000)+1034.87,IF(INT(MAX(0,F98))&lt;=277825,0.42*INT(MAX(0,F98))-11135.63,0.45*INT(MAX(0,F98))-19470.38))))</f>
        <v/>
      </c>
      <c r="H98" s="185">
        <f>A98-B98-G98-'Plan-Annahmen'!$B$88*12</f>
        <v/>
      </c>
    </row>
    <row r="99" ht="15" customHeight="1" s="116">
      <c r="A99" s="221" t="n">
        <v>64000</v>
      </c>
      <c r="B99" s="219">
        <f>MIN(MAX(A99/12,'Plan-Annahmen'!$B$100),'Plan-Annahmen'!$B$101)*12*('Plan-Annahmen'!$B$97+'Plan-Annahmen'!$B$98+'Plan-Annahmen'!$B$99)</f>
        <v/>
      </c>
      <c r="C99" s="219">
        <f>MAX(0,A99-B99-'Plan-Annahmen'!$B$102)</f>
        <v/>
      </c>
      <c r="D99" s="185">
        <f>IF(INT(MAX(0,C99))&lt;=12348,0,IF(INT(MAX(0,C99))&lt;=17799,(914.51*((INT(MAX(0,C99))-12348)/10000)+1400)*((INT(MAX(0,C99))-12348)/10000),IF(INT(MAX(0,C99))&lt;=69878,(173.1*((INT(MAX(0,C99))-17799)/10000)+2397)*((INT(MAX(0,C99))-17799)/10000)+1034.87,IF(INT(MAX(0,C99))&lt;=277825,0.42*INT(MAX(0,C99))-11135.63,0.45*INT(MAX(0,C99))-19470.38))))</f>
        <v/>
      </c>
      <c r="E99" s="185">
        <f>A99-B99-D99</f>
        <v/>
      </c>
      <c r="F99" s="219">
        <f>MAX(0,A99-B99-'Plan-Annahmen'!$B$88*12-'Plan-Annahmen'!$B$102)</f>
        <v/>
      </c>
      <c r="G99" s="185">
        <f>IF(INT(MAX(0,F99))&lt;=12348,0,IF(INT(MAX(0,F99))&lt;=17799,(914.51*((INT(MAX(0,F99))-12348)/10000)+1400)*((INT(MAX(0,F99))-12348)/10000),IF(INT(MAX(0,F99))&lt;=69878,(173.1*((INT(MAX(0,F99))-17799)/10000)+2397)*((INT(MAX(0,F99))-17799)/10000)+1034.87,IF(INT(MAX(0,F99))&lt;=277825,0.42*INT(MAX(0,F99))-11135.63,0.45*INT(MAX(0,F99))-19470.38))))</f>
        <v/>
      </c>
      <c r="H99" s="185">
        <f>A99-B99-G99-'Plan-Annahmen'!$B$88*12</f>
        <v/>
      </c>
    </row>
    <row r="100" ht="15" customHeight="1" s="116">
      <c r="A100" s="221" t="n">
        <v>65000</v>
      </c>
      <c r="B100" s="219">
        <f>MIN(MAX(A100/12,'Plan-Annahmen'!$B$100),'Plan-Annahmen'!$B$101)*12*('Plan-Annahmen'!$B$97+'Plan-Annahmen'!$B$98+'Plan-Annahmen'!$B$99)</f>
        <v/>
      </c>
      <c r="C100" s="219">
        <f>MAX(0,A100-B100-'Plan-Annahmen'!$B$102)</f>
        <v/>
      </c>
      <c r="D100" s="185">
        <f>IF(INT(MAX(0,C100))&lt;=12348,0,IF(INT(MAX(0,C100))&lt;=17799,(914.51*((INT(MAX(0,C100))-12348)/10000)+1400)*((INT(MAX(0,C100))-12348)/10000),IF(INT(MAX(0,C100))&lt;=69878,(173.1*((INT(MAX(0,C100))-17799)/10000)+2397)*((INT(MAX(0,C100))-17799)/10000)+1034.87,IF(INT(MAX(0,C100))&lt;=277825,0.42*INT(MAX(0,C100))-11135.63,0.45*INT(MAX(0,C100))-19470.38))))</f>
        <v/>
      </c>
      <c r="E100" s="185">
        <f>A100-B100-D100</f>
        <v/>
      </c>
      <c r="F100" s="219">
        <f>MAX(0,A100-B100-'Plan-Annahmen'!$B$88*12-'Plan-Annahmen'!$B$102)</f>
        <v/>
      </c>
      <c r="G100" s="185">
        <f>IF(INT(MAX(0,F100))&lt;=12348,0,IF(INT(MAX(0,F100))&lt;=17799,(914.51*((INT(MAX(0,F100))-12348)/10000)+1400)*((INT(MAX(0,F100))-12348)/10000),IF(INT(MAX(0,F100))&lt;=69878,(173.1*((INT(MAX(0,F100))-17799)/10000)+2397)*((INT(MAX(0,F100))-17799)/10000)+1034.87,IF(INT(MAX(0,F100))&lt;=277825,0.42*INT(MAX(0,F100))-11135.63,0.45*INT(MAX(0,F100))-19470.38))))</f>
        <v/>
      </c>
      <c r="H100" s="185">
        <f>A100-B100-G100-'Plan-Annahmen'!$B$88*12</f>
        <v/>
      </c>
    </row>
    <row r="101" ht="15" customHeight="1" s="116">
      <c r="A101" s="221" t="n">
        <v>66000</v>
      </c>
      <c r="B101" s="219">
        <f>MIN(MAX(A101/12,'Plan-Annahmen'!$B$100),'Plan-Annahmen'!$B$101)*12*('Plan-Annahmen'!$B$97+'Plan-Annahmen'!$B$98+'Plan-Annahmen'!$B$99)</f>
        <v/>
      </c>
      <c r="C101" s="219">
        <f>MAX(0,A101-B101-'Plan-Annahmen'!$B$102)</f>
        <v/>
      </c>
      <c r="D101" s="185">
        <f>IF(INT(MAX(0,C101))&lt;=12348,0,IF(INT(MAX(0,C101))&lt;=17799,(914.51*((INT(MAX(0,C101))-12348)/10000)+1400)*((INT(MAX(0,C101))-12348)/10000),IF(INT(MAX(0,C101))&lt;=69878,(173.1*((INT(MAX(0,C101))-17799)/10000)+2397)*((INT(MAX(0,C101))-17799)/10000)+1034.87,IF(INT(MAX(0,C101))&lt;=277825,0.42*INT(MAX(0,C101))-11135.63,0.45*INT(MAX(0,C101))-19470.38))))</f>
        <v/>
      </c>
      <c r="E101" s="185">
        <f>A101-B101-D101</f>
        <v/>
      </c>
      <c r="F101" s="219">
        <f>MAX(0,A101-B101-'Plan-Annahmen'!$B$88*12-'Plan-Annahmen'!$B$102)</f>
        <v/>
      </c>
      <c r="G101" s="185">
        <f>IF(INT(MAX(0,F101))&lt;=12348,0,IF(INT(MAX(0,F101))&lt;=17799,(914.51*((INT(MAX(0,F101))-12348)/10000)+1400)*((INT(MAX(0,F101))-12348)/10000),IF(INT(MAX(0,F101))&lt;=69878,(173.1*((INT(MAX(0,F101))-17799)/10000)+2397)*((INT(MAX(0,F101))-17799)/10000)+1034.87,IF(INT(MAX(0,F101))&lt;=277825,0.42*INT(MAX(0,F101))-11135.63,0.45*INT(MAX(0,F101))-19470.38))))</f>
        <v/>
      </c>
      <c r="H101" s="185">
        <f>A101-B101-G101-'Plan-Annahmen'!$B$88*12</f>
        <v/>
      </c>
    </row>
    <row r="102" ht="15" customHeight="1" s="116">
      <c r="A102" s="221" t="n">
        <v>67000</v>
      </c>
      <c r="B102" s="219">
        <f>MIN(MAX(A102/12,'Plan-Annahmen'!$B$100),'Plan-Annahmen'!$B$101)*12*('Plan-Annahmen'!$B$97+'Plan-Annahmen'!$B$98+'Plan-Annahmen'!$B$99)</f>
        <v/>
      </c>
      <c r="C102" s="219">
        <f>MAX(0,A102-B102-'Plan-Annahmen'!$B$102)</f>
        <v/>
      </c>
      <c r="D102" s="185">
        <f>IF(INT(MAX(0,C102))&lt;=12348,0,IF(INT(MAX(0,C102))&lt;=17799,(914.51*((INT(MAX(0,C102))-12348)/10000)+1400)*((INT(MAX(0,C102))-12348)/10000),IF(INT(MAX(0,C102))&lt;=69878,(173.1*((INT(MAX(0,C102))-17799)/10000)+2397)*((INT(MAX(0,C102))-17799)/10000)+1034.87,IF(INT(MAX(0,C102))&lt;=277825,0.42*INT(MAX(0,C102))-11135.63,0.45*INT(MAX(0,C102))-19470.38))))</f>
        <v/>
      </c>
      <c r="E102" s="185">
        <f>A102-B102-D102</f>
        <v/>
      </c>
      <c r="F102" s="219">
        <f>MAX(0,A102-B102-'Plan-Annahmen'!$B$88*12-'Plan-Annahmen'!$B$102)</f>
        <v/>
      </c>
      <c r="G102" s="185">
        <f>IF(INT(MAX(0,F102))&lt;=12348,0,IF(INT(MAX(0,F102))&lt;=17799,(914.51*((INT(MAX(0,F102))-12348)/10000)+1400)*((INT(MAX(0,F102))-12348)/10000),IF(INT(MAX(0,F102))&lt;=69878,(173.1*((INT(MAX(0,F102))-17799)/10000)+2397)*((INT(MAX(0,F102))-17799)/10000)+1034.87,IF(INT(MAX(0,F102))&lt;=277825,0.42*INT(MAX(0,F102))-11135.63,0.45*INT(MAX(0,F102))-19470.38))))</f>
        <v/>
      </c>
      <c r="H102" s="185">
        <f>A102-B102-G102-'Plan-Annahmen'!$B$88*12</f>
        <v/>
      </c>
    </row>
    <row r="103" ht="15" customHeight="1" s="116">
      <c r="A103" s="221" t="n">
        <v>68000</v>
      </c>
      <c r="B103" s="219">
        <f>MIN(MAX(A103/12,'Plan-Annahmen'!$B$100),'Plan-Annahmen'!$B$101)*12*('Plan-Annahmen'!$B$97+'Plan-Annahmen'!$B$98+'Plan-Annahmen'!$B$99)</f>
        <v/>
      </c>
      <c r="C103" s="219">
        <f>MAX(0,A103-B103-'Plan-Annahmen'!$B$102)</f>
        <v/>
      </c>
      <c r="D103" s="185">
        <f>IF(INT(MAX(0,C103))&lt;=12348,0,IF(INT(MAX(0,C103))&lt;=17799,(914.51*((INT(MAX(0,C103))-12348)/10000)+1400)*((INT(MAX(0,C103))-12348)/10000),IF(INT(MAX(0,C103))&lt;=69878,(173.1*((INT(MAX(0,C103))-17799)/10000)+2397)*((INT(MAX(0,C103))-17799)/10000)+1034.87,IF(INT(MAX(0,C103))&lt;=277825,0.42*INT(MAX(0,C103))-11135.63,0.45*INT(MAX(0,C103))-19470.38))))</f>
        <v/>
      </c>
      <c r="E103" s="185">
        <f>A103-B103-D103</f>
        <v/>
      </c>
      <c r="F103" s="219">
        <f>MAX(0,A103-B103-'Plan-Annahmen'!$B$88*12-'Plan-Annahmen'!$B$102)</f>
        <v/>
      </c>
      <c r="G103" s="185">
        <f>IF(INT(MAX(0,F103))&lt;=12348,0,IF(INT(MAX(0,F103))&lt;=17799,(914.51*((INT(MAX(0,F103))-12348)/10000)+1400)*((INT(MAX(0,F103))-12348)/10000),IF(INT(MAX(0,F103))&lt;=69878,(173.1*((INT(MAX(0,F103))-17799)/10000)+2397)*((INT(MAX(0,F103))-17799)/10000)+1034.87,IF(INT(MAX(0,F103))&lt;=277825,0.42*INT(MAX(0,F103))-11135.63,0.45*INT(MAX(0,F103))-19470.38))))</f>
        <v/>
      </c>
      <c r="H103" s="185">
        <f>A103-B103-G103-'Plan-Annahmen'!$B$88*12</f>
        <v/>
      </c>
    </row>
    <row r="104" ht="15" customHeight="1" s="116">
      <c r="A104" s="221" t="n">
        <v>69000</v>
      </c>
      <c r="B104" s="219">
        <f>MIN(MAX(A104/12,'Plan-Annahmen'!$B$100),'Plan-Annahmen'!$B$101)*12*('Plan-Annahmen'!$B$97+'Plan-Annahmen'!$B$98+'Plan-Annahmen'!$B$99)</f>
        <v/>
      </c>
      <c r="C104" s="219">
        <f>MAX(0,A104-B104-'Plan-Annahmen'!$B$102)</f>
        <v/>
      </c>
      <c r="D104" s="185">
        <f>IF(INT(MAX(0,C104))&lt;=12348,0,IF(INT(MAX(0,C104))&lt;=17799,(914.51*((INT(MAX(0,C104))-12348)/10000)+1400)*((INT(MAX(0,C104))-12348)/10000),IF(INT(MAX(0,C104))&lt;=69878,(173.1*((INT(MAX(0,C104))-17799)/10000)+2397)*((INT(MAX(0,C104))-17799)/10000)+1034.87,IF(INT(MAX(0,C104))&lt;=277825,0.42*INT(MAX(0,C104))-11135.63,0.45*INT(MAX(0,C104))-19470.38))))</f>
        <v/>
      </c>
      <c r="E104" s="185">
        <f>A104-B104-D104</f>
        <v/>
      </c>
      <c r="F104" s="219">
        <f>MAX(0,A104-B104-'Plan-Annahmen'!$B$88*12-'Plan-Annahmen'!$B$102)</f>
        <v/>
      </c>
      <c r="G104" s="185">
        <f>IF(INT(MAX(0,F104))&lt;=12348,0,IF(INT(MAX(0,F104))&lt;=17799,(914.51*((INT(MAX(0,F104))-12348)/10000)+1400)*((INT(MAX(0,F104))-12348)/10000),IF(INT(MAX(0,F104))&lt;=69878,(173.1*((INT(MAX(0,F104))-17799)/10000)+2397)*((INT(MAX(0,F104))-17799)/10000)+1034.87,IF(INT(MAX(0,F104))&lt;=277825,0.42*INT(MAX(0,F104))-11135.63,0.45*INT(MAX(0,F104))-19470.38))))</f>
        <v/>
      </c>
      <c r="H104" s="185">
        <f>A104-B104-G104-'Plan-Annahmen'!$B$88*12</f>
        <v/>
      </c>
    </row>
    <row r="105" ht="15" customHeight="1" s="116">
      <c r="A105" s="221" t="n">
        <v>70000</v>
      </c>
      <c r="B105" s="219">
        <f>MIN(MAX(A105/12,'Plan-Annahmen'!$B$100),'Plan-Annahmen'!$B$101)*12*('Plan-Annahmen'!$B$97+'Plan-Annahmen'!$B$98+'Plan-Annahmen'!$B$99)</f>
        <v/>
      </c>
      <c r="C105" s="219">
        <f>MAX(0,A105-B105-'Plan-Annahmen'!$B$102)</f>
        <v/>
      </c>
      <c r="D105" s="185">
        <f>IF(INT(MAX(0,C105))&lt;=12348,0,IF(INT(MAX(0,C105))&lt;=17799,(914.51*((INT(MAX(0,C105))-12348)/10000)+1400)*((INT(MAX(0,C105))-12348)/10000),IF(INT(MAX(0,C105))&lt;=69878,(173.1*((INT(MAX(0,C105))-17799)/10000)+2397)*((INT(MAX(0,C105))-17799)/10000)+1034.87,IF(INT(MAX(0,C105))&lt;=277825,0.42*INT(MAX(0,C105))-11135.63,0.45*INT(MAX(0,C105))-19470.38))))</f>
        <v/>
      </c>
      <c r="E105" s="185">
        <f>A105-B105-D105</f>
        <v/>
      </c>
      <c r="F105" s="219">
        <f>MAX(0,A105-B105-'Plan-Annahmen'!$B$88*12-'Plan-Annahmen'!$B$102)</f>
        <v/>
      </c>
      <c r="G105" s="185">
        <f>IF(INT(MAX(0,F105))&lt;=12348,0,IF(INT(MAX(0,F105))&lt;=17799,(914.51*((INT(MAX(0,F105))-12348)/10000)+1400)*((INT(MAX(0,F105))-12348)/10000),IF(INT(MAX(0,F105))&lt;=69878,(173.1*((INT(MAX(0,F105))-17799)/10000)+2397)*((INT(MAX(0,F105))-17799)/10000)+1034.87,IF(INT(MAX(0,F105))&lt;=277825,0.42*INT(MAX(0,F105))-11135.63,0.45*INT(MAX(0,F105))-19470.38))))</f>
        <v/>
      </c>
      <c r="H105" s="185">
        <f>A105-B105-G105-'Plan-Annahmen'!$B$88*12</f>
        <v/>
      </c>
    </row>
    <row r="106" ht="15" customHeight="1" s="116">
      <c r="A106" s="221" t="n">
        <v>71000</v>
      </c>
      <c r="B106" s="219">
        <f>MIN(MAX(A106/12,'Plan-Annahmen'!$B$100),'Plan-Annahmen'!$B$101)*12*('Plan-Annahmen'!$B$97+'Plan-Annahmen'!$B$98+'Plan-Annahmen'!$B$99)</f>
        <v/>
      </c>
      <c r="C106" s="219">
        <f>MAX(0,A106-B106-'Plan-Annahmen'!$B$102)</f>
        <v/>
      </c>
      <c r="D106" s="185">
        <f>IF(INT(MAX(0,C106))&lt;=12348,0,IF(INT(MAX(0,C106))&lt;=17799,(914.51*((INT(MAX(0,C106))-12348)/10000)+1400)*((INT(MAX(0,C106))-12348)/10000),IF(INT(MAX(0,C106))&lt;=69878,(173.1*((INT(MAX(0,C106))-17799)/10000)+2397)*((INT(MAX(0,C106))-17799)/10000)+1034.87,IF(INT(MAX(0,C106))&lt;=277825,0.42*INT(MAX(0,C106))-11135.63,0.45*INT(MAX(0,C106))-19470.38))))</f>
        <v/>
      </c>
      <c r="E106" s="185">
        <f>A106-B106-D106</f>
        <v/>
      </c>
      <c r="F106" s="219">
        <f>MAX(0,A106-B106-'Plan-Annahmen'!$B$88*12-'Plan-Annahmen'!$B$102)</f>
        <v/>
      </c>
      <c r="G106" s="185">
        <f>IF(INT(MAX(0,F106))&lt;=12348,0,IF(INT(MAX(0,F106))&lt;=17799,(914.51*((INT(MAX(0,F106))-12348)/10000)+1400)*((INT(MAX(0,F106))-12348)/10000),IF(INT(MAX(0,F106))&lt;=69878,(173.1*((INT(MAX(0,F106))-17799)/10000)+2397)*((INT(MAX(0,F106))-17799)/10000)+1034.87,IF(INT(MAX(0,F106))&lt;=277825,0.42*INT(MAX(0,F106))-11135.63,0.45*INT(MAX(0,F106))-19470.38))))</f>
        <v/>
      </c>
      <c r="H106" s="185">
        <f>A106-B106-G106-'Plan-Annahmen'!$B$88*12</f>
        <v/>
      </c>
    </row>
    <row r="107" ht="15" customHeight="1" s="116">
      <c r="A107" s="221" t="n">
        <v>72000</v>
      </c>
      <c r="B107" s="219">
        <f>MIN(MAX(A107/12,'Plan-Annahmen'!$B$100),'Plan-Annahmen'!$B$101)*12*('Plan-Annahmen'!$B$97+'Plan-Annahmen'!$B$98+'Plan-Annahmen'!$B$99)</f>
        <v/>
      </c>
      <c r="C107" s="219">
        <f>MAX(0,A107-B107-'Plan-Annahmen'!$B$102)</f>
        <v/>
      </c>
      <c r="D107" s="185">
        <f>IF(INT(MAX(0,C107))&lt;=12348,0,IF(INT(MAX(0,C107))&lt;=17799,(914.51*((INT(MAX(0,C107))-12348)/10000)+1400)*((INT(MAX(0,C107))-12348)/10000),IF(INT(MAX(0,C107))&lt;=69878,(173.1*((INT(MAX(0,C107))-17799)/10000)+2397)*((INT(MAX(0,C107))-17799)/10000)+1034.87,IF(INT(MAX(0,C107))&lt;=277825,0.42*INT(MAX(0,C107))-11135.63,0.45*INT(MAX(0,C107))-19470.38))))</f>
        <v/>
      </c>
      <c r="E107" s="185">
        <f>A107-B107-D107</f>
        <v/>
      </c>
      <c r="F107" s="219">
        <f>MAX(0,A107-B107-'Plan-Annahmen'!$B$88*12-'Plan-Annahmen'!$B$102)</f>
        <v/>
      </c>
      <c r="G107" s="185">
        <f>IF(INT(MAX(0,F107))&lt;=12348,0,IF(INT(MAX(0,F107))&lt;=17799,(914.51*((INT(MAX(0,F107))-12348)/10000)+1400)*((INT(MAX(0,F107))-12348)/10000),IF(INT(MAX(0,F107))&lt;=69878,(173.1*((INT(MAX(0,F107))-17799)/10000)+2397)*((INT(MAX(0,F107))-17799)/10000)+1034.87,IF(INT(MAX(0,F107))&lt;=277825,0.42*INT(MAX(0,F107))-11135.63,0.45*INT(MAX(0,F107))-19470.38))))</f>
        <v/>
      </c>
      <c r="H107" s="185">
        <f>A107-B107-G107-'Plan-Annahmen'!$B$88*12</f>
        <v/>
      </c>
    </row>
    <row r="108" ht="15" customHeight="1" s="116">
      <c r="A108" s="221" t="n">
        <v>73000</v>
      </c>
      <c r="B108" s="219">
        <f>MIN(MAX(A108/12,'Plan-Annahmen'!$B$100),'Plan-Annahmen'!$B$101)*12*('Plan-Annahmen'!$B$97+'Plan-Annahmen'!$B$98+'Plan-Annahmen'!$B$99)</f>
        <v/>
      </c>
      <c r="C108" s="219">
        <f>MAX(0,A108-B108-'Plan-Annahmen'!$B$102)</f>
        <v/>
      </c>
      <c r="D108" s="185">
        <f>IF(INT(MAX(0,C108))&lt;=12348,0,IF(INT(MAX(0,C108))&lt;=17799,(914.51*((INT(MAX(0,C108))-12348)/10000)+1400)*((INT(MAX(0,C108))-12348)/10000),IF(INT(MAX(0,C108))&lt;=69878,(173.1*((INT(MAX(0,C108))-17799)/10000)+2397)*((INT(MAX(0,C108))-17799)/10000)+1034.87,IF(INT(MAX(0,C108))&lt;=277825,0.42*INT(MAX(0,C108))-11135.63,0.45*INT(MAX(0,C108))-19470.38))))</f>
        <v/>
      </c>
      <c r="E108" s="185">
        <f>A108-B108-D108</f>
        <v/>
      </c>
      <c r="F108" s="219">
        <f>MAX(0,A108-B108-'Plan-Annahmen'!$B$88*12-'Plan-Annahmen'!$B$102)</f>
        <v/>
      </c>
      <c r="G108" s="185">
        <f>IF(INT(MAX(0,F108))&lt;=12348,0,IF(INT(MAX(0,F108))&lt;=17799,(914.51*((INT(MAX(0,F108))-12348)/10000)+1400)*((INT(MAX(0,F108))-12348)/10000),IF(INT(MAX(0,F108))&lt;=69878,(173.1*((INT(MAX(0,F108))-17799)/10000)+2397)*((INT(MAX(0,F108))-17799)/10000)+1034.87,IF(INT(MAX(0,F108))&lt;=277825,0.42*INT(MAX(0,F108))-11135.63,0.45*INT(MAX(0,F108))-19470.38))))</f>
        <v/>
      </c>
      <c r="H108" s="185">
        <f>A108-B108-G108-'Plan-Annahmen'!$B$88*12</f>
        <v/>
      </c>
    </row>
    <row r="109" ht="15" customHeight="1" s="116">
      <c r="A109" s="221" t="n">
        <v>74000</v>
      </c>
      <c r="B109" s="219">
        <f>MIN(MAX(A109/12,'Plan-Annahmen'!$B$100),'Plan-Annahmen'!$B$101)*12*('Plan-Annahmen'!$B$97+'Plan-Annahmen'!$B$98+'Plan-Annahmen'!$B$99)</f>
        <v/>
      </c>
      <c r="C109" s="219">
        <f>MAX(0,A109-B109-'Plan-Annahmen'!$B$102)</f>
        <v/>
      </c>
      <c r="D109" s="185">
        <f>IF(INT(MAX(0,C109))&lt;=12348,0,IF(INT(MAX(0,C109))&lt;=17799,(914.51*((INT(MAX(0,C109))-12348)/10000)+1400)*((INT(MAX(0,C109))-12348)/10000),IF(INT(MAX(0,C109))&lt;=69878,(173.1*((INT(MAX(0,C109))-17799)/10000)+2397)*((INT(MAX(0,C109))-17799)/10000)+1034.87,IF(INT(MAX(0,C109))&lt;=277825,0.42*INT(MAX(0,C109))-11135.63,0.45*INT(MAX(0,C109))-19470.38))))</f>
        <v/>
      </c>
      <c r="E109" s="185">
        <f>A109-B109-D109</f>
        <v/>
      </c>
      <c r="F109" s="219">
        <f>MAX(0,A109-B109-'Plan-Annahmen'!$B$88*12-'Plan-Annahmen'!$B$102)</f>
        <v/>
      </c>
      <c r="G109" s="185">
        <f>IF(INT(MAX(0,F109))&lt;=12348,0,IF(INT(MAX(0,F109))&lt;=17799,(914.51*((INT(MAX(0,F109))-12348)/10000)+1400)*((INT(MAX(0,F109))-12348)/10000),IF(INT(MAX(0,F109))&lt;=69878,(173.1*((INT(MAX(0,F109))-17799)/10000)+2397)*((INT(MAX(0,F109))-17799)/10000)+1034.87,IF(INT(MAX(0,F109))&lt;=277825,0.42*INT(MAX(0,F109))-11135.63,0.45*INT(MAX(0,F109))-19470.38))))</f>
        <v/>
      </c>
      <c r="H109" s="185">
        <f>A109-B109-G109-'Plan-Annahmen'!$B$88*12</f>
        <v/>
      </c>
    </row>
    <row r="110" ht="15" customHeight="1" s="116">
      <c r="A110" s="221" t="n">
        <v>75000</v>
      </c>
      <c r="B110" s="219">
        <f>MIN(MAX(A110/12,'Plan-Annahmen'!$B$100),'Plan-Annahmen'!$B$101)*12*('Plan-Annahmen'!$B$97+'Plan-Annahmen'!$B$98+'Plan-Annahmen'!$B$99)</f>
        <v/>
      </c>
      <c r="C110" s="219">
        <f>MAX(0,A110-B110-'Plan-Annahmen'!$B$102)</f>
        <v/>
      </c>
      <c r="D110" s="185">
        <f>IF(INT(MAX(0,C110))&lt;=12348,0,IF(INT(MAX(0,C110))&lt;=17799,(914.51*((INT(MAX(0,C110))-12348)/10000)+1400)*((INT(MAX(0,C110))-12348)/10000),IF(INT(MAX(0,C110))&lt;=69878,(173.1*((INT(MAX(0,C110))-17799)/10000)+2397)*((INT(MAX(0,C110))-17799)/10000)+1034.87,IF(INT(MAX(0,C110))&lt;=277825,0.42*INT(MAX(0,C110))-11135.63,0.45*INT(MAX(0,C110))-19470.38))))</f>
        <v/>
      </c>
      <c r="E110" s="185">
        <f>A110-B110-D110</f>
        <v/>
      </c>
      <c r="F110" s="219">
        <f>MAX(0,A110-B110-'Plan-Annahmen'!$B$88*12-'Plan-Annahmen'!$B$102)</f>
        <v/>
      </c>
      <c r="G110" s="185">
        <f>IF(INT(MAX(0,F110))&lt;=12348,0,IF(INT(MAX(0,F110))&lt;=17799,(914.51*((INT(MAX(0,F110))-12348)/10000)+1400)*((INT(MAX(0,F110))-12348)/10000),IF(INT(MAX(0,F110))&lt;=69878,(173.1*((INT(MAX(0,F110))-17799)/10000)+2397)*((INT(MAX(0,F110))-17799)/10000)+1034.87,IF(INT(MAX(0,F110))&lt;=277825,0.42*INT(MAX(0,F110))-11135.63,0.45*INT(MAX(0,F110))-19470.38))))</f>
        <v/>
      </c>
      <c r="H110" s="185">
        <f>A110-B110-G110-'Plan-Annahmen'!$B$88*12</f>
        <v/>
      </c>
    </row>
    <row r="111" ht="15" customHeight="1" s="116">
      <c r="A111" s="221" t="n">
        <v>76000</v>
      </c>
      <c r="B111" s="219">
        <f>MIN(MAX(A111/12,'Plan-Annahmen'!$B$100),'Plan-Annahmen'!$B$101)*12*('Plan-Annahmen'!$B$97+'Plan-Annahmen'!$B$98+'Plan-Annahmen'!$B$99)</f>
        <v/>
      </c>
      <c r="C111" s="219">
        <f>MAX(0,A111-B111-'Plan-Annahmen'!$B$102)</f>
        <v/>
      </c>
      <c r="D111" s="185">
        <f>IF(INT(MAX(0,C111))&lt;=12348,0,IF(INT(MAX(0,C111))&lt;=17799,(914.51*((INT(MAX(0,C111))-12348)/10000)+1400)*((INT(MAX(0,C111))-12348)/10000),IF(INT(MAX(0,C111))&lt;=69878,(173.1*((INT(MAX(0,C111))-17799)/10000)+2397)*((INT(MAX(0,C111))-17799)/10000)+1034.87,IF(INT(MAX(0,C111))&lt;=277825,0.42*INT(MAX(0,C111))-11135.63,0.45*INT(MAX(0,C111))-19470.38))))</f>
        <v/>
      </c>
      <c r="E111" s="185">
        <f>A111-B111-D111</f>
        <v/>
      </c>
      <c r="F111" s="219">
        <f>MAX(0,A111-B111-'Plan-Annahmen'!$B$88*12-'Plan-Annahmen'!$B$102)</f>
        <v/>
      </c>
      <c r="G111" s="185">
        <f>IF(INT(MAX(0,F111))&lt;=12348,0,IF(INT(MAX(0,F111))&lt;=17799,(914.51*((INT(MAX(0,F111))-12348)/10000)+1400)*((INT(MAX(0,F111))-12348)/10000),IF(INT(MAX(0,F111))&lt;=69878,(173.1*((INT(MAX(0,F111))-17799)/10000)+2397)*((INT(MAX(0,F111))-17799)/10000)+1034.87,IF(INT(MAX(0,F111))&lt;=277825,0.42*INT(MAX(0,F111))-11135.63,0.45*INT(MAX(0,F111))-19470.38))))</f>
        <v/>
      </c>
      <c r="H111" s="185">
        <f>A111-B111-G111-'Plan-Annahmen'!$B$88*12</f>
        <v/>
      </c>
    </row>
    <row r="112" ht="15" customHeight="1" s="116">
      <c r="A112" s="221" t="n">
        <v>77000</v>
      </c>
      <c r="B112" s="219">
        <f>MIN(MAX(A112/12,'Plan-Annahmen'!$B$100),'Plan-Annahmen'!$B$101)*12*('Plan-Annahmen'!$B$97+'Plan-Annahmen'!$B$98+'Plan-Annahmen'!$B$99)</f>
        <v/>
      </c>
      <c r="C112" s="219">
        <f>MAX(0,A112-B112-'Plan-Annahmen'!$B$102)</f>
        <v/>
      </c>
      <c r="D112" s="185">
        <f>IF(INT(MAX(0,C112))&lt;=12348,0,IF(INT(MAX(0,C112))&lt;=17799,(914.51*((INT(MAX(0,C112))-12348)/10000)+1400)*((INT(MAX(0,C112))-12348)/10000),IF(INT(MAX(0,C112))&lt;=69878,(173.1*((INT(MAX(0,C112))-17799)/10000)+2397)*((INT(MAX(0,C112))-17799)/10000)+1034.87,IF(INT(MAX(0,C112))&lt;=277825,0.42*INT(MAX(0,C112))-11135.63,0.45*INT(MAX(0,C112))-19470.38))))</f>
        <v/>
      </c>
      <c r="E112" s="185">
        <f>A112-B112-D112</f>
        <v/>
      </c>
      <c r="F112" s="219">
        <f>MAX(0,A112-B112-'Plan-Annahmen'!$B$88*12-'Plan-Annahmen'!$B$102)</f>
        <v/>
      </c>
      <c r="G112" s="185">
        <f>IF(INT(MAX(0,F112))&lt;=12348,0,IF(INT(MAX(0,F112))&lt;=17799,(914.51*((INT(MAX(0,F112))-12348)/10000)+1400)*((INT(MAX(0,F112))-12348)/10000),IF(INT(MAX(0,F112))&lt;=69878,(173.1*((INT(MAX(0,F112))-17799)/10000)+2397)*((INT(MAX(0,F112))-17799)/10000)+1034.87,IF(INT(MAX(0,F112))&lt;=277825,0.42*INT(MAX(0,F112))-11135.63,0.45*INT(MAX(0,F112))-19470.38))))</f>
        <v/>
      </c>
      <c r="H112" s="185">
        <f>A112-B112-G112-'Plan-Annahmen'!$B$88*12</f>
        <v/>
      </c>
    </row>
    <row r="113" ht="15" customHeight="1" s="116">
      <c r="A113" s="221" t="n">
        <v>78000</v>
      </c>
      <c r="B113" s="219">
        <f>MIN(MAX(A113/12,'Plan-Annahmen'!$B$100),'Plan-Annahmen'!$B$101)*12*('Plan-Annahmen'!$B$97+'Plan-Annahmen'!$B$98+'Plan-Annahmen'!$B$99)</f>
        <v/>
      </c>
      <c r="C113" s="219">
        <f>MAX(0,A113-B113-'Plan-Annahmen'!$B$102)</f>
        <v/>
      </c>
      <c r="D113" s="185">
        <f>IF(INT(MAX(0,C113))&lt;=12348,0,IF(INT(MAX(0,C113))&lt;=17799,(914.51*((INT(MAX(0,C113))-12348)/10000)+1400)*((INT(MAX(0,C113))-12348)/10000),IF(INT(MAX(0,C113))&lt;=69878,(173.1*((INT(MAX(0,C113))-17799)/10000)+2397)*((INT(MAX(0,C113))-17799)/10000)+1034.87,IF(INT(MAX(0,C113))&lt;=277825,0.42*INT(MAX(0,C113))-11135.63,0.45*INT(MAX(0,C113))-19470.38))))</f>
        <v/>
      </c>
      <c r="E113" s="185">
        <f>A113-B113-D113</f>
        <v/>
      </c>
      <c r="F113" s="219">
        <f>MAX(0,A113-B113-'Plan-Annahmen'!$B$88*12-'Plan-Annahmen'!$B$102)</f>
        <v/>
      </c>
      <c r="G113" s="185">
        <f>IF(INT(MAX(0,F113))&lt;=12348,0,IF(INT(MAX(0,F113))&lt;=17799,(914.51*((INT(MAX(0,F113))-12348)/10000)+1400)*((INT(MAX(0,F113))-12348)/10000),IF(INT(MAX(0,F113))&lt;=69878,(173.1*((INT(MAX(0,F113))-17799)/10000)+2397)*((INT(MAX(0,F113))-17799)/10000)+1034.87,IF(INT(MAX(0,F113))&lt;=277825,0.42*INT(MAX(0,F113))-11135.63,0.45*INT(MAX(0,F113))-19470.38))))</f>
        <v/>
      </c>
      <c r="H113" s="185">
        <f>A113-B113-G113-'Plan-Annahmen'!$B$88*12</f>
        <v/>
      </c>
    </row>
    <row r="114" ht="15" customHeight="1" s="116">
      <c r="A114" s="221" t="n">
        <v>79000</v>
      </c>
      <c r="B114" s="219">
        <f>MIN(MAX(A114/12,'Plan-Annahmen'!$B$100),'Plan-Annahmen'!$B$101)*12*('Plan-Annahmen'!$B$97+'Plan-Annahmen'!$B$98+'Plan-Annahmen'!$B$99)</f>
        <v/>
      </c>
      <c r="C114" s="219">
        <f>MAX(0,A114-B114-'Plan-Annahmen'!$B$102)</f>
        <v/>
      </c>
      <c r="D114" s="185">
        <f>IF(INT(MAX(0,C114))&lt;=12348,0,IF(INT(MAX(0,C114))&lt;=17799,(914.51*((INT(MAX(0,C114))-12348)/10000)+1400)*((INT(MAX(0,C114))-12348)/10000),IF(INT(MAX(0,C114))&lt;=69878,(173.1*((INT(MAX(0,C114))-17799)/10000)+2397)*((INT(MAX(0,C114))-17799)/10000)+1034.87,IF(INT(MAX(0,C114))&lt;=277825,0.42*INT(MAX(0,C114))-11135.63,0.45*INT(MAX(0,C114))-19470.38))))</f>
        <v/>
      </c>
      <c r="E114" s="185">
        <f>A114-B114-D114</f>
        <v/>
      </c>
      <c r="F114" s="219">
        <f>MAX(0,A114-B114-'Plan-Annahmen'!$B$88*12-'Plan-Annahmen'!$B$102)</f>
        <v/>
      </c>
      <c r="G114" s="185">
        <f>IF(INT(MAX(0,F114))&lt;=12348,0,IF(INT(MAX(0,F114))&lt;=17799,(914.51*((INT(MAX(0,F114))-12348)/10000)+1400)*((INT(MAX(0,F114))-12348)/10000),IF(INT(MAX(0,F114))&lt;=69878,(173.1*((INT(MAX(0,F114))-17799)/10000)+2397)*((INT(MAX(0,F114))-17799)/10000)+1034.87,IF(INT(MAX(0,F114))&lt;=277825,0.42*INT(MAX(0,F114))-11135.63,0.45*INT(MAX(0,F114))-19470.38))))</f>
        <v/>
      </c>
      <c r="H114" s="185">
        <f>A114-B114-G114-'Plan-Annahmen'!$B$88*12</f>
        <v/>
      </c>
    </row>
    <row r="115" ht="15" customHeight="1" s="116">
      <c r="A115" s="221" t="n">
        <v>80000</v>
      </c>
      <c r="B115" s="219">
        <f>MIN(MAX(A115/12,'Plan-Annahmen'!$B$100),'Plan-Annahmen'!$B$101)*12*('Plan-Annahmen'!$B$97+'Plan-Annahmen'!$B$98+'Plan-Annahmen'!$B$99)</f>
        <v/>
      </c>
      <c r="C115" s="219">
        <f>MAX(0,A115-B115-'Plan-Annahmen'!$B$102)</f>
        <v/>
      </c>
      <c r="D115" s="185">
        <f>IF(INT(MAX(0,C115))&lt;=12348,0,IF(INT(MAX(0,C115))&lt;=17799,(914.51*((INT(MAX(0,C115))-12348)/10000)+1400)*((INT(MAX(0,C115))-12348)/10000),IF(INT(MAX(0,C115))&lt;=69878,(173.1*((INT(MAX(0,C115))-17799)/10000)+2397)*((INT(MAX(0,C115))-17799)/10000)+1034.87,IF(INT(MAX(0,C115))&lt;=277825,0.42*INT(MAX(0,C115))-11135.63,0.45*INT(MAX(0,C115))-19470.38))))</f>
        <v/>
      </c>
      <c r="E115" s="185">
        <f>A115-B115-D115</f>
        <v/>
      </c>
      <c r="F115" s="219">
        <f>MAX(0,A115-B115-'Plan-Annahmen'!$B$88*12-'Plan-Annahmen'!$B$102)</f>
        <v/>
      </c>
      <c r="G115" s="185">
        <f>IF(INT(MAX(0,F115))&lt;=12348,0,IF(INT(MAX(0,F115))&lt;=17799,(914.51*((INT(MAX(0,F115))-12348)/10000)+1400)*((INT(MAX(0,F115))-12348)/10000),IF(INT(MAX(0,F115))&lt;=69878,(173.1*((INT(MAX(0,F115))-17799)/10000)+2397)*((INT(MAX(0,F115))-17799)/10000)+1034.87,IF(INT(MAX(0,F115))&lt;=277825,0.42*INT(MAX(0,F115))-11135.63,0.45*INT(MAX(0,F115))-19470.38))))</f>
        <v/>
      </c>
      <c r="H115" s="185">
        <f>A115-B115-G115-'Plan-Annahmen'!$B$88*12</f>
        <v/>
      </c>
    </row>
    <row r="116" ht="15" customHeight="1" s="116">
      <c r="A116" s="221" t="n">
        <v>81000</v>
      </c>
      <c r="B116" s="219">
        <f>MIN(MAX(A116/12,'Plan-Annahmen'!$B$100),'Plan-Annahmen'!$B$101)*12*('Plan-Annahmen'!$B$97+'Plan-Annahmen'!$B$98+'Plan-Annahmen'!$B$99)</f>
        <v/>
      </c>
      <c r="C116" s="219">
        <f>MAX(0,A116-B116-'Plan-Annahmen'!$B$102)</f>
        <v/>
      </c>
      <c r="D116" s="185">
        <f>IF(INT(MAX(0,C116))&lt;=12348,0,IF(INT(MAX(0,C116))&lt;=17799,(914.51*((INT(MAX(0,C116))-12348)/10000)+1400)*((INT(MAX(0,C116))-12348)/10000),IF(INT(MAX(0,C116))&lt;=69878,(173.1*((INT(MAX(0,C116))-17799)/10000)+2397)*((INT(MAX(0,C116))-17799)/10000)+1034.87,IF(INT(MAX(0,C116))&lt;=277825,0.42*INT(MAX(0,C116))-11135.63,0.45*INT(MAX(0,C116))-19470.38))))</f>
        <v/>
      </c>
      <c r="E116" s="185">
        <f>A116-B116-D116</f>
        <v/>
      </c>
      <c r="F116" s="219">
        <f>MAX(0,A116-B116-'Plan-Annahmen'!$B$88*12-'Plan-Annahmen'!$B$102)</f>
        <v/>
      </c>
      <c r="G116" s="185">
        <f>IF(INT(MAX(0,F116))&lt;=12348,0,IF(INT(MAX(0,F116))&lt;=17799,(914.51*((INT(MAX(0,F116))-12348)/10000)+1400)*((INT(MAX(0,F116))-12348)/10000),IF(INT(MAX(0,F116))&lt;=69878,(173.1*((INT(MAX(0,F116))-17799)/10000)+2397)*((INT(MAX(0,F116))-17799)/10000)+1034.87,IF(INT(MAX(0,F116))&lt;=277825,0.42*INT(MAX(0,F116))-11135.63,0.45*INT(MAX(0,F116))-19470.38))))</f>
        <v/>
      </c>
      <c r="H116" s="185">
        <f>A116-B116-G116-'Plan-Annahmen'!$B$88*12</f>
        <v/>
      </c>
    </row>
    <row r="117" ht="15" customHeight="1" s="116">
      <c r="A117" s="221" t="n">
        <v>82000</v>
      </c>
      <c r="B117" s="219">
        <f>MIN(MAX(A117/12,'Plan-Annahmen'!$B$100),'Plan-Annahmen'!$B$101)*12*('Plan-Annahmen'!$B$97+'Plan-Annahmen'!$B$98+'Plan-Annahmen'!$B$99)</f>
        <v/>
      </c>
      <c r="C117" s="219">
        <f>MAX(0,A117-B117-'Plan-Annahmen'!$B$102)</f>
        <v/>
      </c>
      <c r="D117" s="185">
        <f>IF(INT(MAX(0,C117))&lt;=12348,0,IF(INT(MAX(0,C117))&lt;=17799,(914.51*((INT(MAX(0,C117))-12348)/10000)+1400)*((INT(MAX(0,C117))-12348)/10000),IF(INT(MAX(0,C117))&lt;=69878,(173.1*((INT(MAX(0,C117))-17799)/10000)+2397)*((INT(MAX(0,C117))-17799)/10000)+1034.87,IF(INT(MAX(0,C117))&lt;=277825,0.42*INT(MAX(0,C117))-11135.63,0.45*INT(MAX(0,C117))-19470.38))))</f>
        <v/>
      </c>
      <c r="E117" s="185">
        <f>A117-B117-D117</f>
        <v/>
      </c>
      <c r="F117" s="219">
        <f>MAX(0,A117-B117-'Plan-Annahmen'!$B$88*12-'Plan-Annahmen'!$B$102)</f>
        <v/>
      </c>
      <c r="G117" s="185">
        <f>IF(INT(MAX(0,F117))&lt;=12348,0,IF(INT(MAX(0,F117))&lt;=17799,(914.51*((INT(MAX(0,F117))-12348)/10000)+1400)*((INT(MAX(0,F117))-12348)/10000),IF(INT(MAX(0,F117))&lt;=69878,(173.1*((INT(MAX(0,F117))-17799)/10000)+2397)*((INT(MAX(0,F117))-17799)/10000)+1034.87,IF(INT(MAX(0,F117))&lt;=277825,0.42*INT(MAX(0,F117))-11135.63,0.45*INT(MAX(0,F117))-19470.38))))</f>
        <v/>
      </c>
      <c r="H117" s="185">
        <f>A117-B117-G117-'Plan-Annahmen'!$B$88*12</f>
        <v/>
      </c>
    </row>
    <row r="118" ht="15" customHeight="1" s="116">
      <c r="A118" s="221" t="n">
        <v>83000</v>
      </c>
      <c r="B118" s="219">
        <f>MIN(MAX(A118/12,'Plan-Annahmen'!$B$100),'Plan-Annahmen'!$B$101)*12*('Plan-Annahmen'!$B$97+'Plan-Annahmen'!$B$98+'Plan-Annahmen'!$B$99)</f>
        <v/>
      </c>
      <c r="C118" s="219">
        <f>MAX(0,A118-B118-'Plan-Annahmen'!$B$102)</f>
        <v/>
      </c>
      <c r="D118" s="185">
        <f>IF(INT(MAX(0,C118))&lt;=12348,0,IF(INT(MAX(0,C118))&lt;=17799,(914.51*((INT(MAX(0,C118))-12348)/10000)+1400)*((INT(MAX(0,C118))-12348)/10000),IF(INT(MAX(0,C118))&lt;=69878,(173.1*((INT(MAX(0,C118))-17799)/10000)+2397)*((INT(MAX(0,C118))-17799)/10000)+1034.87,IF(INT(MAX(0,C118))&lt;=277825,0.42*INT(MAX(0,C118))-11135.63,0.45*INT(MAX(0,C118))-19470.38))))</f>
        <v/>
      </c>
      <c r="E118" s="185">
        <f>A118-B118-D118</f>
        <v/>
      </c>
      <c r="F118" s="219">
        <f>MAX(0,A118-B118-'Plan-Annahmen'!$B$88*12-'Plan-Annahmen'!$B$102)</f>
        <v/>
      </c>
      <c r="G118" s="185">
        <f>IF(INT(MAX(0,F118))&lt;=12348,0,IF(INT(MAX(0,F118))&lt;=17799,(914.51*((INT(MAX(0,F118))-12348)/10000)+1400)*((INT(MAX(0,F118))-12348)/10000),IF(INT(MAX(0,F118))&lt;=69878,(173.1*((INT(MAX(0,F118))-17799)/10000)+2397)*((INT(MAX(0,F118))-17799)/10000)+1034.87,IF(INT(MAX(0,F118))&lt;=277825,0.42*INT(MAX(0,F118))-11135.63,0.45*INT(MAX(0,F118))-19470.38))))</f>
        <v/>
      </c>
      <c r="H118" s="185">
        <f>A118-B118-G118-'Plan-Annahmen'!$B$88*12</f>
        <v/>
      </c>
    </row>
    <row r="119" ht="15" customHeight="1" s="116">
      <c r="A119" s="221" t="n">
        <v>84000</v>
      </c>
      <c r="B119" s="219">
        <f>MIN(MAX(A119/12,'Plan-Annahmen'!$B$100),'Plan-Annahmen'!$B$101)*12*('Plan-Annahmen'!$B$97+'Plan-Annahmen'!$B$98+'Plan-Annahmen'!$B$99)</f>
        <v/>
      </c>
      <c r="C119" s="219">
        <f>MAX(0,A119-B119-'Plan-Annahmen'!$B$102)</f>
        <v/>
      </c>
      <c r="D119" s="185">
        <f>IF(INT(MAX(0,C119))&lt;=12348,0,IF(INT(MAX(0,C119))&lt;=17799,(914.51*((INT(MAX(0,C119))-12348)/10000)+1400)*((INT(MAX(0,C119))-12348)/10000),IF(INT(MAX(0,C119))&lt;=69878,(173.1*((INT(MAX(0,C119))-17799)/10000)+2397)*((INT(MAX(0,C119))-17799)/10000)+1034.87,IF(INT(MAX(0,C119))&lt;=277825,0.42*INT(MAX(0,C119))-11135.63,0.45*INT(MAX(0,C119))-19470.38))))</f>
        <v/>
      </c>
      <c r="E119" s="185">
        <f>A119-B119-D119</f>
        <v/>
      </c>
      <c r="F119" s="219">
        <f>MAX(0,A119-B119-'Plan-Annahmen'!$B$88*12-'Plan-Annahmen'!$B$102)</f>
        <v/>
      </c>
      <c r="G119" s="185">
        <f>IF(INT(MAX(0,F119))&lt;=12348,0,IF(INT(MAX(0,F119))&lt;=17799,(914.51*((INT(MAX(0,F119))-12348)/10000)+1400)*((INT(MAX(0,F119))-12348)/10000),IF(INT(MAX(0,F119))&lt;=69878,(173.1*((INT(MAX(0,F119))-17799)/10000)+2397)*((INT(MAX(0,F119))-17799)/10000)+1034.87,IF(INT(MAX(0,F119))&lt;=277825,0.42*INT(MAX(0,F119))-11135.63,0.45*INT(MAX(0,F119))-19470.38))))</f>
        <v/>
      </c>
      <c r="H119" s="185">
        <f>A119-B119-G119-'Plan-Annahmen'!$B$88*12</f>
        <v/>
      </c>
    </row>
    <row r="120" ht="15" customHeight="1" s="116">
      <c r="A120" s="221" t="n">
        <v>85000</v>
      </c>
      <c r="B120" s="219">
        <f>MIN(MAX(A120/12,'Plan-Annahmen'!$B$100),'Plan-Annahmen'!$B$101)*12*('Plan-Annahmen'!$B$97+'Plan-Annahmen'!$B$98+'Plan-Annahmen'!$B$99)</f>
        <v/>
      </c>
      <c r="C120" s="219">
        <f>MAX(0,A120-B120-'Plan-Annahmen'!$B$102)</f>
        <v/>
      </c>
      <c r="D120" s="185">
        <f>IF(INT(MAX(0,C120))&lt;=12348,0,IF(INT(MAX(0,C120))&lt;=17799,(914.51*((INT(MAX(0,C120))-12348)/10000)+1400)*((INT(MAX(0,C120))-12348)/10000),IF(INT(MAX(0,C120))&lt;=69878,(173.1*((INT(MAX(0,C120))-17799)/10000)+2397)*((INT(MAX(0,C120))-17799)/10000)+1034.87,IF(INT(MAX(0,C120))&lt;=277825,0.42*INT(MAX(0,C120))-11135.63,0.45*INT(MAX(0,C120))-19470.38))))</f>
        <v/>
      </c>
      <c r="E120" s="185">
        <f>A120-B120-D120</f>
        <v/>
      </c>
      <c r="F120" s="219">
        <f>MAX(0,A120-B120-'Plan-Annahmen'!$B$88*12-'Plan-Annahmen'!$B$102)</f>
        <v/>
      </c>
      <c r="G120" s="185">
        <f>IF(INT(MAX(0,F120))&lt;=12348,0,IF(INT(MAX(0,F120))&lt;=17799,(914.51*((INT(MAX(0,F120))-12348)/10000)+1400)*((INT(MAX(0,F120))-12348)/10000),IF(INT(MAX(0,F120))&lt;=69878,(173.1*((INT(MAX(0,F120))-17799)/10000)+2397)*((INT(MAX(0,F120))-17799)/10000)+1034.87,IF(INT(MAX(0,F120))&lt;=277825,0.42*INT(MAX(0,F120))-11135.63,0.45*INT(MAX(0,F120))-19470.38))))</f>
        <v/>
      </c>
      <c r="H120" s="185">
        <f>A120-B120-G120-'Plan-Annahmen'!$B$88*12</f>
        <v/>
      </c>
    </row>
    <row r="121" ht="15" customHeight="1" s="116">
      <c r="A121" s="221" t="n">
        <v>86000</v>
      </c>
      <c r="B121" s="219">
        <f>MIN(MAX(A121/12,'Plan-Annahmen'!$B$100),'Plan-Annahmen'!$B$101)*12*('Plan-Annahmen'!$B$97+'Plan-Annahmen'!$B$98+'Plan-Annahmen'!$B$99)</f>
        <v/>
      </c>
      <c r="C121" s="219">
        <f>MAX(0,A121-B121-'Plan-Annahmen'!$B$102)</f>
        <v/>
      </c>
      <c r="D121" s="185">
        <f>IF(INT(MAX(0,C121))&lt;=12348,0,IF(INT(MAX(0,C121))&lt;=17799,(914.51*((INT(MAX(0,C121))-12348)/10000)+1400)*((INT(MAX(0,C121))-12348)/10000),IF(INT(MAX(0,C121))&lt;=69878,(173.1*((INT(MAX(0,C121))-17799)/10000)+2397)*((INT(MAX(0,C121))-17799)/10000)+1034.87,IF(INT(MAX(0,C121))&lt;=277825,0.42*INT(MAX(0,C121))-11135.63,0.45*INT(MAX(0,C121))-19470.38))))</f>
        <v/>
      </c>
      <c r="E121" s="185">
        <f>A121-B121-D121</f>
        <v/>
      </c>
      <c r="F121" s="219">
        <f>MAX(0,A121-B121-'Plan-Annahmen'!$B$88*12-'Plan-Annahmen'!$B$102)</f>
        <v/>
      </c>
      <c r="G121" s="185">
        <f>IF(INT(MAX(0,F121))&lt;=12348,0,IF(INT(MAX(0,F121))&lt;=17799,(914.51*((INT(MAX(0,F121))-12348)/10000)+1400)*((INT(MAX(0,F121))-12348)/10000),IF(INT(MAX(0,F121))&lt;=69878,(173.1*((INT(MAX(0,F121))-17799)/10000)+2397)*((INT(MAX(0,F121))-17799)/10000)+1034.87,IF(INT(MAX(0,F121))&lt;=277825,0.42*INT(MAX(0,F121))-11135.63,0.45*INT(MAX(0,F121))-19470.38))))</f>
        <v/>
      </c>
      <c r="H121" s="185">
        <f>A121-B121-G121-'Plan-Annahmen'!$B$88*12</f>
        <v/>
      </c>
    </row>
    <row r="122" ht="15" customHeight="1" s="116">
      <c r="A122" s="221" t="n">
        <v>87000</v>
      </c>
      <c r="B122" s="219">
        <f>MIN(MAX(A122/12,'Plan-Annahmen'!$B$100),'Plan-Annahmen'!$B$101)*12*('Plan-Annahmen'!$B$97+'Plan-Annahmen'!$B$98+'Plan-Annahmen'!$B$99)</f>
        <v/>
      </c>
      <c r="C122" s="219">
        <f>MAX(0,A122-B122-'Plan-Annahmen'!$B$102)</f>
        <v/>
      </c>
      <c r="D122" s="185">
        <f>IF(INT(MAX(0,C122))&lt;=12348,0,IF(INT(MAX(0,C122))&lt;=17799,(914.51*((INT(MAX(0,C122))-12348)/10000)+1400)*((INT(MAX(0,C122))-12348)/10000),IF(INT(MAX(0,C122))&lt;=69878,(173.1*((INT(MAX(0,C122))-17799)/10000)+2397)*((INT(MAX(0,C122))-17799)/10000)+1034.87,IF(INT(MAX(0,C122))&lt;=277825,0.42*INT(MAX(0,C122))-11135.63,0.45*INT(MAX(0,C122))-19470.38))))</f>
        <v/>
      </c>
      <c r="E122" s="185">
        <f>A122-B122-D122</f>
        <v/>
      </c>
      <c r="F122" s="219">
        <f>MAX(0,A122-B122-'Plan-Annahmen'!$B$88*12-'Plan-Annahmen'!$B$102)</f>
        <v/>
      </c>
      <c r="G122" s="185">
        <f>IF(INT(MAX(0,F122))&lt;=12348,0,IF(INT(MAX(0,F122))&lt;=17799,(914.51*((INT(MAX(0,F122))-12348)/10000)+1400)*((INT(MAX(0,F122))-12348)/10000),IF(INT(MAX(0,F122))&lt;=69878,(173.1*((INT(MAX(0,F122))-17799)/10000)+2397)*((INT(MAX(0,F122))-17799)/10000)+1034.87,IF(INT(MAX(0,F122))&lt;=277825,0.42*INT(MAX(0,F122))-11135.63,0.45*INT(MAX(0,F122))-19470.38))))</f>
        <v/>
      </c>
      <c r="H122" s="185">
        <f>A122-B122-G122-'Plan-Annahmen'!$B$88*12</f>
        <v/>
      </c>
    </row>
    <row r="123" ht="15" customHeight="1" s="116">
      <c r="A123" s="221" t="n">
        <v>88000</v>
      </c>
      <c r="B123" s="219">
        <f>MIN(MAX(A123/12,'Plan-Annahmen'!$B$100),'Plan-Annahmen'!$B$101)*12*('Plan-Annahmen'!$B$97+'Plan-Annahmen'!$B$98+'Plan-Annahmen'!$B$99)</f>
        <v/>
      </c>
      <c r="C123" s="219">
        <f>MAX(0,A123-B123-'Plan-Annahmen'!$B$102)</f>
        <v/>
      </c>
      <c r="D123" s="185">
        <f>IF(INT(MAX(0,C123))&lt;=12348,0,IF(INT(MAX(0,C123))&lt;=17799,(914.51*((INT(MAX(0,C123))-12348)/10000)+1400)*((INT(MAX(0,C123))-12348)/10000),IF(INT(MAX(0,C123))&lt;=69878,(173.1*((INT(MAX(0,C123))-17799)/10000)+2397)*((INT(MAX(0,C123))-17799)/10000)+1034.87,IF(INT(MAX(0,C123))&lt;=277825,0.42*INT(MAX(0,C123))-11135.63,0.45*INT(MAX(0,C123))-19470.38))))</f>
        <v/>
      </c>
      <c r="E123" s="185">
        <f>A123-B123-D123</f>
        <v/>
      </c>
      <c r="F123" s="219">
        <f>MAX(0,A123-B123-'Plan-Annahmen'!$B$88*12-'Plan-Annahmen'!$B$102)</f>
        <v/>
      </c>
      <c r="G123" s="185">
        <f>IF(INT(MAX(0,F123))&lt;=12348,0,IF(INT(MAX(0,F123))&lt;=17799,(914.51*((INT(MAX(0,F123))-12348)/10000)+1400)*((INT(MAX(0,F123))-12348)/10000),IF(INT(MAX(0,F123))&lt;=69878,(173.1*((INT(MAX(0,F123))-17799)/10000)+2397)*((INT(MAX(0,F123))-17799)/10000)+1034.87,IF(INT(MAX(0,F123))&lt;=277825,0.42*INT(MAX(0,F123))-11135.63,0.45*INT(MAX(0,F123))-19470.38))))</f>
        <v/>
      </c>
      <c r="H123" s="185">
        <f>A123-B123-G123-'Plan-Annahmen'!$B$88*12</f>
        <v/>
      </c>
    </row>
    <row r="124" ht="15" customHeight="1" s="116">
      <c r="A124" s="221" t="n">
        <v>89000</v>
      </c>
      <c r="B124" s="219">
        <f>MIN(MAX(A124/12,'Plan-Annahmen'!$B$100),'Plan-Annahmen'!$B$101)*12*('Plan-Annahmen'!$B$97+'Plan-Annahmen'!$B$98+'Plan-Annahmen'!$B$99)</f>
        <v/>
      </c>
      <c r="C124" s="219">
        <f>MAX(0,A124-B124-'Plan-Annahmen'!$B$102)</f>
        <v/>
      </c>
      <c r="D124" s="185">
        <f>IF(INT(MAX(0,C124))&lt;=12348,0,IF(INT(MAX(0,C124))&lt;=17799,(914.51*((INT(MAX(0,C124))-12348)/10000)+1400)*((INT(MAX(0,C124))-12348)/10000),IF(INT(MAX(0,C124))&lt;=69878,(173.1*((INT(MAX(0,C124))-17799)/10000)+2397)*((INT(MAX(0,C124))-17799)/10000)+1034.87,IF(INT(MAX(0,C124))&lt;=277825,0.42*INT(MAX(0,C124))-11135.63,0.45*INT(MAX(0,C124))-19470.38))))</f>
        <v/>
      </c>
      <c r="E124" s="185">
        <f>A124-B124-D124</f>
        <v/>
      </c>
      <c r="F124" s="219">
        <f>MAX(0,A124-B124-'Plan-Annahmen'!$B$88*12-'Plan-Annahmen'!$B$102)</f>
        <v/>
      </c>
      <c r="G124" s="185">
        <f>IF(INT(MAX(0,F124))&lt;=12348,0,IF(INT(MAX(0,F124))&lt;=17799,(914.51*((INT(MAX(0,F124))-12348)/10000)+1400)*((INT(MAX(0,F124))-12348)/10000),IF(INT(MAX(0,F124))&lt;=69878,(173.1*((INT(MAX(0,F124))-17799)/10000)+2397)*((INT(MAX(0,F124))-17799)/10000)+1034.87,IF(INT(MAX(0,F124))&lt;=277825,0.42*INT(MAX(0,F124))-11135.63,0.45*INT(MAX(0,F124))-19470.38))))</f>
        <v/>
      </c>
      <c r="H124" s="185">
        <f>A124-B124-G124-'Plan-Annahmen'!$B$88*12</f>
        <v/>
      </c>
    </row>
    <row r="125" ht="15" customHeight="1" s="116">
      <c r="A125" s="221" t="n">
        <v>90000</v>
      </c>
      <c r="B125" s="219">
        <f>MIN(MAX(A125/12,'Plan-Annahmen'!$B$100),'Plan-Annahmen'!$B$101)*12*('Plan-Annahmen'!$B$97+'Plan-Annahmen'!$B$98+'Plan-Annahmen'!$B$99)</f>
        <v/>
      </c>
      <c r="C125" s="219">
        <f>MAX(0,A125-B125-'Plan-Annahmen'!$B$102)</f>
        <v/>
      </c>
      <c r="D125" s="185">
        <f>IF(INT(MAX(0,C125))&lt;=12348,0,IF(INT(MAX(0,C125))&lt;=17799,(914.51*((INT(MAX(0,C125))-12348)/10000)+1400)*((INT(MAX(0,C125))-12348)/10000),IF(INT(MAX(0,C125))&lt;=69878,(173.1*((INT(MAX(0,C125))-17799)/10000)+2397)*((INT(MAX(0,C125))-17799)/10000)+1034.87,IF(INT(MAX(0,C125))&lt;=277825,0.42*INT(MAX(0,C125))-11135.63,0.45*INT(MAX(0,C125))-19470.38))))</f>
        <v/>
      </c>
      <c r="E125" s="185">
        <f>A125-B125-D125</f>
        <v/>
      </c>
      <c r="F125" s="219">
        <f>MAX(0,A125-B125-'Plan-Annahmen'!$B$88*12-'Plan-Annahmen'!$B$102)</f>
        <v/>
      </c>
      <c r="G125" s="185">
        <f>IF(INT(MAX(0,F125))&lt;=12348,0,IF(INT(MAX(0,F125))&lt;=17799,(914.51*((INT(MAX(0,F125))-12348)/10000)+1400)*((INT(MAX(0,F125))-12348)/10000),IF(INT(MAX(0,F125))&lt;=69878,(173.1*((INT(MAX(0,F125))-17799)/10000)+2397)*((INT(MAX(0,F125))-17799)/10000)+1034.87,IF(INT(MAX(0,F125))&lt;=277825,0.42*INT(MAX(0,F125))-11135.63,0.45*INT(MAX(0,F125))-19470.38))))</f>
        <v/>
      </c>
      <c r="H125" s="185">
        <f>A125-B125-G125-'Plan-Annahmen'!$B$88*12</f>
        <v/>
      </c>
    </row>
    <row r="126" ht="15" customHeight="1" s="116">
      <c r="A126" s="221" t="n">
        <v>91000</v>
      </c>
      <c r="B126" s="219">
        <f>MIN(MAX(A126/12,'Plan-Annahmen'!$B$100),'Plan-Annahmen'!$B$101)*12*('Plan-Annahmen'!$B$97+'Plan-Annahmen'!$B$98+'Plan-Annahmen'!$B$99)</f>
        <v/>
      </c>
      <c r="C126" s="219">
        <f>MAX(0,A126-B126-'Plan-Annahmen'!$B$102)</f>
        <v/>
      </c>
      <c r="D126" s="185">
        <f>IF(INT(MAX(0,C126))&lt;=12348,0,IF(INT(MAX(0,C126))&lt;=17799,(914.51*((INT(MAX(0,C126))-12348)/10000)+1400)*((INT(MAX(0,C126))-12348)/10000),IF(INT(MAX(0,C126))&lt;=69878,(173.1*((INT(MAX(0,C126))-17799)/10000)+2397)*((INT(MAX(0,C126))-17799)/10000)+1034.87,IF(INT(MAX(0,C126))&lt;=277825,0.42*INT(MAX(0,C126))-11135.63,0.45*INT(MAX(0,C126))-19470.38))))</f>
        <v/>
      </c>
      <c r="E126" s="185">
        <f>A126-B126-D126</f>
        <v/>
      </c>
      <c r="F126" s="219">
        <f>MAX(0,A126-B126-'Plan-Annahmen'!$B$88*12-'Plan-Annahmen'!$B$102)</f>
        <v/>
      </c>
      <c r="G126" s="185">
        <f>IF(INT(MAX(0,F126))&lt;=12348,0,IF(INT(MAX(0,F126))&lt;=17799,(914.51*((INT(MAX(0,F126))-12348)/10000)+1400)*((INT(MAX(0,F126))-12348)/10000),IF(INT(MAX(0,F126))&lt;=69878,(173.1*((INT(MAX(0,F126))-17799)/10000)+2397)*((INT(MAX(0,F126))-17799)/10000)+1034.87,IF(INT(MAX(0,F126))&lt;=277825,0.42*INT(MAX(0,F126))-11135.63,0.45*INT(MAX(0,F126))-19470.38))))</f>
        <v/>
      </c>
      <c r="H126" s="185">
        <f>A126-B126-G126-'Plan-Annahmen'!$B$88*12</f>
        <v/>
      </c>
    </row>
    <row r="127" ht="15" customHeight="1" s="116">
      <c r="A127" s="221" t="n">
        <v>92000</v>
      </c>
      <c r="B127" s="219">
        <f>MIN(MAX(A127/12,'Plan-Annahmen'!$B$100),'Plan-Annahmen'!$B$101)*12*('Plan-Annahmen'!$B$97+'Plan-Annahmen'!$B$98+'Plan-Annahmen'!$B$99)</f>
        <v/>
      </c>
      <c r="C127" s="219">
        <f>MAX(0,A127-B127-'Plan-Annahmen'!$B$102)</f>
        <v/>
      </c>
      <c r="D127" s="185">
        <f>IF(INT(MAX(0,C127))&lt;=12348,0,IF(INT(MAX(0,C127))&lt;=17799,(914.51*((INT(MAX(0,C127))-12348)/10000)+1400)*((INT(MAX(0,C127))-12348)/10000),IF(INT(MAX(0,C127))&lt;=69878,(173.1*((INT(MAX(0,C127))-17799)/10000)+2397)*((INT(MAX(0,C127))-17799)/10000)+1034.87,IF(INT(MAX(0,C127))&lt;=277825,0.42*INT(MAX(0,C127))-11135.63,0.45*INT(MAX(0,C127))-19470.38))))</f>
        <v/>
      </c>
      <c r="E127" s="185">
        <f>A127-B127-D127</f>
        <v/>
      </c>
      <c r="F127" s="219">
        <f>MAX(0,A127-B127-'Plan-Annahmen'!$B$88*12-'Plan-Annahmen'!$B$102)</f>
        <v/>
      </c>
      <c r="G127" s="185">
        <f>IF(INT(MAX(0,F127))&lt;=12348,0,IF(INT(MAX(0,F127))&lt;=17799,(914.51*((INT(MAX(0,F127))-12348)/10000)+1400)*((INT(MAX(0,F127))-12348)/10000),IF(INT(MAX(0,F127))&lt;=69878,(173.1*((INT(MAX(0,F127))-17799)/10000)+2397)*((INT(MAX(0,F127))-17799)/10000)+1034.87,IF(INT(MAX(0,F127))&lt;=277825,0.42*INT(MAX(0,F127))-11135.63,0.45*INT(MAX(0,F127))-19470.38))))</f>
        <v/>
      </c>
      <c r="H127" s="185">
        <f>A127-B127-G127-'Plan-Annahmen'!$B$88*12</f>
        <v/>
      </c>
    </row>
    <row r="128" ht="15" customHeight="1" s="116">
      <c r="A128" s="221" t="n">
        <v>93000</v>
      </c>
      <c r="B128" s="219">
        <f>MIN(MAX(A128/12,'Plan-Annahmen'!$B$100),'Plan-Annahmen'!$B$101)*12*('Plan-Annahmen'!$B$97+'Plan-Annahmen'!$B$98+'Plan-Annahmen'!$B$99)</f>
        <v/>
      </c>
      <c r="C128" s="219">
        <f>MAX(0,A128-B128-'Plan-Annahmen'!$B$102)</f>
        <v/>
      </c>
      <c r="D128" s="185">
        <f>IF(INT(MAX(0,C128))&lt;=12348,0,IF(INT(MAX(0,C128))&lt;=17799,(914.51*((INT(MAX(0,C128))-12348)/10000)+1400)*((INT(MAX(0,C128))-12348)/10000),IF(INT(MAX(0,C128))&lt;=69878,(173.1*((INT(MAX(0,C128))-17799)/10000)+2397)*((INT(MAX(0,C128))-17799)/10000)+1034.87,IF(INT(MAX(0,C128))&lt;=277825,0.42*INT(MAX(0,C128))-11135.63,0.45*INT(MAX(0,C128))-19470.38))))</f>
        <v/>
      </c>
      <c r="E128" s="185">
        <f>A128-B128-D128</f>
        <v/>
      </c>
      <c r="F128" s="219">
        <f>MAX(0,A128-B128-'Plan-Annahmen'!$B$88*12-'Plan-Annahmen'!$B$102)</f>
        <v/>
      </c>
      <c r="G128" s="185">
        <f>IF(INT(MAX(0,F128))&lt;=12348,0,IF(INT(MAX(0,F128))&lt;=17799,(914.51*((INT(MAX(0,F128))-12348)/10000)+1400)*((INT(MAX(0,F128))-12348)/10000),IF(INT(MAX(0,F128))&lt;=69878,(173.1*((INT(MAX(0,F128))-17799)/10000)+2397)*((INT(MAX(0,F128))-17799)/10000)+1034.87,IF(INT(MAX(0,F128))&lt;=277825,0.42*INT(MAX(0,F128))-11135.63,0.45*INT(MAX(0,F128))-19470.38))))</f>
        <v/>
      </c>
      <c r="H128" s="185">
        <f>A128-B128-G128-'Plan-Annahmen'!$B$88*12</f>
        <v/>
      </c>
    </row>
    <row r="129" ht="15" customHeight="1" s="116">
      <c r="A129" s="221" t="n">
        <v>94000</v>
      </c>
      <c r="B129" s="219">
        <f>MIN(MAX(A129/12,'Plan-Annahmen'!$B$100),'Plan-Annahmen'!$B$101)*12*('Plan-Annahmen'!$B$97+'Plan-Annahmen'!$B$98+'Plan-Annahmen'!$B$99)</f>
        <v/>
      </c>
      <c r="C129" s="219">
        <f>MAX(0,A129-B129-'Plan-Annahmen'!$B$102)</f>
        <v/>
      </c>
      <c r="D129" s="185">
        <f>IF(INT(MAX(0,C129))&lt;=12348,0,IF(INT(MAX(0,C129))&lt;=17799,(914.51*((INT(MAX(0,C129))-12348)/10000)+1400)*((INT(MAX(0,C129))-12348)/10000),IF(INT(MAX(0,C129))&lt;=69878,(173.1*((INT(MAX(0,C129))-17799)/10000)+2397)*((INT(MAX(0,C129))-17799)/10000)+1034.87,IF(INT(MAX(0,C129))&lt;=277825,0.42*INT(MAX(0,C129))-11135.63,0.45*INT(MAX(0,C129))-19470.38))))</f>
        <v/>
      </c>
      <c r="E129" s="185">
        <f>A129-B129-D129</f>
        <v/>
      </c>
      <c r="F129" s="219">
        <f>MAX(0,A129-B129-'Plan-Annahmen'!$B$88*12-'Plan-Annahmen'!$B$102)</f>
        <v/>
      </c>
      <c r="G129" s="185">
        <f>IF(INT(MAX(0,F129))&lt;=12348,0,IF(INT(MAX(0,F129))&lt;=17799,(914.51*((INT(MAX(0,F129))-12348)/10000)+1400)*((INT(MAX(0,F129))-12348)/10000),IF(INT(MAX(0,F129))&lt;=69878,(173.1*((INT(MAX(0,F129))-17799)/10000)+2397)*((INT(MAX(0,F129))-17799)/10000)+1034.87,IF(INT(MAX(0,F129))&lt;=277825,0.42*INT(MAX(0,F129))-11135.63,0.45*INT(MAX(0,F129))-19470.38))))</f>
        <v/>
      </c>
      <c r="H129" s="185">
        <f>A129-B129-G129-'Plan-Annahmen'!$B$88*12</f>
        <v/>
      </c>
    </row>
    <row r="130" ht="15" customHeight="1" s="116">
      <c r="A130" s="221" t="n">
        <v>95000</v>
      </c>
      <c r="B130" s="219">
        <f>MIN(MAX(A130/12,'Plan-Annahmen'!$B$100),'Plan-Annahmen'!$B$101)*12*('Plan-Annahmen'!$B$97+'Plan-Annahmen'!$B$98+'Plan-Annahmen'!$B$99)</f>
        <v/>
      </c>
      <c r="C130" s="219">
        <f>MAX(0,A130-B130-'Plan-Annahmen'!$B$102)</f>
        <v/>
      </c>
      <c r="D130" s="185">
        <f>IF(INT(MAX(0,C130))&lt;=12348,0,IF(INT(MAX(0,C130))&lt;=17799,(914.51*((INT(MAX(0,C130))-12348)/10000)+1400)*((INT(MAX(0,C130))-12348)/10000),IF(INT(MAX(0,C130))&lt;=69878,(173.1*((INT(MAX(0,C130))-17799)/10000)+2397)*((INT(MAX(0,C130))-17799)/10000)+1034.87,IF(INT(MAX(0,C130))&lt;=277825,0.42*INT(MAX(0,C130))-11135.63,0.45*INT(MAX(0,C130))-19470.38))))</f>
        <v/>
      </c>
      <c r="E130" s="185">
        <f>A130-B130-D130</f>
        <v/>
      </c>
      <c r="F130" s="219">
        <f>MAX(0,A130-B130-'Plan-Annahmen'!$B$88*12-'Plan-Annahmen'!$B$102)</f>
        <v/>
      </c>
      <c r="G130" s="185">
        <f>IF(INT(MAX(0,F130))&lt;=12348,0,IF(INT(MAX(0,F130))&lt;=17799,(914.51*((INT(MAX(0,F130))-12348)/10000)+1400)*((INT(MAX(0,F130))-12348)/10000),IF(INT(MAX(0,F130))&lt;=69878,(173.1*((INT(MAX(0,F130))-17799)/10000)+2397)*((INT(MAX(0,F130))-17799)/10000)+1034.87,IF(INT(MAX(0,F130))&lt;=277825,0.42*INT(MAX(0,F130))-11135.63,0.45*INT(MAX(0,F130))-19470.38))))</f>
        <v/>
      </c>
      <c r="H130" s="185">
        <f>A130-B130-G130-'Plan-Annahmen'!$B$88*12</f>
        <v/>
      </c>
    </row>
    <row r="131" ht="15" customHeight="1" s="116">
      <c r="A131" s="221" t="n">
        <v>96000</v>
      </c>
      <c r="B131" s="219">
        <f>MIN(MAX(A131/12,'Plan-Annahmen'!$B$100),'Plan-Annahmen'!$B$101)*12*('Plan-Annahmen'!$B$97+'Plan-Annahmen'!$B$98+'Plan-Annahmen'!$B$99)</f>
        <v/>
      </c>
      <c r="C131" s="219">
        <f>MAX(0,A131-B131-'Plan-Annahmen'!$B$102)</f>
        <v/>
      </c>
      <c r="D131" s="185">
        <f>IF(INT(MAX(0,C131))&lt;=12348,0,IF(INT(MAX(0,C131))&lt;=17799,(914.51*((INT(MAX(0,C131))-12348)/10000)+1400)*((INT(MAX(0,C131))-12348)/10000),IF(INT(MAX(0,C131))&lt;=69878,(173.1*((INT(MAX(0,C131))-17799)/10000)+2397)*((INT(MAX(0,C131))-17799)/10000)+1034.87,IF(INT(MAX(0,C131))&lt;=277825,0.42*INT(MAX(0,C131))-11135.63,0.45*INT(MAX(0,C131))-19470.38))))</f>
        <v/>
      </c>
      <c r="E131" s="185">
        <f>A131-B131-D131</f>
        <v/>
      </c>
      <c r="F131" s="219">
        <f>MAX(0,A131-B131-'Plan-Annahmen'!$B$88*12-'Plan-Annahmen'!$B$102)</f>
        <v/>
      </c>
      <c r="G131" s="185">
        <f>IF(INT(MAX(0,F131))&lt;=12348,0,IF(INT(MAX(0,F131))&lt;=17799,(914.51*((INT(MAX(0,F131))-12348)/10000)+1400)*((INT(MAX(0,F131))-12348)/10000),IF(INT(MAX(0,F131))&lt;=69878,(173.1*((INT(MAX(0,F131))-17799)/10000)+2397)*((INT(MAX(0,F131))-17799)/10000)+1034.87,IF(INT(MAX(0,F131))&lt;=277825,0.42*INT(MAX(0,F131))-11135.63,0.45*INT(MAX(0,F131))-19470.38))))</f>
        <v/>
      </c>
      <c r="H131" s="185">
        <f>A131-B131-G131-'Plan-Annahmen'!$B$88*12</f>
        <v/>
      </c>
    </row>
    <row r="132" ht="15" customHeight="1" s="116">
      <c r="A132" s="221" t="n">
        <v>97000</v>
      </c>
      <c r="B132" s="219">
        <f>MIN(MAX(A132/12,'Plan-Annahmen'!$B$100),'Plan-Annahmen'!$B$101)*12*('Plan-Annahmen'!$B$97+'Plan-Annahmen'!$B$98+'Plan-Annahmen'!$B$99)</f>
        <v/>
      </c>
      <c r="C132" s="219">
        <f>MAX(0,A132-B132-'Plan-Annahmen'!$B$102)</f>
        <v/>
      </c>
      <c r="D132" s="185">
        <f>IF(INT(MAX(0,C132))&lt;=12348,0,IF(INT(MAX(0,C132))&lt;=17799,(914.51*((INT(MAX(0,C132))-12348)/10000)+1400)*((INT(MAX(0,C132))-12348)/10000),IF(INT(MAX(0,C132))&lt;=69878,(173.1*((INT(MAX(0,C132))-17799)/10000)+2397)*((INT(MAX(0,C132))-17799)/10000)+1034.87,IF(INT(MAX(0,C132))&lt;=277825,0.42*INT(MAX(0,C132))-11135.63,0.45*INT(MAX(0,C132))-19470.38))))</f>
        <v/>
      </c>
      <c r="E132" s="185">
        <f>A132-B132-D132</f>
        <v/>
      </c>
      <c r="F132" s="219">
        <f>MAX(0,A132-B132-'Plan-Annahmen'!$B$88*12-'Plan-Annahmen'!$B$102)</f>
        <v/>
      </c>
      <c r="G132" s="185">
        <f>IF(INT(MAX(0,F132))&lt;=12348,0,IF(INT(MAX(0,F132))&lt;=17799,(914.51*((INT(MAX(0,F132))-12348)/10000)+1400)*((INT(MAX(0,F132))-12348)/10000),IF(INT(MAX(0,F132))&lt;=69878,(173.1*((INT(MAX(0,F132))-17799)/10000)+2397)*((INT(MAX(0,F132))-17799)/10000)+1034.87,IF(INT(MAX(0,F132))&lt;=277825,0.42*INT(MAX(0,F132))-11135.63,0.45*INT(MAX(0,F132))-19470.38))))</f>
        <v/>
      </c>
      <c r="H132" s="185">
        <f>A132-B132-G132-'Plan-Annahmen'!$B$88*12</f>
        <v/>
      </c>
    </row>
    <row r="133" ht="15" customHeight="1" s="116">
      <c r="A133" s="221" t="n">
        <v>98000</v>
      </c>
      <c r="B133" s="219">
        <f>MIN(MAX(A133/12,'Plan-Annahmen'!$B$100),'Plan-Annahmen'!$B$101)*12*('Plan-Annahmen'!$B$97+'Plan-Annahmen'!$B$98+'Plan-Annahmen'!$B$99)</f>
        <v/>
      </c>
      <c r="C133" s="219">
        <f>MAX(0,A133-B133-'Plan-Annahmen'!$B$102)</f>
        <v/>
      </c>
      <c r="D133" s="185">
        <f>IF(INT(MAX(0,C133))&lt;=12348,0,IF(INT(MAX(0,C133))&lt;=17799,(914.51*((INT(MAX(0,C133))-12348)/10000)+1400)*((INT(MAX(0,C133))-12348)/10000),IF(INT(MAX(0,C133))&lt;=69878,(173.1*((INT(MAX(0,C133))-17799)/10000)+2397)*((INT(MAX(0,C133))-17799)/10000)+1034.87,IF(INT(MAX(0,C133))&lt;=277825,0.42*INT(MAX(0,C133))-11135.63,0.45*INT(MAX(0,C133))-19470.38))))</f>
        <v/>
      </c>
      <c r="E133" s="185">
        <f>A133-B133-D133</f>
        <v/>
      </c>
      <c r="F133" s="219">
        <f>MAX(0,A133-B133-'Plan-Annahmen'!$B$88*12-'Plan-Annahmen'!$B$102)</f>
        <v/>
      </c>
      <c r="G133" s="185">
        <f>IF(INT(MAX(0,F133))&lt;=12348,0,IF(INT(MAX(0,F133))&lt;=17799,(914.51*((INT(MAX(0,F133))-12348)/10000)+1400)*((INT(MAX(0,F133))-12348)/10000),IF(INT(MAX(0,F133))&lt;=69878,(173.1*((INT(MAX(0,F133))-17799)/10000)+2397)*((INT(MAX(0,F133))-17799)/10000)+1034.87,IF(INT(MAX(0,F133))&lt;=277825,0.42*INT(MAX(0,F133))-11135.63,0.45*INT(MAX(0,F133))-19470.38))))</f>
        <v/>
      </c>
      <c r="H133" s="185">
        <f>A133-B133-G133-'Plan-Annahmen'!$B$88*12</f>
        <v/>
      </c>
    </row>
    <row r="134" ht="15" customHeight="1" s="116">
      <c r="A134" s="221" t="n">
        <v>99000</v>
      </c>
      <c r="B134" s="219">
        <f>MIN(MAX(A134/12,'Plan-Annahmen'!$B$100),'Plan-Annahmen'!$B$101)*12*('Plan-Annahmen'!$B$97+'Plan-Annahmen'!$B$98+'Plan-Annahmen'!$B$99)</f>
        <v/>
      </c>
      <c r="C134" s="219">
        <f>MAX(0,A134-B134-'Plan-Annahmen'!$B$102)</f>
        <v/>
      </c>
      <c r="D134" s="185">
        <f>IF(INT(MAX(0,C134))&lt;=12348,0,IF(INT(MAX(0,C134))&lt;=17799,(914.51*((INT(MAX(0,C134))-12348)/10000)+1400)*((INT(MAX(0,C134))-12348)/10000),IF(INT(MAX(0,C134))&lt;=69878,(173.1*((INT(MAX(0,C134))-17799)/10000)+2397)*((INT(MAX(0,C134))-17799)/10000)+1034.87,IF(INT(MAX(0,C134))&lt;=277825,0.42*INT(MAX(0,C134))-11135.63,0.45*INT(MAX(0,C134))-19470.38))))</f>
        <v/>
      </c>
      <c r="E134" s="185">
        <f>A134-B134-D134</f>
        <v/>
      </c>
      <c r="F134" s="219">
        <f>MAX(0,A134-B134-'Plan-Annahmen'!$B$88*12-'Plan-Annahmen'!$B$102)</f>
        <v/>
      </c>
      <c r="G134" s="185">
        <f>IF(INT(MAX(0,F134))&lt;=12348,0,IF(INT(MAX(0,F134))&lt;=17799,(914.51*((INT(MAX(0,F134))-12348)/10000)+1400)*((INT(MAX(0,F134))-12348)/10000),IF(INT(MAX(0,F134))&lt;=69878,(173.1*((INT(MAX(0,F134))-17799)/10000)+2397)*((INT(MAX(0,F134))-17799)/10000)+1034.87,IF(INT(MAX(0,F134))&lt;=277825,0.42*INT(MAX(0,F134))-11135.63,0.45*INT(MAX(0,F134))-19470.38))))</f>
        <v/>
      </c>
      <c r="H134" s="185">
        <f>A134-B134-G134-'Plan-Annahmen'!$B$88*12</f>
        <v/>
      </c>
    </row>
    <row r="135" ht="15" customHeight="1" s="116">
      <c r="A135" s="221" t="n">
        <v>100000</v>
      </c>
      <c r="B135" s="219">
        <f>MIN(MAX(A135/12,'Plan-Annahmen'!$B$100),'Plan-Annahmen'!$B$101)*12*('Plan-Annahmen'!$B$97+'Plan-Annahmen'!$B$98+'Plan-Annahmen'!$B$99)</f>
        <v/>
      </c>
      <c r="C135" s="219">
        <f>MAX(0,A135-B135-'Plan-Annahmen'!$B$102)</f>
        <v/>
      </c>
      <c r="D135" s="185">
        <f>IF(INT(MAX(0,C135))&lt;=12348,0,IF(INT(MAX(0,C135))&lt;=17799,(914.51*((INT(MAX(0,C135))-12348)/10000)+1400)*((INT(MAX(0,C135))-12348)/10000),IF(INT(MAX(0,C135))&lt;=69878,(173.1*((INT(MAX(0,C135))-17799)/10000)+2397)*((INT(MAX(0,C135))-17799)/10000)+1034.87,IF(INT(MAX(0,C135))&lt;=277825,0.42*INT(MAX(0,C135))-11135.63,0.45*INT(MAX(0,C135))-19470.38))))</f>
        <v/>
      </c>
      <c r="E135" s="185">
        <f>A135-B135-D135</f>
        <v/>
      </c>
      <c r="F135" s="219">
        <f>MAX(0,A135-B135-'Plan-Annahmen'!$B$88*12-'Plan-Annahmen'!$B$102)</f>
        <v/>
      </c>
      <c r="G135" s="185">
        <f>IF(INT(MAX(0,F135))&lt;=12348,0,IF(INT(MAX(0,F135))&lt;=17799,(914.51*((INT(MAX(0,F135))-12348)/10000)+1400)*((INT(MAX(0,F135))-12348)/10000),IF(INT(MAX(0,F135))&lt;=69878,(173.1*((INT(MAX(0,F135))-17799)/10000)+2397)*((INT(MAX(0,F135))-17799)/10000)+1034.87,IF(INT(MAX(0,F135))&lt;=277825,0.42*INT(MAX(0,F135))-11135.63,0.45*INT(MAX(0,F135))-19470.38))))</f>
        <v/>
      </c>
      <c r="H135" s="185">
        <f>A135-B135-G135-'Plan-Annahmen'!$B$88*12</f>
        <v/>
      </c>
    </row>
    <row r="136" ht="15" customHeight="1" s="116">
      <c r="A136" s="221" t="n">
        <v>101000</v>
      </c>
      <c r="B136" s="219">
        <f>MIN(MAX(A136/12,'Plan-Annahmen'!$B$100),'Plan-Annahmen'!$B$101)*12*('Plan-Annahmen'!$B$97+'Plan-Annahmen'!$B$98+'Plan-Annahmen'!$B$99)</f>
        <v/>
      </c>
      <c r="C136" s="219">
        <f>MAX(0,A136-B136-'Plan-Annahmen'!$B$102)</f>
        <v/>
      </c>
      <c r="D136" s="185">
        <f>IF(INT(MAX(0,C136))&lt;=12348,0,IF(INT(MAX(0,C136))&lt;=17799,(914.51*((INT(MAX(0,C136))-12348)/10000)+1400)*((INT(MAX(0,C136))-12348)/10000),IF(INT(MAX(0,C136))&lt;=69878,(173.1*((INT(MAX(0,C136))-17799)/10000)+2397)*((INT(MAX(0,C136))-17799)/10000)+1034.87,IF(INT(MAX(0,C136))&lt;=277825,0.42*INT(MAX(0,C136))-11135.63,0.45*INT(MAX(0,C136))-19470.38))))</f>
        <v/>
      </c>
      <c r="E136" s="185">
        <f>A136-B136-D136</f>
        <v/>
      </c>
      <c r="F136" s="219">
        <f>MAX(0,A136-B136-'Plan-Annahmen'!$B$88*12-'Plan-Annahmen'!$B$102)</f>
        <v/>
      </c>
      <c r="G136" s="185">
        <f>IF(INT(MAX(0,F136))&lt;=12348,0,IF(INT(MAX(0,F136))&lt;=17799,(914.51*((INT(MAX(0,F136))-12348)/10000)+1400)*((INT(MAX(0,F136))-12348)/10000),IF(INT(MAX(0,F136))&lt;=69878,(173.1*((INT(MAX(0,F136))-17799)/10000)+2397)*((INT(MAX(0,F136))-17799)/10000)+1034.87,IF(INT(MAX(0,F136))&lt;=277825,0.42*INT(MAX(0,F136))-11135.63,0.45*INT(MAX(0,F136))-19470.38))))</f>
        <v/>
      </c>
      <c r="H136" s="185">
        <f>A136-B136-G136-'Plan-Annahmen'!$B$88*12</f>
        <v/>
      </c>
    </row>
    <row r="137" ht="15" customHeight="1" s="116">
      <c r="A137" s="221" t="n">
        <v>102000</v>
      </c>
      <c r="B137" s="219">
        <f>MIN(MAX(A137/12,'Plan-Annahmen'!$B$100),'Plan-Annahmen'!$B$101)*12*('Plan-Annahmen'!$B$97+'Plan-Annahmen'!$B$98+'Plan-Annahmen'!$B$99)</f>
        <v/>
      </c>
      <c r="C137" s="219">
        <f>MAX(0,A137-B137-'Plan-Annahmen'!$B$102)</f>
        <v/>
      </c>
      <c r="D137" s="185">
        <f>IF(INT(MAX(0,C137))&lt;=12348,0,IF(INT(MAX(0,C137))&lt;=17799,(914.51*((INT(MAX(0,C137))-12348)/10000)+1400)*((INT(MAX(0,C137))-12348)/10000),IF(INT(MAX(0,C137))&lt;=69878,(173.1*((INT(MAX(0,C137))-17799)/10000)+2397)*((INT(MAX(0,C137))-17799)/10000)+1034.87,IF(INT(MAX(0,C137))&lt;=277825,0.42*INT(MAX(0,C137))-11135.63,0.45*INT(MAX(0,C137))-19470.38))))</f>
        <v/>
      </c>
      <c r="E137" s="185">
        <f>A137-B137-D137</f>
        <v/>
      </c>
      <c r="F137" s="219">
        <f>MAX(0,A137-B137-'Plan-Annahmen'!$B$88*12-'Plan-Annahmen'!$B$102)</f>
        <v/>
      </c>
      <c r="G137" s="185">
        <f>IF(INT(MAX(0,F137))&lt;=12348,0,IF(INT(MAX(0,F137))&lt;=17799,(914.51*((INT(MAX(0,F137))-12348)/10000)+1400)*((INT(MAX(0,F137))-12348)/10000),IF(INT(MAX(0,F137))&lt;=69878,(173.1*((INT(MAX(0,F137))-17799)/10000)+2397)*((INT(MAX(0,F137))-17799)/10000)+1034.87,IF(INT(MAX(0,F137))&lt;=277825,0.42*INT(MAX(0,F137))-11135.63,0.45*INT(MAX(0,F137))-19470.38))))</f>
        <v/>
      </c>
      <c r="H137" s="185">
        <f>A137-B137-G137-'Plan-Annahmen'!$B$88*12</f>
        <v/>
      </c>
    </row>
    <row r="138" ht="15" customHeight="1" s="116">
      <c r="A138" s="221" t="n">
        <v>103000</v>
      </c>
      <c r="B138" s="219">
        <f>MIN(MAX(A138/12,'Plan-Annahmen'!$B$100),'Plan-Annahmen'!$B$101)*12*('Plan-Annahmen'!$B$97+'Plan-Annahmen'!$B$98+'Plan-Annahmen'!$B$99)</f>
        <v/>
      </c>
      <c r="C138" s="219">
        <f>MAX(0,A138-B138-'Plan-Annahmen'!$B$102)</f>
        <v/>
      </c>
      <c r="D138" s="185">
        <f>IF(INT(MAX(0,C138))&lt;=12348,0,IF(INT(MAX(0,C138))&lt;=17799,(914.51*((INT(MAX(0,C138))-12348)/10000)+1400)*((INT(MAX(0,C138))-12348)/10000),IF(INT(MAX(0,C138))&lt;=69878,(173.1*((INT(MAX(0,C138))-17799)/10000)+2397)*((INT(MAX(0,C138))-17799)/10000)+1034.87,IF(INT(MAX(0,C138))&lt;=277825,0.42*INT(MAX(0,C138))-11135.63,0.45*INT(MAX(0,C138))-19470.38))))</f>
        <v/>
      </c>
      <c r="E138" s="185">
        <f>A138-B138-D138</f>
        <v/>
      </c>
      <c r="F138" s="219">
        <f>MAX(0,A138-B138-'Plan-Annahmen'!$B$88*12-'Plan-Annahmen'!$B$102)</f>
        <v/>
      </c>
      <c r="G138" s="185">
        <f>IF(INT(MAX(0,F138))&lt;=12348,0,IF(INT(MAX(0,F138))&lt;=17799,(914.51*((INT(MAX(0,F138))-12348)/10000)+1400)*((INT(MAX(0,F138))-12348)/10000),IF(INT(MAX(0,F138))&lt;=69878,(173.1*((INT(MAX(0,F138))-17799)/10000)+2397)*((INT(MAX(0,F138))-17799)/10000)+1034.87,IF(INT(MAX(0,F138))&lt;=277825,0.42*INT(MAX(0,F138))-11135.63,0.45*INT(MAX(0,F138))-19470.38))))</f>
        <v/>
      </c>
      <c r="H138" s="185">
        <f>A138-B138-G138-'Plan-Annahmen'!$B$88*12</f>
        <v/>
      </c>
    </row>
    <row r="139" ht="15" customHeight="1" s="116">
      <c r="A139" s="221" t="n">
        <v>104000</v>
      </c>
      <c r="B139" s="219">
        <f>MIN(MAX(A139/12,'Plan-Annahmen'!$B$100),'Plan-Annahmen'!$B$101)*12*('Plan-Annahmen'!$B$97+'Plan-Annahmen'!$B$98+'Plan-Annahmen'!$B$99)</f>
        <v/>
      </c>
      <c r="C139" s="219">
        <f>MAX(0,A139-B139-'Plan-Annahmen'!$B$102)</f>
        <v/>
      </c>
      <c r="D139" s="185">
        <f>IF(INT(MAX(0,C139))&lt;=12348,0,IF(INT(MAX(0,C139))&lt;=17799,(914.51*((INT(MAX(0,C139))-12348)/10000)+1400)*((INT(MAX(0,C139))-12348)/10000),IF(INT(MAX(0,C139))&lt;=69878,(173.1*((INT(MAX(0,C139))-17799)/10000)+2397)*((INT(MAX(0,C139))-17799)/10000)+1034.87,IF(INT(MAX(0,C139))&lt;=277825,0.42*INT(MAX(0,C139))-11135.63,0.45*INT(MAX(0,C139))-19470.38))))</f>
        <v/>
      </c>
      <c r="E139" s="185">
        <f>A139-B139-D139</f>
        <v/>
      </c>
      <c r="F139" s="219">
        <f>MAX(0,A139-B139-'Plan-Annahmen'!$B$88*12-'Plan-Annahmen'!$B$102)</f>
        <v/>
      </c>
      <c r="G139" s="185">
        <f>IF(INT(MAX(0,F139))&lt;=12348,0,IF(INT(MAX(0,F139))&lt;=17799,(914.51*((INT(MAX(0,F139))-12348)/10000)+1400)*((INT(MAX(0,F139))-12348)/10000),IF(INT(MAX(0,F139))&lt;=69878,(173.1*((INT(MAX(0,F139))-17799)/10000)+2397)*((INT(MAX(0,F139))-17799)/10000)+1034.87,IF(INT(MAX(0,F139))&lt;=277825,0.42*INT(MAX(0,F139))-11135.63,0.45*INT(MAX(0,F139))-19470.38))))</f>
        <v/>
      </c>
      <c r="H139" s="185">
        <f>A139-B139-G139-'Plan-Annahmen'!$B$88*12</f>
        <v/>
      </c>
    </row>
    <row r="140" ht="15" customHeight="1" s="116">
      <c r="A140" s="221" t="n">
        <v>105000</v>
      </c>
      <c r="B140" s="219">
        <f>MIN(MAX(A140/12,'Plan-Annahmen'!$B$100),'Plan-Annahmen'!$B$101)*12*('Plan-Annahmen'!$B$97+'Plan-Annahmen'!$B$98+'Plan-Annahmen'!$B$99)</f>
        <v/>
      </c>
      <c r="C140" s="219">
        <f>MAX(0,A140-B140-'Plan-Annahmen'!$B$102)</f>
        <v/>
      </c>
      <c r="D140" s="185">
        <f>IF(INT(MAX(0,C140))&lt;=12348,0,IF(INT(MAX(0,C140))&lt;=17799,(914.51*((INT(MAX(0,C140))-12348)/10000)+1400)*((INT(MAX(0,C140))-12348)/10000),IF(INT(MAX(0,C140))&lt;=69878,(173.1*((INT(MAX(0,C140))-17799)/10000)+2397)*((INT(MAX(0,C140))-17799)/10000)+1034.87,IF(INT(MAX(0,C140))&lt;=277825,0.42*INT(MAX(0,C140))-11135.63,0.45*INT(MAX(0,C140))-19470.38))))</f>
        <v/>
      </c>
      <c r="E140" s="185">
        <f>A140-B140-D140</f>
        <v/>
      </c>
      <c r="F140" s="219">
        <f>MAX(0,A140-B140-'Plan-Annahmen'!$B$88*12-'Plan-Annahmen'!$B$102)</f>
        <v/>
      </c>
      <c r="G140" s="185">
        <f>IF(INT(MAX(0,F140))&lt;=12348,0,IF(INT(MAX(0,F140))&lt;=17799,(914.51*((INT(MAX(0,F140))-12348)/10000)+1400)*((INT(MAX(0,F140))-12348)/10000),IF(INT(MAX(0,F140))&lt;=69878,(173.1*((INT(MAX(0,F140))-17799)/10000)+2397)*((INT(MAX(0,F140))-17799)/10000)+1034.87,IF(INT(MAX(0,F140))&lt;=277825,0.42*INT(MAX(0,F140))-11135.63,0.45*INT(MAX(0,F140))-19470.38))))</f>
        <v/>
      </c>
      <c r="H140" s="185">
        <f>A140-B140-G140-'Plan-Annahmen'!$B$88*12</f>
        <v/>
      </c>
    </row>
    <row r="141" ht="15" customHeight="1" s="116">
      <c r="A141" s="221" t="n">
        <v>106000</v>
      </c>
      <c r="B141" s="219">
        <f>MIN(MAX(A141/12,'Plan-Annahmen'!$B$100),'Plan-Annahmen'!$B$101)*12*('Plan-Annahmen'!$B$97+'Plan-Annahmen'!$B$98+'Plan-Annahmen'!$B$99)</f>
        <v/>
      </c>
      <c r="C141" s="219">
        <f>MAX(0,A141-B141-'Plan-Annahmen'!$B$102)</f>
        <v/>
      </c>
      <c r="D141" s="185">
        <f>IF(INT(MAX(0,C141))&lt;=12348,0,IF(INT(MAX(0,C141))&lt;=17799,(914.51*((INT(MAX(0,C141))-12348)/10000)+1400)*((INT(MAX(0,C141))-12348)/10000),IF(INT(MAX(0,C141))&lt;=69878,(173.1*((INT(MAX(0,C141))-17799)/10000)+2397)*((INT(MAX(0,C141))-17799)/10000)+1034.87,IF(INT(MAX(0,C141))&lt;=277825,0.42*INT(MAX(0,C141))-11135.63,0.45*INT(MAX(0,C141))-19470.38))))</f>
        <v/>
      </c>
      <c r="E141" s="185">
        <f>A141-B141-D141</f>
        <v/>
      </c>
      <c r="F141" s="219">
        <f>MAX(0,A141-B141-'Plan-Annahmen'!$B$88*12-'Plan-Annahmen'!$B$102)</f>
        <v/>
      </c>
      <c r="G141" s="185">
        <f>IF(INT(MAX(0,F141))&lt;=12348,0,IF(INT(MAX(0,F141))&lt;=17799,(914.51*((INT(MAX(0,F141))-12348)/10000)+1400)*((INT(MAX(0,F141))-12348)/10000),IF(INT(MAX(0,F141))&lt;=69878,(173.1*((INT(MAX(0,F141))-17799)/10000)+2397)*((INT(MAX(0,F141))-17799)/10000)+1034.87,IF(INT(MAX(0,F141))&lt;=277825,0.42*INT(MAX(0,F141))-11135.63,0.45*INT(MAX(0,F141))-19470.38))))</f>
        <v/>
      </c>
      <c r="H141" s="185">
        <f>A141-B141-G141-'Plan-Annahmen'!$B$88*12</f>
        <v/>
      </c>
    </row>
    <row r="142" ht="15" customHeight="1" s="116">
      <c r="A142" s="221" t="n">
        <v>107000</v>
      </c>
      <c r="B142" s="219">
        <f>MIN(MAX(A142/12,'Plan-Annahmen'!$B$100),'Plan-Annahmen'!$B$101)*12*('Plan-Annahmen'!$B$97+'Plan-Annahmen'!$B$98+'Plan-Annahmen'!$B$99)</f>
        <v/>
      </c>
      <c r="C142" s="219">
        <f>MAX(0,A142-B142-'Plan-Annahmen'!$B$102)</f>
        <v/>
      </c>
      <c r="D142" s="185">
        <f>IF(INT(MAX(0,C142))&lt;=12348,0,IF(INT(MAX(0,C142))&lt;=17799,(914.51*((INT(MAX(0,C142))-12348)/10000)+1400)*((INT(MAX(0,C142))-12348)/10000),IF(INT(MAX(0,C142))&lt;=69878,(173.1*((INT(MAX(0,C142))-17799)/10000)+2397)*((INT(MAX(0,C142))-17799)/10000)+1034.87,IF(INT(MAX(0,C142))&lt;=277825,0.42*INT(MAX(0,C142))-11135.63,0.45*INT(MAX(0,C142))-19470.38))))</f>
        <v/>
      </c>
      <c r="E142" s="185">
        <f>A142-B142-D142</f>
        <v/>
      </c>
      <c r="F142" s="219">
        <f>MAX(0,A142-B142-'Plan-Annahmen'!$B$88*12-'Plan-Annahmen'!$B$102)</f>
        <v/>
      </c>
      <c r="G142" s="185">
        <f>IF(INT(MAX(0,F142))&lt;=12348,0,IF(INT(MAX(0,F142))&lt;=17799,(914.51*((INT(MAX(0,F142))-12348)/10000)+1400)*((INT(MAX(0,F142))-12348)/10000),IF(INT(MAX(0,F142))&lt;=69878,(173.1*((INT(MAX(0,F142))-17799)/10000)+2397)*((INT(MAX(0,F142))-17799)/10000)+1034.87,IF(INT(MAX(0,F142))&lt;=277825,0.42*INT(MAX(0,F142))-11135.63,0.45*INT(MAX(0,F142))-19470.38))))</f>
        <v/>
      </c>
      <c r="H142" s="185">
        <f>A142-B142-G142-'Plan-Annahmen'!$B$88*12</f>
        <v/>
      </c>
    </row>
    <row r="143" ht="15" customHeight="1" s="116">
      <c r="A143" s="221" t="n">
        <v>108000</v>
      </c>
      <c r="B143" s="219">
        <f>MIN(MAX(A143/12,'Plan-Annahmen'!$B$100),'Plan-Annahmen'!$B$101)*12*('Plan-Annahmen'!$B$97+'Plan-Annahmen'!$B$98+'Plan-Annahmen'!$B$99)</f>
        <v/>
      </c>
      <c r="C143" s="219">
        <f>MAX(0,A143-B143-'Plan-Annahmen'!$B$102)</f>
        <v/>
      </c>
      <c r="D143" s="185">
        <f>IF(INT(MAX(0,C143))&lt;=12348,0,IF(INT(MAX(0,C143))&lt;=17799,(914.51*((INT(MAX(0,C143))-12348)/10000)+1400)*((INT(MAX(0,C143))-12348)/10000),IF(INT(MAX(0,C143))&lt;=69878,(173.1*((INT(MAX(0,C143))-17799)/10000)+2397)*((INT(MAX(0,C143))-17799)/10000)+1034.87,IF(INT(MAX(0,C143))&lt;=277825,0.42*INT(MAX(0,C143))-11135.63,0.45*INT(MAX(0,C143))-19470.38))))</f>
        <v/>
      </c>
      <c r="E143" s="185">
        <f>A143-B143-D143</f>
        <v/>
      </c>
      <c r="F143" s="219">
        <f>MAX(0,A143-B143-'Plan-Annahmen'!$B$88*12-'Plan-Annahmen'!$B$102)</f>
        <v/>
      </c>
      <c r="G143" s="185">
        <f>IF(INT(MAX(0,F143))&lt;=12348,0,IF(INT(MAX(0,F143))&lt;=17799,(914.51*((INT(MAX(0,F143))-12348)/10000)+1400)*((INT(MAX(0,F143))-12348)/10000),IF(INT(MAX(0,F143))&lt;=69878,(173.1*((INT(MAX(0,F143))-17799)/10000)+2397)*((INT(MAX(0,F143))-17799)/10000)+1034.87,IF(INT(MAX(0,F143))&lt;=277825,0.42*INT(MAX(0,F143))-11135.63,0.45*INT(MAX(0,F143))-19470.38))))</f>
        <v/>
      </c>
      <c r="H143" s="185">
        <f>A143-B143-G143-'Plan-Annahmen'!$B$88*12</f>
        <v/>
      </c>
    </row>
    <row r="144" ht="15" customHeight="1" s="116">
      <c r="A144" s="221" t="n">
        <v>109000</v>
      </c>
      <c r="B144" s="219">
        <f>MIN(MAX(A144/12,'Plan-Annahmen'!$B$100),'Plan-Annahmen'!$B$101)*12*('Plan-Annahmen'!$B$97+'Plan-Annahmen'!$B$98+'Plan-Annahmen'!$B$99)</f>
        <v/>
      </c>
      <c r="C144" s="219">
        <f>MAX(0,A144-B144-'Plan-Annahmen'!$B$102)</f>
        <v/>
      </c>
      <c r="D144" s="185">
        <f>IF(INT(MAX(0,C144))&lt;=12348,0,IF(INT(MAX(0,C144))&lt;=17799,(914.51*((INT(MAX(0,C144))-12348)/10000)+1400)*((INT(MAX(0,C144))-12348)/10000),IF(INT(MAX(0,C144))&lt;=69878,(173.1*((INT(MAX(0,C144))-17799)/10000)+2397)*((INT(MAX(0,C144))-17799)/10000)+1034.87,IF(INT(MAX(0,C144))&lt;=277825,0.42*INT(MAX(0,C144))-11135.63,0.45*INT(MAX(0,C144))-19470.38))))</f>
        <v/>
      </c>
      <c r="E144" s="185">
        <f>A144-B144-D144</f>
        <v/>
      </c>
      <c r="F144" s="219">
        <f>MAX(0,A144-B144-'Plan-Annahmen'!$B$88*12-'Plan-Annahmen'!$B$102)</f>
        <v/>
      </c>
      <c r="G144" s="185">
        <f>IF(INT(MAX(0,F144))&lt;=12348,0,IF(INT(MAX(0,F144))&lt;=17799,(914.51*((INT(MAX(0,F144))-12348)/10000)+1400)*((INT(MAX(0,F144))-12348)/10000),IF(INT(MAX(0,F144))&lt;=69878,(173.1*((INT(MAX(0,F144))-17799)/10000)+2397)*((INT(MAX(0,F144))-17799)/10000)+1034.87,IF(INT(MAX(0,F144))&lt;=277825,0.42*INT(MAX(0,F144))-11135.63,0.45*INT(MAX(0,F144))-19470.38))))</f>
        <v/>
      </c>
      <c r="H144" s="185">
        <f>A144-B144-G144-'Plan-Annahmen'!$B$88*12</f>
        <v/>
      </c>
    </row>
    <row r="145" ht="15" customHeight="1" s="116">
      <c r="A145" s="221" t="n">
        <v>110000</v>
      </c>
      <c r="B145" s="219">
        <f>MIN(MAX(A145/12,'Plan-Annahmen'!$B$100),'Plan-Annahmen'!$B$101)*12*('Plan-Annahmen'!$B$97+'Plan-Annahmen'!$B$98+'Plan-Annahmen'!$B$99)</f>
        <v/>
      </c>
      <c r="C145" s="219">
        <f>MAX(0,A145-B145-'Plan-Annahmen'!$B$102)</f>
        <v/>
      </c>
      <c r="D145" s="185">
        <f>IF(INT(MAX(0,C145))&lt;=12348,0,IF(INT(MAX(0,C145))&lt;=17799,(914.51*((INT(MAX(0,C145))-12348)/10000)+1400)*((INT(MAX(0,C145))-12348)/10000),IF(INT(MAX(0,C145))&lt;=69878,(173.1*((INT(MAX(0,C145))-17799)/10000)+2397)*((INT(MAX(0,C145))-17799)/10000)+1034.87,IF(INT(MAX(0,C145))&lt;=277825,0.42*INT(MAX(0,C145))-11135.63,0.45*INT(MAX(0,C145))-19470.38))))</f>
        <v/>
      </c>
      <c r="E145" s="185">
        <f>A145-B145-D145</f>
        <v/>
      </c>
      <c r="F145" s="219">
        <f>MAX(0,A145-B145-'Plan-Annahmen'!$B$88*12-'Plan-Annahmen'!$B$102)</f>
        <v/>
      </c>
      <c r="G145" s="185">
        <f>IF(INT(MAX(0,F145))&lt;=12348,0,IF(INT(MAX(0,F145))&lt;=17799,(914.51*((INT(MAX(0,F145))-12348)/10000)+1400)*((INT(MAX(0,F145))-12348)/10000),IF(INT(MAX(0,F145))&lt;=69878,(173.1*((INT(MAX(0,F145))-17799)/10000)+2397)*((INT(MAX(0,F145))-17799)/10000)+1034.87,IF(INT(MAX(0,F145))&lt;=277825,0.42*INT(MAX(0,F145))-11135.63,0.45*INT(MAX(0,F145))-19470.38))))</f>
        <v/>
      </c>
      <c r="H145" s="185">
        <f>A145-B145-G145-'Plan-Annahmen'!$B$88*12</f>
        <v/>
      </c>
    </row>
    <row r="146" ht="15" customHeight="1" s="116">
      <c r="A146" s="221" t="n">
        <v>111000</v>
      </c>
      <c r="B146" s="219">
        <f>MIN(MAX(A146/12,'Plan-Annahmen'!$B$100),'Plan-Annahmen'!$B$101)*12*('Plan-Annahmen'!$B$97+'Plan-Annahmen'!$B$98+'Plan-Annahmen'!$B$99)</f>
        <v/>
      </c>
      <c r="C146" s="219">
        <f>MAX(0,A146-B146-'Plan-Annahmen'!$B$102)</f>
        <v/>
      </c>
      <c r="D146" s="185">
        <f>IF(INT(MAX(0,C146))&lt;=12348,0,IF(INT(MAX(0,C146))&lt;=17799,(914.51*((INT(MAX(0,C146))-12348)/10000)+1400)*((INT(MAX(0,C146))-12348)/10000),IF(INT(MAX(0,C146))&lt;=69878,(173.1*((INT(MAX(0,C146))-17799)/10000)+2397)*((INT(MAX(0,C146))-17799)/10000)+1034.87,IF(INT(MAX(0,C146))&lt;=277825,0.42*INT(MAX(0,C146))-11135.63,0.45*INT(MAX(0,C146))-19470.38))))</f>
        <v/>
      </c>
      <c r="E146" s="185">
        <f>A146-B146-D146</f>
        <v/>
      </c>
      <c r="F146" s="219">
        <f>MAX(0,A146-B146-'Plan-Annahmen'!$B$88*12-'Plan-Annahmen'!$B$102)</f>
        <v/>
      </c>
      <c r="G146" s="185">
        <f>IF(INT(MAX(0,F146))&lt;=12348,0,IF(INT(MAX(0,F146))&lt;=17799,(914.51*((INT(MAX(0,F146))-12348)/10000)+1400)*((INT(MAX(0,F146))-12348)/10000),IF(INT(MAX(0,F146))&lt;=69878,(173.1*((INT(MAX(0,F146))-17799)/10000)+2397)*((INT(MAX(0,F146))-17799)/10000)+1034.87,IF(INT(MAX(0,F146))&lt;=277825,0.42*INT(MAX(0,F146))-11135.63,0.45*INT(MAX(0,F146))-19470.38))))</f>
        <v/>
      </c>
      <c r="H146" s="185">
        <f>A146-B146-G146-'Plan-Annahmen'!$B$88*12</f>
        <v/>
      </c>
    </row>
    <row r="147" ht="15" customHeight="1" s="116">
      <c r="A147" s="221" t="n">
        <v>112000</v>
      </c>
      <c r="B147" s="219">
        <f>MIN(MAX(A147/12,'Plan-Annahmen'!$B$100),'Plan-Annahmen'!$B$101)*12*('Plan-Annahmen'!$B$97+'Plan-Annahmen'!$B$98+'Plan-Annahmen'!$B$99)</f>
        <v/>
      </c>
      <c r="C147" s="219">
        <f>MAX(0,A147-B147-'Plan-Annahmen'!$B$102)</f>
        <v/>
      </c>
      <c r="D147" s="185">
        <f>IF(INT(MAX(0,C147))&lt;=12348,0,IF(INT(MAX(0,C147))&lt;=17799,(914.51*((INT(MAX(0,C147))-12348)/10000)+1400)*((INT(MAX(0,C147))-12348)/10000),IF(INT(MAX(0,C147))&lt;=69878,(173.1*((INT(MAX(0,C147))-17799)/10000)+2397)*((INT(MAX(0,C147))-17799)/10000)+1034.87,IF(INT(MAX(0,C147))&lt;=277825,0.42*INT(MAX(0,C147))-11135.63,0.45*INT(MAX(0,C147))-19470.38))))</f>
        <v/>
      </c>
      <c r="E147" s="185">
        <f>A147-B147-D147</f>
        <v/>
      </c>
      <c r="F147" s="219">
        <f>MAX(0,A147-B147-'Plan-Annahmen'!$B$88*12-'Plan-Annahmen'!$B$102)</f>
        <v/>
      </c>
      <c r="G147" s="185">
        <f>IF(INT(MAX(0,F147))&lt;=12348,0,IF(INT(MAX(0,F147))&lt;=17799,(914.51*((INT(MAX(0,F147))-12348)/10000)+1400)*((INT(MAX(0,F147))-12348)/10000),IF(INT(MAX(0,F147))&lt;=69878,(173.1*((INT(MAX(0,F147))-17799)/10000)+2397)*((INT(MAX(0,F147))-17799)/10000)+1034.87,IF(INT(MAX(0,F147))&lt;=277825,0.42*INT(MAX(0,F147))-11135.63,0.45*INT(MAX(0,F147))-19470.38))))</f>
        <v/>
      </c>
      <c r="H147" s="185">
        <f>A147-B147-G147-'Plan-Annahmen'!$B$88*12</f>
        <v/>
      </c>
    </row>
    <row r="148" ht="15" customHeight="1" s="116">
      <c r="A148" s="221" t="n">
        <v>113000</v>
      </c>
      <c r="B148" s="219">
        <f>MIN(MAX(A148/12,'Plan-Annahmen'!$B$100),'Plan-Annahmen'!$B$101)*12*('Plan-Annahmen'!$B$97+'Plan-Annahmen'!$B$98+'Plan-Annahmen'!$B$99)</f>
        <v/>
      </c>
      <c r="C148" s="219">
        <f>MAX(0,A148-B148-'Plan-Annahmen'!$B$102)</f>
        <v/>
      </c>
      <c r="D148" s="185">
        <f>IF(INT(MAX(0,C148))&lt;=12348,0,IF(INT(MAX(0,C148))&lt;=17799,(914.51*((INT(MAX(0,C148))-12348)/10000)+1400)*((INT(MAX(0,C148))-12348)/10000),IF(INT(MAX(0,C148))&lt;=69878,(173.1*((INT(MAX(0,C148))-17799)/10000)+2397)*((INT(MAX(0,C148))-17799)/10000)+1034.87,IF(INT(MAX(0,C148))&lt;=277825,0.42*INT(MAX(0,C148))-11135.63,0.45*INT(MAX(0,C148))-19470.38))))</f>
        <v/>
      </c>
      <c r="E148" s="185">
        <f>A148-B148-D148</f>
        <v/>
      </c>
      <c r="F148" s="219">
        <f>MAX(0,A148-B148-'Plan-Annahmen'!$B$88*12-'Plan-Annahmen'!$B$102)</f>
        <v/>
      </c>
      <c r="G148" s="185">
        <f>IF(INT(MAX(0,F148))&lt;=12348,0,IF(INT(MAX(0,F148))&lt;=17799,(914.51*((INT(MAX(0,F148))-12348)/10000)+1400)*((INT(MAX(0,F148))-12348)/10000),IF(INT(MAX(0,F148))&lt;=69878,(173.1*((INT(MAX(0,F148))-17799)/10000)+2397)*((INT(MAX(0,F148))-17799)/10000)+1034.87,IF(INT(MAX(0,F148))&lt;=277825,0.42*INT(MAX(0,F148))-11135.63,0.45*INT(MAX(0,F148))-19470.38))))</f>
        <v/>
      </c>
      <c r="H148" s="185">
        <f>A148-B148-G148-'Plan-Annahmen'!$B$88*12</f>
        <v/>
      </c>
    </row>
    <row r="149" ht="15" customHeight="1" s="116">
      <c r="A149" s="221" t="n">
        <v>114000</v>
      </c>
      <c r="B149" s="219">
        <f>MIN(MAX(A149/12,'Plan-Annahmen'!$B$100),'Plan-Annahmen'!$B$101)*12*('Plan-Annahmen'!$B$97+'Plan-Annahmen'!$B$98+'Plan-Annahmen'!$B$99)</f>
        <v/>
      </c>
      <c r="C149" s="219">
        <f>MAX(0,A149-B149-'Plan-Annahmen'!$B$102)</f>
        <v/>
      </c>
      <c r="D149" s="185">
        <f>IF(INT(MAX(0,C149))&lt;=12348,0,IF(INT(MAX(0,C149))&lt;=17799,(914.51*((INT(MAX(0,C149))-12348)/10000)+1400)*((INT(MAX(0,C149))-12348)/10000),IF(INT(MAX(0,C149))&lt;=69878,(173.1*((INT(MAX(0,C149))-17799)/10000)+2397)*((INT(MAX(0,C149))-17799)/10000)+1034.87,IF(INT(MAX(0,C149))&lt;=277825,0.42*INT(MAX(0,C149))-11135.63,0.45*INT(MAX(0,C149))-19470.38))))</f>
        <v/>
      </c>
      <c r="E149" s="185">
        <f>A149-B149-D149</f>
        <v/>
      </c>
      <c r="F149" s="219">
        <f>MAX(0,A149-B149-'Plan-Annahmen'!$B$88*12-'Plan-Annahmen'!$B$102)</f>
        <v/>
      </c>
      <c r="G149" s="185">
        <f>IF(INT(MAX(0,F149))&lt;=12348,0,IF(INT(MAX(0,F149))&lt;=17799,(914.51*((INT(MAX(0,F149))-12348)/10000)+1400)*((INT(MAX(0,F149))-12348)/10000),IF(INT(MAX(0,F149))&lt;=69878,(173.1*((INT(MAX(0,F149))-17799)/10000)+2397)*((INT(MAX(0,F149))-17799)/10000)+1034.87,IF(INT(MAX(0,F149))&lt;=277825,0.42*INT(MAX(0,F149))-11135.63,0.45*INT(MAX(0,F149))-19470.38))))</f>
        <v/>
      </c>
      <c r="H149" s="185">
        <f>A149-B149-G149-'Plan-Annahmen'!$B$88*12</f>
        <v/>
      </c>
    </row>
    <row r="150" ht="15" customHeight="1" s="116">
      <c r="A150" s="221" t="n">
        <v>115000</v>
      </c>
      <c r="B150" s="219">
        <f>MIN(MAX(A150/12,'Plan-Annahmen'!$B$100),'Plan-Annahmen'!$B$101)*12*('Plan-Annahmen'!$B$97+'Plan-Annahmen'!$B$98+'Plan-Annahmen'!$B$99)</f>
        <v/>
      </c>
      <c r="C150" s="219">
        <f>MAX(0,A150-B150-'Plan-Annahmen'!$B$102)</f>
        <v/>
      </c>
      <c r="D150" s="185">
        <f>IF(INT(MAX(0,C150))&lt;=12348,0,IF(INT(MAX(0,C150))&lt;=17799,(914.51*((INT(MAX(0,C150))-12348)/10000)+1400)*((INT(MAX(0,C150))-12348)/10000),IF(INT(MAX(0,C150))&lt;=69878,(173.1*((INT(MAX(0,C150))-17799)/10000)+2397)*((INT(MAX(0,C150))-17799)/10000)+1034.87,IF(INT(MAX(0,C150))&lt;=277825,0.42*INT(MAX(0,C150))-11135.63,0.45*INT(MAX(0,C150))-19470.38))))</f>
        <v/>
      </c>
      <c r="E150" s="185">
        <f>A150-B150-D150</f>
        <v/>
      </c>
      <c r="F150" s="219">
        <f>MAX(0,A150-B150-'Plan-Annahmen'!$B$88*12-'Plan-Annahmen'!$B$102)</f>
        <v/>
      </c>
      <c r="G150" s="185">
        <f>IF(INT(MAX(0,F150))&lt;=12348,0,IF(INT(MAX(0,F150))&lt;=17799,(914.51*((INT(MAX(0,F150))-12348)/10000)+1400)*((INT(MAX(0,F150))-12348)/10000),IF(INT(MAX(0,F150))&lt;=69878,(173.1*((INT(MAX(0,F150))-17799)/10000)+2397)*((INT(MAX(0,F150))-17799)/10000)+1034.87,IF(INT(MAX(0,F150))&lt;=277825,0.42*INT(MAX(0,F150))-11135.63,0.45*INT(MAX(0,F150))-19470.38))))</f>
        <v/>
      </c>
      <c r="H150" s="185">
        <f>A150-B150-G150-'Plan-Annahmen'!$B$88*12</f>
        <v/>
      </c>
    </row>
    <row r="151" ht="15" customHeight="1" s="116">
      <c r="A151" s="221" t="n">
        <v>116000</v>
      </c>
      <c r="B151" s="219">
        <f>MIN(MAX(A151/12,'Plan-Annahmen'!$B$100),'Plan-Annahmen'!$B$101)*12*('Plan-Annahmen'!$B$97+'Plan-Annahmen'!$B$98+'Plan-Annahmen'!$B$99)</f>
        <v/>
      </c>
      <c r="C151" s="219">
        <f>MAX(0,A151-B151-'Plan-Annahmen'!$B$102)</f>
        <v/>
      </c>
      <c r="D151" s="185">
        <f>IF(INT(MAX(0,C151))&lt;=12348,0,IF(INT(MAX(0,C151))&lt;=17799,(914.51*((INT(MAX(0,C151))-12348)/10000)+1400)*((INT(MAX(0,C151))-12348)/10000),IF(INT(MAX(0,C151))&lt;=69878,(173.1*((INT(MAX(0,C151))-17799)/10000)+2397)*((INT(MAX(0,C151))-17799)/10000)+1034.87,IF(INT(MAX(0,C151))&lt;=277825,0.42*INT(MAX(0,C151))-11135.63,0.45*INT(MAX(0,C151))-19470.38))))</f>
        <v/>
      </c>
      <c r="E151" s="185">
        <f>A151-B151-D151</f>
        <v/>
      </c>
      <c r="F151" s="219">
        <f>MAX(0,A151-B151-'Plan-Annahmen'!$B$88*12-'Plan-Annahmen'!$B$102)</f>
        <v/>
      </c>
      <c r="G151" s="185">
        <f>IF(INT(MAX(0,F151))&lt;=12348,0,IF(INT(MAX(0,F151))&lt;=17799,(914.51*((INT(MAX(0,F151))-12348)/10000)+1400)*((INT(MAX(0,F151))-12348)/10000),IF(INT(MAX(0,F151))&lt;=69878,(173.1*((INT(MAX(0,F151))-17799)/10000)+2397)*((INT(MAX(0,F151))-17799)/10000)+1034.87,IF(INT(MAX(0,F151))&lt;=277825,0.42*INT(MAX(0,F151))-11135.63,0.45*INT(MAX(0,F151))-19470.38))))</f>
        <v/>
      </c>
      <c r="H151" s="185">
        <f>A151-B151-G151-'Plan-Annahmen'!$B$88*12</f>
        <v/>
      </c>
    </row>
    <row r="152" ht="15" customHeight="1" s="116">
      <c r="A152" s="221" t="n">
        <v>117000</v>
      </c>
      <c r="B152" s="219">
        <f>MIN(MAX(A152/12,'Plan-Annahmen'!$B$100),'Plan-Annahmen'!$B$101)*12*('Plan-Annahmen'!$B$97+'Plan-Annahmen'!$B$98+'Plan-Annahmen'!$B$99)</f>
        <v/>
      </c>
      <c r="C152" s="219">
        <f>MAX(0,A152-B152-'Plan-Annahmen'!$B$102)</f>
        <v/>
      </c>
      <c r="D152" s="185">
        <f>IF(INT(MAX(0,C152))&lt;=12348,0,IF(INT(MAX(0,C152))&lt;=17799,(914.51*((INT(MAX(0,C152))-12348)/10000)+1400)*((INT(MAX(0,C152))-12348)/10000),IF(INT(MAX(0,C152))&lt;=69878,(173.1*((INT(MAX(0,C152))-17799)/10000)+2397)*((INT(MAX(0,C152))-17799)/10000)+1034.87,IF(INT(MAX(0,C152))&lt;=277825,0.42*INT(MAX(0,C152))-11135.63,0.45*INT(MAX(0,C152))-19470.38))))</f>
        <v/>
      </c>
      <c r="E152" s="185">
        <f>A152-B152-D152</f>
        <v/>
      </c>
      <c r="F152" s="219">
        <f>MAX(0,A152-B152-'Plan-Annahmen'!$B$88*12-'Plan-Annahmen'!$B$102)</f>
        <v/>
      </c>
      <c r="G152" s="185">
        <f>IF(INT(MAX(0,F152))&lt;=12348,0,IF(INT(MAX(0,F152))&lt;=17799,(914.51*((INT(MAX(0,F152))-12348)/10000)+1400)*((INT(MAX(0,F152))-12348)/10000),IF(INT(MAX(0,F152))&lt;=69878,(173.1*((INT(MAX(0,F152))-17799)/10000)+2397)*((INT(MAX(0,F152))-17799)/10000)+1034.87,IF(INT(MAX(0,F152))&lt;=277825,0.42*INT(MAX(0,F152))-11135.63,0.45*INT(MAX(0,F152))-19470.38))))</f>
        <v/>
      </c>
      <c r="H152" s="185">
        <f>A152-B152-G152-'Plan-Annahmen'!$B$88*12</f>
        <v/>
      </c>
    </row>
    <row r="153" ht="15" customHeight="1" s="116">
      <c r="A153" s="221" t="n">
        <v>118000</v>
      </c>
      <c r="B153" s="219">
        <f>MIN(MAX(A153/12,'Plan-Annahmen'!$B$100),'Plan-Annahmen'!$B$101)*12*('Plan-Annahmen'!$B$97+'Plan-Annahmen'!$B$98+'Plan-Annahmen'!$B$99)</f>
        <v/>
      </c>
      <c r="C153" s="219">
        <f>MAX(0,A153-B153-'Plan-Annahmen'!$B$102)</f>
        <v/>
      </c>
      <c r="D153" s="185">
        <f>IF(INT(MAX(0,C153))&lt;=12348,0,IF(INT(MAX(0,C153))&lt;=17799,(914.51*((INT(MAX(0,C153))-12348)/10000)+1400)*((INT(MAX(0,C153))-12348)/10000),IF(INT(MAX(0,C153))&lt;=69878,(173.1*((INT(MAX(0,C153))-17799)/10000)+2397)*((INT(MAX(0,C153))-17799)/10000)+1034.87,IF(INT(MAX(0,C153))&lt;=277825,0.42*INT(MAX(0,C153))-11135.63,0.45*INT(MAX(0,C153))-19470.38))))</f>
        <v/>
      </c>
      <c r="E153" s="185">
        <f>A153-B153-D153</f>
        <v/>
      </c>
      <c r="F153" s="219">
        <f>MAX(0,A153-B153-'Plan-Annahmen'!$B$88*12-'Plan-Annahmen'!$B$102)</f>
        <v/>
      </c>
      <c r="G153" s="185">
        <f>IF(INT(MAX(0,F153))&lt;=12348,0,IF(INT(MAX(0,F153))&lt;=17799,(914.51*((INT(MAX(0,F153))-12348)/10000)+1400)*((INT(MAX(0,F153))-12348)/10000),IF(INT(MAX(0,F153))&lt;=69878,(173.1*((INT(MAX(0,F153))-17799)/10000)+2397)*((INT(MAX(0,F153))-17799)/10000)+1034.87,IF(INT(MAX(0,F153))&lt;=277825,0.42*INT(MAX(0,F153))-11135.63,0.45*INT(MAX(0,F153))-19470.38))))</f>
        <v/>
      </c>
      <c r="H153" s="185">
        <f>A153-B153-G153-'Plan-Annahmen'!$B$88*12</f>
        <v/>
      </c>
    </row>
    <row r="154" ht="15" customHeight="1" s="116">
      <c r="A154" s="221" t="n">
        <v>119000</v>
      </c>
      <c r="B154" s="219">
        <f>MIN(MAX(A154/12,'Plan-Annahmen'!$B$100),'Plan-Annahmen'!$B$101)*12*('Plan-Annahmen'!$B$97+'Plan-Annahmen'!$B$98+'Plan-Annahmen'!$B$99)</f>
        <v/>
      </c>
      <c r="C154" s="219">
        <f>MAX(0,A154-B154-'Plan-Annahmen'!$B$102)</f>
        <v/>
      </c>
      <c r="D154" s="185">
        <f>IF(INT(MAX(0,C154))&lt;=12348,0,IF(INT(MAX(0,C154))&lt;=17799,(914.51*((INT(MAX(0,C154))-12348)/10000)+1400)*((INT(MAX(0,C154))-12348)/10000),IF(INT(MAX(0,C154))&lt;=69878,(173.1*((INT(MAX(0,C154))-17799)/10000)+2397)*((INT(MAX(0,C154))-17799)/10000)+1034.87,IF(INT(MAX(0,C154))&lt;=277825,0.42*INT(MAX(0,C154))-11135.63,0.45*INT(MAX(0,C154))-19470.38))))</f>
        <v/>
      </c>
      <c r="E154" s="185">
        <f>A154-B154-D154</f>
        <v/>
      </c>
      <c r="F154" s="219">
        <f>MAX(0,A154-B154-'Plan-Annahmen'!$B$88*12-'Plan-Annahmen'!$B$102)</f>
        <v/>
      </c>
      <c r="G154" s="185">
        <f>IF(INT(MAX(0,F154))&lt;=12348,0,IF(INT(MAX(0,F154))&lt;=17799,(914.51*((INT(MAX(0,F154))-12348)/10000)+1400)*((INT(MAX(0,F154))-12348)/10000),IF(INT(MAX(0,F154))&lt;=69878,(173.1*((INT(MAX(0,F154))-17799)/10000)+2397)*((INT(MAX(0,F154))-17799)/10000)+1034.87,IF(INT(MAX(0,F154))&lt;=277825,0.42*INT(MAX(0,F154))-11135.63,0.45*INT(MAX(0,F154))-19470.38))))</f>
        <v/>
      </c>
      <c r="H154" s="185">
        <f>A154-B154-G154-'Plan-Annahmen'!$B$88*12</f>
        <v/>
      </c>
    </row>
    <row r="155" ht="15" customHeight="1" s="116">
      <c r="A155" s="221" t="n">
        <v>120000</v>
      </c>
      <c r="B155" s="219">
        <f>MIN(MAX(A155/12,'Plan-Annahmen'!$B$100),'Plan-Annahmen'!$B$101)*12*('Plan-Annahmen'!$B$97+'Plan-Annahmen'!$B$98+'Plan-Annahmen'!$B$99)</f>
        <v/>
      </c>
      <c r="C155" s="219">
        <f>MAX(0,A155-B155-'Plan-Annahmen'!$B$102)</f>
        <v/>
      </c>
      <c r="D155" s="185">
        <f>IF(INT(MAX(0,C155))&lt;=12348,0,IF(INT(MAX(0,C155))&lt;=17799,(914.51*((INT(MAX(0,C155))-12348)/10000)+1400)*((INT(MAX(0,C155))-12348)/10000),IF(INT(MAX(0,C155))&lt;=69878,(173.1*((INT(MAX(0,C155))-17799)/10000)+2397)*((INT(MAX(0,C155))-17799)/10000)+1034.87,IF(INT(MAX(0,C155))&lt;=277825,0.42*INT(MAX(0,C155))-11135.63,0.45*INT(MAX(0,C155))-19470.38))))</f>
        <v/>
      </c>
      <c r="E155" s="185">
        <f>A155-B155-D155</f>
        <v/>
      </c>
      <c r="F155" s="219">
        <f>MAX(0,A155-B155-'Plan-Annahmen'!$B$88*12-'Plan-Annahmen'!$B$102)</f>
        <v/>
      </c>
      <c r="G155" s="185">
        <f>IF(INT(MAX(0,F155))&lt;=12348,0,IF(INT(MAX(0,F155))&lt;=17799,(914.51*((INT(MAX(0,F155))-12348)/10000)+1400)*((INT(MAX(0,F155))-12348)/10000),IF(INT(MAX(0,F155))&lt;=69878,(173.1*((INT(MAX(0,F155))-17799)/10000)+2397)*((INT(MAX(0,F155))-17799)/10000)+1034.87,IF(INT(MAX(0,F155))&lt;=277825,0.42*INT(MAX(0,F155))-11135.63,0.45*INT(MAX(0,F155))-19470.38))))</f>
        <v/>
      </c>
      <c r="H155" s="185">
        <f>A155-B155-G155-'Plan-Annahmen'!$B$88*12</f>
        <v/>
      </c>
    </row>
    <row r="156" ht="15" customHeight="1" s="116">
      <c r="A156" s="221" t="n">
        <v>121000</v>
      </c>
      <c r="B156" s="219">
        <f>MIN(MAX(A156/12,'Plan-Annahmen'!$B$100),'Plan-Annahmen'!$B$101)*12*('Plan-Annahmen'!$B$97+'Plan-Annahmen'!$B$98+'Plan-Annahmen'!$B$99)</f>
        <v/>
      </c>
      <c r="C156" s="219">
        <f>MAX(0,A156-B156-'Plan-Annahmen'!$B$102)</f>
        <v/>
      </c>
      <c r="D156" s="185">
        <f>IF(INT(MAX(0,C156))&lt;=12348,0,IF(INT(MAX(0,C156))&lt;=17799,(914.51*((INT(MAX(0,C156))-12348)/10000)+1400)*((INT(MAX(0,C156))-12348)/10000),IF(INT(MAX(0,C156))&lt;=69878,(173.1*((INT(MAX(0,C156))-17799)/10000)+2397)*((INT(MAX(0,C156))-17799)/10000)+1034.87,IF(INT(MAX(0,C156))&lt;=277825,0.42*INT(MAX(0,C156))-11135.63,0.45*INT(MAX(0,C156))-19470.38))))</f>
        <v/>
      </c>
      <c r="E156" s="185">
        <f>A156-B156-D156</f>
        <v/>
      </c>
      <c r="F156" s="219">
        <f>MAX(0,A156-B156-'Plan-Annahmen'!$B$88*12-'Plan-Annahmen'!$B$102)</f>
        <v/>
      </c>
      <c r="G156" s="185">
        <f>IF(INT(MAX(0,F156))&lt;=12348,0,IF(INT(MAX(0,F156))&lt;=17799,(914.51*((INT(MAX(0,F156))-12348)/10000)+1400)*((INT(MAX(0,F156))-12348)/10000),IF(INT(MAX(0,F156))&lt;=69878,(173.1*((INT(MAX(0,F156))-17799)/10000)+2397)*((INT(MAX(0,F156))-17799)/10000)+1034.87,IF(INT(MAX(0,F156))&lt;=277825,0.42*INT(MAX(0,F156))-11135.63,0.45*INT(MAX(0,F156))-19470.38))))</f>
        <v/>
      </c>
      <c r="H156" s="185">
        <f>A156-B156-G156-'Plan-Annahmen'!$B$88*12</f>
        <v/>
      </c>
    </row>
    <row r="157" ht="15" customHeight="1" s="116">
      <c r="A157" s="221" t="n">
        <v>122000</v>
      </c>
      <c r="B157" s="219">
        <f>MIN(MAX(A157/12,'Plan-Annahmen'!$B$100),'Plan-Annahmen'!$B$101)*12*('Plan-Annahmen'!$B$97+'Plan-Annahmen'!$B$98+'Plan-Annahmen'!$B$99)</f>
        <v/>
      </c>
      <c r="C157" s="219">
        <f>MAX(0,A157-B157-'Plan-Annahmen'!$B$102)</f>
        <v/>
      </c>
      <c r="D157" s="185">
        <f>IF(INT(MAX(0,C157))&lt;=12348,0,IF(INT(MAX(0,C157))&lt;=17799,(914.51*((INT(MAX(0,C157))-12348)/10000)+1400)*((INT(MAX(0,C157))-12348)/10000),IF(INT(MAX(0,C157))&lt;=69878,(173.1*((INT(MAX(0,C157))-17799)/10000)+2397)*((INT(MAX(0,C157))-17799)/10000)+1034.87,IF(INT(MAX(0,C157))&lt;=277825,0.42*INT(MAX(0,C157))-11135.63,0.45*INT(MAX(0,C157))-19470.38))))</f>
        <v/>
      </c>
      <c r="E157" s="185">
        <f>A157-B157-D157</f>
        <v/>
      </c>
      <c r="F157" s="219">
        <f>MAX(0,A157-B157-'Plan-Annahmen'!$B$88*12-'Plan-Annahmen'!$B$102)</f>
        <v/>
      </c>
      <c r="G157" s="185">
        <f>IF(INT(MAX(0,F157))&lt;=12348,0,IF(INT(MAX(0,F157))&lt;=17799,(914.51*((INT(MAX(0,F157))-12348)/10000)+1400)*((INT(MAX(0,F157))-12348)/10000),IF(INT(MAX(0,F157))&lt;=69878,(173.1*((INT(MAX(0,F157))-17799)/10000)+2397)*((INT(MAX(0,F157))-17799)/10000)+1034.87,IF(INT(MAX(0,F157))&lt;=277825,0.42*INT(MAX(0,F157))-11135.63,0.45*INT(MAX(0,F157))-19470.38))))</f>
        <v/>
      </c>
      <c r="H157" s="185">
        <f>A157-B157-G157-'Plan-Annahmen'!$B$88*12</f>
        <v/>
      </c>
    </row>
    <row r="158" ht="15" customHeight="1" s="116">
      <c r="A158" s="221" t="n">
        <v>123000</v>
      </c>
      <c r="B158" s="219">
        <f>MIN(MAX(A158/12,'Plan-Annahmen'!$B$100),'Plan-Annahmen'!$B$101)*12*('Plan-Annahmen'!$B$97+'Plan-Annahmen'!$B$98+'Plan-Annahmen'!$B$99)</f>
        <v/>
      </c>
      <c r="C158" s="219">
        <f>MAX(0,A158-B158-'Plan-Annahmen'!$B$102)</f>
        <v/>
      </c>
      <c r="D158" s="185">
        <f>IF(INT(MAX(0,C158))&lt;=12348,0,IF(INT(MAX(0,C158))&lt;=17799,(914.51*((INT(MAX(0,C158))-12348)/10000)+1400)*((INT(MAX(0,C158))-12348)/10000),IF(INT(MAX(0,C158))&lt;=69878,(173.1*((INT(MAX(0,C158))-17799)/10000)+2397)*((INT(MAX(0,C158))-17799)/10000)+1034.87,IF(INT(MAX(0,C158))&lt;=277825,0.42*INT(MAX(0,C158))-11135.63,0.45*INT(MAX(0,C158))-19470.38))))</f>
        <v/>
      </c>
      <c r="E158" s="185">
        <f>A158-B158-D158</f>
        <v/>
      </c>
      <c r="F158" s="219">
        <f>MAX(0,A158-B158-'Plan-Annahmen'!$B$88*12-'Plan-Annahmen'!$B$102)</f>
        <v/>
      </c>
      <c r="G158" s="185">
        <f>IF(INT(MAX(0,F158))&lt;=12348,0,IF(INT(MAX(0,F158))&lt;=17799,(914.51*((INT(MAX(0,F158))-12348)/10000)+1400)*((INT(MAX(0,F158))-12348)/10000),IF(INT(MAX(0,F158))&lt;=69878,(173.1*((INT(MAX(0,F158))-17799)/10000)+2397)*((INT(MAX(0,F158))-17799)/10000)+1034.87,IF(INT(MAX(0,F158))&lt;=277825,0.42*INT(MAX(0,F158))-11135.63,0.45*INT(MAX(0,F158))-19470.38))))</f>
        <v/>
      </c>
      <c r="H158" s="185">
        <f>A158-B158-G158-'Plan-Annahmen'!$B$88*12</f>
        <v/>
      </c>
    </row>
    <row r="159" ht="15" customHeight="1" s="116">
      <c r="A159" s="221" t="n">
        <v>124000</v>
      </c>
      <c r="B159" s="219">
        <f>MIN(MAX(A159/12,'Plan-Annahmen'!$B$100),'Plan-Annahmen'!$B$101)*12*('Plan-Annahmen'!$B$97+'Plan-Annahmen'!$B$98+'Plan-Annahmen'!$B$99)</f>
        <v/>
      </c>
      <c r="C159" s="219">
        <f>MAX(0,A159-B159-'Plan-Annahmen'!$B$102)</f>
        <v/>
      </c>
      <c r="D159" s="185">
        <f>IF(INT(MAX(0,C159))&lt;=12348,0,IF(INT(MAX(0,C159))&lt;=17799,(914.51*((INT(MAX(0,C159))-12348)/10000)+1400)*((INT(MAX(0,C159))-12348)/10000),IF(INT(MAX(0,C159))&lt;=69878,(173.1*((INT(MAX(0,C159))-17799)/10000)+2397)*((INT(MAX(0,C159))-17799)/10000)+1034.87,IF(INT(MAX(0,C159))&lt;=277825,0.42*INT(MAX(0,C159))-11135.63,0.45*INT(MAX(0,C159))-19470.38))))</f>
        <v/>
      </c>
      <c r="E159" s="185">
        <f>A159-B159-D159</f>
        <v/>
      </c>
      <c r="F159" s="219">
        <f>MAX(0,A159-B159-'Plan-Annahmen'!$B$88*12-'Plan-Annahmen'!$B$102)</f>
        <v/>
      </c>
      <c r="G159" s="185">
        <f>IF(INT(MAX(0,F159))&lt;=12348,0,IF(INT(MAX(0,F159))&lt;=17799,(914.51*((INT(MAX(0,F159))-12348)/10000)+1400)*((INT(MAX(0,F159))-12348)/10000),IF(INT(MAX(0,F159))&lt;=69878,(173.1*((INT(MAX(0,F159))-17799)/10000)+2397)*((INT(MAX(0,F159))-17799)/10000)+1034.87,IF(INT(MAX(0,F159))&lt;=277825,0.42*INT(MAX(0,F159))-11135.63,0.45*INT(MAX(0,F159))-19470.38))))</f>
        <v/>
      </c>
      <c r="H159" s="185">
        <f>A159-B159-G159-'Plan-Annahmen'!$B$88*12</f>
        <v/>
      </c>
    </row>
    <row r="160" ht="15" customHeight="1" s="116">
      <c r="A160" s="221" t="n">
        <v>125000</v>
      </c>
      <c r="B160" s="219">
        <f>MIN(MAX(A160/12,'Plan-Annahmen'!$B$100),'Plan-Annahmen'!$B$101)*12*('Plan-Annahmen'!$B$97+'Plan-Annahmen'!$B$98+'Plan-Annahmen'!$B$99)</f>
        <v/>
      </c>
      <c r="C160" s="219">
        <f>MAX(0,A160-B160-'Plan-Annahmen'!$B$102)</f>
        <v/>
      </c>
      <c r="D160" s="185">
        <f>IF(INT(MAX(0,C160))&lt;=12348,0,IF(INT(MAX(0,C160))&lt;=17799,(914.51*((INT(MAX(0,C160))-12348)/10000)+1400)*((INT(MAX(0,C160))-12348)/10000),IF(INT(MAX(0,C160))&lt;=69878,(173.1*((INT(MAX(0,C160))-17799)/10000)+2397)*((INT(MAX(0,C160))-17799)/10000)+1034.87,IF(INT(MAX(0,C160))&lt;=277825,0.42*INT(MAX(0,C160))-11135.63,0.45*INT(MAX(0,C160))-19470.38))))</f>
        <v/>
      </c>
      <c r="E160" s="185">
        <f>A160-B160-D160</f>
        <v/>
      </c>
      <c r="F160" s="219">
        <f>MAX(0,A160-B160-'Plan-Annahmen'!$B$88*12-'Plan-Annahmen'!$B$102)</f>
        <v/>
      </c>
      <c r="G160" s="185">
        <f>IF(INT(MAX(0,F160))&lt;=12348,0,IF(INT(MAX(0,F160))&lt;=17799,(914.51*((INT(MAX(0,F160))-12348)/10000)+1400)*((INT(MAX(0,F160))-12348)/10000),IF(INT(MAX(0,F160))&lt;=69878,(173.1*((INT(MAX(0,F160))-17799)/10000)+2397)*((INT(MAX(0,F160))-17799)/10000)+1034.87,IF(INT(MAX(0,F160))&lt;=277825,0.42*INT(MAX(0,F160))-11135.63,0.45*INT(MAX(0,F160))-19470.38))))</f>
        <v/>
      </c>
      <c r="H160" s="185">
        <f>A160-B160-G160-'Plan-Annahmen'!$B$88*12</f>
        <v/>
      </c>
    </row>
    <row r="161" ht="15" customHeight="1" s="116">
      <c r="A161" s="221" t="n">
        <v>126000</v>
      </c>
      <c r="B161" s="219">
        <f>MIN(MAX(A161/12,'Plan-Annahmen'!$B$100),'Plan-Annahmen'!$B$101)*12*('Plan-Annahmen'!$B$97+'Plan-Annahmen'!$B$98+'Plan-Annahmen'!$B$99)</f>
        <v/>
      </c>
      <c r="C161" s="219">
        <f>MAX(0,A161-B161-'Plan-Annahmen'!$B$102)</f>
        <v/>
      </c>
      <c r="D161" s="185">
        <f>IF(INT(MAX(0,C161))&lt;=12348,0,IF(INT(MAX(0,C161))&lt;=17799,(914.51*((INT(MAX(0,C161))-12348)/10000)+1400)*((INT(MAX(0,C161))-12348)/10000),IF(INT(MAX(0,C161))&lt;=69878,(173.1*((INT(MAX(0,C161))-17799)/10000)+2397)*((INT(MAX(0,C161))-17799)/10000)+1034.87,IF(INT(MAX(0,C161))&lt;=277825,0.42*INT(MAX(0,C161))-11135.63,0.45*INT(MAX(0,C161))-19470.38))))</f>
        <v/>
      </c>
      <c r="E161" s="185">
        <f>A161-B161-D161</f>
        <v/>
      </c>
      <c r="F161" s="219">
        <f>MAX(0,A161-B161-'Plan-Annahmen'!$B$88*12-'Plan-Annahmen'!$B$102)</f>
        <v/>
      </c>
      <c r="G161" s="185">
        <f>IF(INT(MAX(0,F161))&lt;=12348,0,IF(INT(MAX(0,F161))&lt;=17799,(914.51*((INT(MAX(0,F161))-12348)/10000)+1400)*((INT(MAX(0,F161))-12348)/10000),IF(INT(MAX(0,F161))&lt;=69878,(173.1*((INT(MAX(0,F161))-17799)/10000)+2397)*((INT(MAX(0,F161))-17799)/10000)+1034.87,IF(INT(MAX(0,F161))&lt;=277825,0.42*INT(MAX(0,F161))-11135.63,0.45*INT(MAX(0,F161))-19470.38))))</f>
        <v/>
      </c>
      <c r="H161" s="185">
        <f>A161-B161-G161-'Plan-Annahmen'!$B$88*12</f>
        <v/>
      </c>
    </row>
    <row r="162" ht="15" customHeight="1" s="116">
      <c r="A162" s="221" t="n">
        <v>127000</v>
      </c>
      <c r="B162" s="219">
        <f>MIN(MAX(A162/12,'Plan-Annahmen'!$B$100),'Plan-Annahmen'!$B$101)*12*('Plan-Annahmen'!$B$97+'Plan-Annahmen'!$B$98+'Plan-Annahmen'!$B$99)</f>
        <v/>
      </c>
      <c r="C162" s="219">
        <f>MAX(0,A162-B162-'Plan-Annahmen'!$B$102)</f>
        <v/>
      </c>
      <c r="D162" s="185">
        <f>IF(INT(MAX(0,C162))&lt;=12348,0,IF(INT(MAX(0,C162))&lt;=17799,(914.51*((INT(MAX(0,C162))-12348)/10000)+1400)*((INT(MAX(0,C162))-12348)/10000),IF(INT(MAX(0,C162))&lt;=69878,(173.1*((INT(MAX(0,C162))-17799)/10000)+2397)*((INT(MAX(0,C162))-17799)/10000)+1034.87,IF(INT(MAX(0,C162))&lt;=277825,0.42*INT(MAX(0,C162))-11135.63,0.45*INT(MAX(0,C162))-19470.38))))</f>
        <v/>
      </c>
      <c r="E162" s="185">
        <f>A162-B162-D162</f>
        <v/>
      </c>
      <c r="F162" s="219">
        <f>MAX(0,A162-B162-'Plan-Annahmen'!$B$88*12-'Plan-Annahmen'!$B$102)</f>
        <v/>
      </c>
      <c r="G162" s="185">
        <f>IF(INT(MAX(0,F162))&lt;=12348,0,IF(INT(MAX(0,F162))&lt;=17799,(914.51*((INT(MAX(0,F162))-12348)/10000)+1400)*((INT(MAX(0,F162))-12348)/10000),IF(INT(MAX(0,F162))&lt;=69878,(173.1*((INT(MAX(0,F162))-17799)/10000)+2397)*((INT(MAX(0,F162))-17799)/10000)+1034.87,IF(INT(MAX(0,F162))&lt;=277825,0.42*INT(MAX(0,F162))-11135.63,0.45*INT(MAX(0,F162))-19470.38))))</f>
        <v/>
      </c>
      <c r="H162" s="185">
        <f>A162-B162-G162-'Plan-Annahmen'!$B$88*12</f>
        <v/>
      </c>
    </row>
    <row r="163" ht="15" customHeight="1" s="116">
      <c r="A163" s="221" t="n">
        <v>128000</v>
      </c>
      <c r="B163" s="219">
        <f>MIN(MAX(A163/12,'Plan-Annahmen'!$B$100),'Plan-Annahmen'!$B$101)*12*('Plan-Annahmen'!$B$97+'Plan-Annahmen'!$B$98+'Plan-Annahmen'!$B$99)</f>
        <v/>
      </c>
      <c r="C163" s="219">
        <f>MAX(0,A163-B163-'Plan-Annahmen'!$B$102)</f>
        <v/>
      </c>
      <c r="D163" s="185">
        <f>IF(INT(MAX(0,C163))&lt;=12348,0,IF(INT(MAX(0,C163))&lt;=17799,(914.51*((INT(MAX(0,C163))-12348)/10000)+1400)*((INT(MAX(0,C163))-12348)/10000),IF(INT(MAX(0,C163))&lt;=69878,(173.1*((INT(MAX(0,C163))-17799)/10000)+2397)*((INT(MAX(0,C163))-17799)/10000)+1034.87,IF(INT(MAX(0,C163))&lt;=277825,0.42*INT(MAX(0,C163))-11135.63,0.45*INT(MAX(0,C163))-19470.38))))</f>
        <v/>
      </c>
      <c r="E163" s="185">
        <f>A163-B163-D163</f>
        <v/>
      </c>
      <c r="F163" s="219">
        <f>MAX(0,A163-B163-'Plan-Annahmen'!$B$88*12-'Plan-Annahmen'!$B$102)</f>
        <v/>
      </c>
      <c r="G163" s="185">
        <f>IF(INT(MAX(0,F163))&lt;=12348,0,IF(INT(MAX(0,F163))&lt;=17799,(914.51*((INT(MAX(0,F163))-12348)/10000)+1400)*((INT(MAX(0,F163))-12348)/10000),IF(INT(MAX(0,F163))&lt;=69878,(173.1*((INT(MAX(0,F163))-17799)/10000)+2397)*((INT(MAX(0,F163))-17799)/10000)+1034.87,IF(INT(MAX(0,F163))&lt;=277825,0.42*INT(MAX(0,F163))-11135.63,0.45*INT(MAX(0,F163))-19470.38))))</f>
        <v/>
      </c>
      <c r="H163" s="185">
        <f>A163-B163-G163-'Plan-Annahmen'!$B$88*12</f>
        <v/>
      </c>
    </row>
    <row r="164" ht="15" customHeight="1" s="116">
      <c r="A164" s="221" t="n">
        <v>129000</v>
      </c>
      <c r="B164" s="219">
        <f>MIN(MAX(A164/12,'Plan-Annahmen'!$B$100),'Plan-Annahmen'!$B$101)*12*('Plan-Annahmen'!$B$97+'Plan-Annahmen'!$B$98+'Plan-Annahmen'!$B$99)</f>
        <v/>
      </c>
      <c r="C164" s="219">
        <f>MAX(0,A164-B164-'Plan-Annahmen'!$B$102)</f>
        <v/>
      </c>
      <c r="D164" s="185">
        <f>IF(INT(MAX(0,C164))&lt;=12348,0,IF(INT(MAX(0,C164))&lt;=17799,(914.51*((INT(MAX(0,C164))-12348)/10000)+1400)*((INT(MAX(0,C164))-12348)/10000),IF(INT(MAX(0,C164))&lt;=69878,(173.1*((INT(MAX(0,C164))-17799)/10000)+2397)*((INT(MAX(0,C164))-17799)/10000)+1034.87,IF(INT(MAX(0,C164))&lt;=277825,0.42*INT(MAX(0,C164))-11135.63,0.45*INT(MAX(0,C164))-19470.38))))</f>
        <v/>
      </c>
      <c r="E164" s="185">
        <f>A164-B164-D164</f>
        <v/>
      </c>
      <c r="F164" s="219">
        <f>MAX(0,A164-B164-'Plan-Annahmen'!$B$88*12-'Plan-Annahmen'!$B$102)</f>
        <v/>
      </c>
      <c r="G164" s="185">
        <f>IF(INT(MAX(0,F164))&lt;=12348,0,IF(INT(MAX(0,F164))&lt;=17799,(914.51*((INT(MAX(0,F164))-12348)/10000)+1400)*((INT(MAX(0,F164))-12348)/10000),IF(INT(MAX(0,F164))&lt;=69878,(173.1*((INT(MAX(0,F164))-17799)/10000)+2397)*((INT(MAX(0,F164))-17799)/10000)+1034.87,IF(INT(MAX(0,F164))&lt;=277825,0.42*INT(MAX(0,F164))-11135.63,0.45*INT(MAX(0,F164))-19470.38))))</f>
        <v/>
      </c>
      <c r="H164" s="185">
        <f>A164-B164-G164-'Plan-Annahmen'!$B$88*12</f>
        <v/>
      </c>
    </row>
    <row r="165" ht="15" customHeight="1" s="116">
      <c r="A165" s="221" t="n">
        <v>130000</v>
      </c>
      <c r="B165" s="219">
        <f>MIN(MAX(A165/12,'Plan-Annahmen'!$B$100),'Plan-Annahmen'!$B$101)*12*('Plan-Annahmen'!$B$97+'Plan-Annahmen'!$B$98+'Plan-Annahmen'!$B$99)</f>
        <v/>
      </c>
      <c r="C165" s="219">
        <f>MAX(0,A165-B165-'Plan-Annahmen'!$B$102)</f>
        <v/>
      </c>
      <c r="D165" s="185">
        <f>IF(INT(MAX(0,C165))&lt;=12348,0,IF(INT(MAX(0,C165))&lt;=17799,(914.51*((INT(MAX(0,C165))-12348)/10000)+1400)*((INT(MAX(0,C165))-12348)/10000),IF(INT(MAX(0,C165))&lt;=69878,(173.1*((INT(MAX(0,C165))-17799)/10000)+2397)*((INT(MAX(0,C165))-17799)/10000)+1034.87,IF(INT(MAX(0,C165))&lt;=277825,0.42*INT(MAX(0,C165))-11135.63,0.45*INT(MAX(0,C165))-19470.38))))</f>
        <v/>
      </c>
      <c r="E165" s="185">
        <f>A165-B165-D165</f>
        <v/>
      </c>
      <c r="F165" s="219">
        <f>MAX(0,A165-B165-'Plan-Annahmen'!$B$88*12-'Plan-Annahmen'!$B$102)</f>
        <v/>
      </c>
      <c r="G165" s="185">
        <f>IF(INT(MAX(0,F165))&lt;=12348,0,IF(INT(MAX(0,F165))&lt;=17799,(914.51*((INT(MAX(0,F165))-12348)/10000)+1400)*((INT(MAX(0,F165))-12348)/10000),IF(INT(MAX(0,F165))&lt;=69878,(173.1*((INT(MAX(0,F165))-17799)/10000)+2397)*((INT(MAX(0,F165))-17799)/10000)+1034.87,IF(INT(MAX(0,F165))&lt;=277825,0.42*INT(MAX(0,F165))-11135.63,0.45*INT(MAX(0,F165))-19470.38))))</f>
        <v/>
      </c>
      <c r="H165" s="185">
        <f>A165-B165-G165-'Plan-Annahmen'!$B$88*12</f>
        <v/>
      </c>
    </row>
    <row r="166" ht="15" customHeight="1" s="116">
      <c r="A166" s="221" t="n">
        <v>131000</v>
      </c>
      <c r="B166" s="219">
        <f>MIN(MAX(A166/12,'Plan-Annahmen'!$B$100),'Plan-Annahmen'!$B$101)*12*('Plan-Annahmen'!$B$97+'Plan-Annahmen'!$B$98+'Plan-Annahmen'!$B$99)</f>
        <v/>
      </c>
      <c r="C166" s="219">
        <f>MAX(0,A166-B166-'Plan-Annahmen'!$B$102)</f>
        <v/>
      </c>
      <c r="D166" s="185">
        <f>IF(INT(MAX(0,C166))&lt;=12348,0,IF(INT(MAX(0,C166))&lt;=17799,(914.51*((INT(MAX(0,C166))-12348)/10000)+1400)*((INT(MAX(0,C166))-12348)/10000),IF(INT(MAX(0,C166))&lt;=69878,(173.1*((INT(MAX(0,C166))-17799)/10000)+2397)*((INT(MAX(0,C166))-17799)/10000)+1034.87,IF(INT(MAX(0,C166))&lt;=277825,0.42*INT(MAX(0,C166))-11135.63,0.45*INT(MAX(0,C166))-19470.38))))</f>
        <v/>
      </c>
      <c r="E166" s="185">
        <f>A166-B166-D166</f>
        <v/>
      </c>
      <c r="F166" s="219">
        <f>MAX(0,A166-B166-'Plan-Annahmen'!$B$88*12-'Plan-Annahmen'!$B$102)</f>
        <v/>
      </c>
      <c r="G166" s="185">
        <f>IF(INT(MAX(0,F166))&lt;=12348,0,IF(INT(MAX(0,F166))&lt;=17799,(914.51*((INT(MAX(0,F166))-12348)/10000)+1400)*((INT(MAX(0,F166))-12348)/10000),IF(INT(MAX(0,F166))&lt;=69878,(173.1*((INT(MAX(0,F166))-17799)/10000)+2397)*((INT(MAX(0,F166))-17799)/10000)+1034.87,IF(INT(MAX(0,F166))&lt;=277825,0.42*INT(MAX(0,F166))-11135.63,0.45*INT(MAX(0,F166))-19470.38))))</f>
        <v/>
      </c>
      <c r="H166" s="185">
        <f>A166-B166-G166-'Plan-Annahmen'!$B$88*12</f>
        <v/>
      </c>
    </row>
    <row r="167" ht="15" customHeight="1" s="116">
      <c r="A167" s="221" t="n">
        <v>132000</v>
      </c>
      <c r="B167" s="219">
        <f>MIN(MAX(A167/12,'Plan-Annahmen'!$B$100),'Plan-Annahmen'!$B$101)*12*('Plan-Annahmen'!$B$97+'Plan-Annahmen'!$B$98+'Plan-Annahmen'!$B$99)</f>
        <v/>
      </c>
      <c r="C167" s="219">
        <f>MAX(0,A167-B167-'Plan-Annahmen'!$B$102)</f>
        <v/>
      </c>
      <c r="D167" s="185">
        <f>IF(INT(MAX(0,C167))&lt;=12348,0,IF(INT(MAX(0,C167))&lt;=17799,(914.51*((INT(MAX(0,C167))-12348)/10000)+1400)*((INT(MAX(0,C167))-12348)/10000),IF(INT(MAX(0,C167))&lt;=69878,(173.1*((INT(MAX(0,C167))-17799)/10000)+2397)*((INT(MAX(0,C167))-17799)/10000)+1034.87,IF(INT(MAX(0,C167))&lt;=277825,0.42*INT(MAX(0,C167))-11135.63,0.45*INT(MAX(0,C167))-19470.38))))</f>
        <v/>
      </c>
      <c r="E167" s="185">
        <f>A167-B167-D167</f>
        <v/>
      </c>
      <c r="F167" s="219">
        <f>MAX(0,A167-B167-'Plan-Annahmen'!$B$88*12-'Plan-Annahmen'!$B$102)</f>
        <v/>
      </c>
      <c r="G167" s="185">
        <f>IF(INT(MAX(0,F167))&lt;=12348,0,IF(INT(MAX(0,F167))&lt;=17799,(914.51*((INT(MAX(0,F167))-12348)/10000)+1400)*((INT(MAX(0,F167))-12348)/10000),IF(INT(MAX(0,F167))&lt;=69878,(173.1*((INT(MAX(0,F167))-17799)/10000)+2397)*((INT(MAX(0,F167))-17799)/10000)+1034.87,IF(INT(MAX(0,F167))&lt;=277825,0.42*INT(MAX(0,F167))-11135.63,0.45*INT(MAX(0,F167))-19470.38))))</f>
        <v/>
      </c>
      <c r="H167" s="185">
        <f>A167-B167-G167-'Plan-Annahmen'!$B$88*12</f>
        <v/>
      </c>
    </row>
    <row r="168" ht="15" customHeight="1" s="116">
      <c r="A168" s="221" t="n">
        <v>133000</v>
      </c>
      <c r="B168" s="219">
        <f>MIN(MAX(A168/12,'Plan-Annahmen'!$B$100),'Plan-Annahmen'!$B$101)*12*('Plan-Annahmen'!$B$97+'Plan-Annahmen'!$B$98+'Plan-Annahmen'!$B$99)</f>
        <v/>
      </c>
      <c r="C168" s="219">
        <f>MAX(0,A168-B168-'Plan-Annahmen'!$B$102)</f>
        <v/>
      </c>
      <c r="D168" s="185">
        <f>IF(INT(MAX(0,C168))&lt;=12348,0,IF(INT(MAX(0,C168))&lt;=17799,(914.51*((INT(MAX(0,C168))-12348)/10000)+1400)*((INT(MAX(0,C168))-12348)/10000),IF(INT(MAX(0,C168))&lt;=69878,(173.1*((INT(MAX(0,C168))-17799)/10000)+2397)*((INT(MAX(0,C168))-17799)/10000)+1034.87,IF(INT(MAX(0,C168))&lt;=277825,0.42*INT(MAX(0,C168))-11135.63,0.45*INT(MAX(0,C168))-19470.38))))</f>
        <v/>
      </c>
      <c r="E168" s="185">
        <f>A168-B168-D168</f>
        <v/>
      </c>
      <c r="F168" s="219">
        <f>MAX(0,A168-B168-'Plan-Annahmen'!$B$88*12-'Plan-Annahmen'!$B$102)</f>
        <v/>
      </c>
      <c r="G168" s="185">
        <f>IF(INT(MAX(0,F168))&lt;=12348,0,IF(INT(MAX(0,F168))&lt;=17799,(914.51*((INT(MAX(0,F168))-12348)/10000)+1400)*((INT(MAX(0,F168))-12348)/10000),IF(INT(MAX(0,F168))&lt;=69878,(173.1*((INT(MAX(0,F168))-17799)/10000)+2397)*((INT(MAX(0,F168))-17799)/10000)+1034.87,IF(INT(MAX(0,F168))&lt;=277825,0.42*INT(MAX(0,F168))-11135.63,0.45*INT(MAX(0,F168))-19470.38))))</f>
        <v/>
      </c>
      <c r="H168" s="185">
        <f>A168-B168-G168-'Plan-Annahmen'!$B$88*12</f>
        <v/>
      </c>
    </row>
    <row r="169" ht="15" customHeight="1" s="116">
      <c r="A169" s="221" t="n">
        <v>134000</v>
      </c>
      <c r="B169" s="219">
        <f>MIN(MAX(A169/12,'Plan-Annahmen'!$B$100),'Plan-Annahmen'!$B$101)*12*('Plan-Annahmen'!$B$97+'Plan-Annahmen'!$B$98+'Plan-Annahmen'!$B$99)</f>
        <v/>
      </c>
      <c r="C169" s="219">
        <f>MAX(0,A169-B169-'Plan-Annahmen'!$B$102)</f>
        <v/>
      </c>
      <c r="D169" s="185">
        <f>IF(INT(MAX(0,C169))&lt;=12348,0,IF(INT(MAX(0,C169))&lt;=17799,(914.51*((INT(MAX(0,C169))-12348)/10000)+1400)*((INT(MAX(0,C169))-12348)/10000),IF(INT(MAX(0,C169))&lt;=69878,(173.1*((INT(MAX(0,C169))-17799)/10000)+2397)*((INT(MAX(0,C169))-17799)/10000)+1034.87,IF(INT(MAX(0,C169))&lt;=277825,0.42*INT(MAX(0,C169))-11135.63,0.45*INT(MAX(0,C169))-19470.38))))</f>
        <v/>
      </c>
      <c r="E169" s="185">
        <f>A169-B169-D169</f>
        <v/>
      </c>
      <c r="F169" s="219">
        <f>MAX(0,A169-B169-'Plan-Annahmen'!$B$88*12-'Plan-Annahmen'!$B$102)</f>
        <v/>
      </c>
      <c r="G169" s="185">
        <f>IF(INT(MAX(0,F169))&lt;=12348,0,IF(INT(MAX(0,F169))&lt;=17799,(914.51*((INT(MAX(0,F169))-12348)/10000)+1400)*((INT(MAX(0,F169))-12348)/10000),IF(INT(MAX(0,F169))&lt;=69878,(173.1*((INT(MAX(0,F169))-17799)/10000)+2397)*((INT(MAX(0,F169))-17799)/10000)+1034.87,IF(INT(MAX(0,F169))&lt;=277825,0.42*INT(MAX(0,F169))-11135.63,0.45*INT(MAX(0,F169))-19470.38))))</f>
        <v/>
      </c>
      <c r="H169" s="185">
        <f>A169-B169-G169-'Plan-Annahmen'!$B$88*12</f>
        <v/>
      </c>
    </row>
    <row r="170" ht="15" customHeight="1" s="116">
      <c r="A170" s="221" t="n">
        <v>135000</v>
      </c>
      <c r="B170" s="219">
        <f>MIN(MAX(A170/12,'Plan-Annahmen'!$B$100),'Plan-Annahmen'!$B$101)*12*('Plan-Annahmen'!$B$97+'Plan-Annahmen'!$B$98+'Plan-Annahmen'!$B$99)</f>
        <v/>
      </c>
      <c r="C170" s="219">
        <f>MAX(0,A170-B170-'Plan-Annahmen'!$B$102)</f>
        <v/>
      </c>
      <c r="D170" s="185">
        <f>IF(INT(MAX(0,C170))&lt;=12348,0,IF(INT(MAX(0,C170))&lt;=17799,(914.51*((INT(MAX(0,C170))-12348)/10000)+1400)*((INT(MAX(0,C170))-12348)/10000),IF(INT(MAX(0,C170))&lt;=69878,(173.1*((INT(MAX(0,C170))-17799)/10000)+2397)*((INT(MAX(0,C170))-17799)/10000)+1034.87,IF(INT(MAX(0,C170))&lt;=277825,0.42*INT(MAX(0,C170))-11135.63,0.45*INT(MAX(0,C170))-19470.38))))</f>
        <v/>
      </c>
      <c r="E170" s="185">
        <f>A170-B170-D170</f>
        <v/>
      </c>
      <c r="F170" s="219">
        <f>MAX(0,A170-B170-'Plan-Annahmen'!$B$88*12-'Plan-Annahmen'!$B$102)</f>
        <v/>
      </c>
      <c r="G170" s="185">
        <f>IF(INT(MAX(0,F170))&lt;=12348,0,IF(INT(MAX(0,F170))&lt;=17799,(914.51*((INT(MAX(0,F170))-12348)/10000)+1400)*((INT(MAX(0,F170))-12348)/10000),IF(INT(MAX(0,F170))&lt;=69878,(173.1*((INT(MAX(0,F170))-17799)/10000)+2397)*((INT(MAX(0,F170))-17799)/10000)+1034.87,IF(INT(MAX(0,F170))&lt;=277825,0.42*INT(MAX(0,F170))-11135.63,0.45*INT(MAX(0,F170))-19470.38))))</f>
        <v/>
      </c>
      <c r="H170" s="185">
        <f>A170-B170-G170-'Plan-Annahmen'!$B$88*12</f>
        <v/>
      </c>
    </row>
    <row r="171" ht="15" customHeight="1" s="116">
      <c r="A171" s="221" t="n">
        <v>136000</v>
      </c>
      <c r="B171" s="219">
        <f>MIN(MAX(A171/12,'Plan-Annahmen'!$B$100),'Plan-Annahmen'!$B$101)*12*('Plan-Annahmen'!$B$97+'Plan-Annahmen'!$B$98+'Plan-Annahmen'!$B$99)</f>
        <v/>
      </c>
      <c r="C171" s="219">
        <f>MAX(0,A171-B171-'Plan-Annahmen'!$B$102)</f>
        <v/>
      </c>
      <c r="D171" s="185">
        <f>IF(INT(MAX(0,C171))&lt;=12348,0,IF(INT(MAX(0,C171))&lt;=17799,(914.51*((INT(MAX(0,C171))-12348)/10000)+1400)*((INT(MAX(0,C171))-12348)/10000),IF(INT(MAX(0,C171))&lt;=69878,(173.1*((INT(MAX(0,C171))-17799)/10000)+2397)*((INT(MAX(0,C171))-17799)/10000)+1034.87,IF(INT(MAX(0,C171))&lt;=277825,0.42*INT(MAX(0,C171))-11135.63,0.45*INT(MAX(0,C171))-19470.38))))</f>
        <v/>
      </c>
      <c r="E171" s="185">
        <f>A171-B171-D171</f>
        <v/>
      </c>
      <c r="F171" s="219">
        <f>MAX(0,A171-B171-'Plan-Annahmen'!$B$88*12-'Plan-Annahmen'!$B$102)</f>
        <v/>
      </c>
      <c r="G171" s="185">
        <f>IF(INT(MAX(0,F171))&lt;=12348,0,IF(INT(MAX(0,F171))&lt;=17799,(914.51*((INT(MAX(0,F171))-12348)/10000)+1400)*((INT(MAX(0,F171))-12348)/10000),IF(INT(MAX(0,F171))&lt;=69878,(173.1*((INT(MAX(0,F171))-17799)/10000)+2397)*((INT(MAX(0,F171))-17799)/10000)+1034.87,IF(INT(MAX(0,F171))&lt;=277825,0.42*INT(MAX(0,F171))-11135.63,0.45*INT(MAX(0,F171))-19470.38))))</f>
        <v/>
      </c>
      <c r="H171" s="185">
        <f>A171-B171-G171-'Plan-Annahmen'!$B$88*12</f>
        <v/>
      </c>
    </row>
    <row r="172" ht="15" customHeight="1" s="116">
      <c r="A172" s="221" t="n">
        <v>137000</v>
      </c>
      <c r="B172" s="219">
        <f>MIN(MAX(A172/12,'Plan-Annahmen'!$B$100),'Plan-Annahmen'!$B$101)*12*('Plan-Annahmen'!$B$97+'Plan-Annahmen'!$B$98+'Plan-Annahmen'!$B$99)</f>
        <v/>
      </c>
      <c r="C172" s="219">
        <f>MAX(0,A172-B172-'Plan-Annahmen'!$B$102)</f>
        <v/>
      </c>
      <c r="D172" s="185">
        <f>IF(INT(MAX(0,C172))&lt;=12348,0,IF(INT(MAX(0,C172))&lt;=17799,(914.51*((INT(MAX(0,C172))-12348)/10000)+1400)*((INT(MAX(0,C172))-12348)/10000),IF(INT(MAX(0,C172))&lt;=69878,(173.1*((INT(MAX(0,C172))-17799)/10000)+2397)*((INT(MAX(0,C172))-17799)/10000)+1034.87,IF(INT(MAX(0,C172))&lt;=277825,0.42*INT(MAX(0,C172))-11135.63,0.45*INT(MAX(0,C172))-19470.38))))</f>
        <v/>
      </c>
      <c r="E172" s="185">
        <f>A172-B172-D172</f>
        <v/>
      </c>
      <c r="F172" s="219">
        <f>MAX(0,A172-B172-'Plan-Annahmen'!$B$88*12-'Plan-Annahmen'!$B$102)</f>
        <v/>
      </c>
      <c r="G172" s="185">
        <f>IF(INT(MAX(0,F172))&lt;=12348,0,IF(INT(MAX(0,F172))&lt;=17799,(914.51*((INT(MAX(0,F172))-12348)/10000)+1400)*((INT(MAX(0,F172))-12348)/10000),IF(INT(MAX(0,F172))&lt;=69878,(173.1*((INT(MAX(0,F172))-17799)/10000)+2397)*((INT(MAX(0,F172))-17799)/10000)+1034.87,IF(INT(MAX(0,F172))&lt;=277825,0.42*INT(MAX(0,F172))-11135.63,0.45*INT(MAX(0,F172))-19470.38))))</f>
        <v/>
      </c>
      <c r="H172" s="185">
        <f>A172-B172-G172-'Plan-Annahmen'!$B$88*12</f>
        <v/>
      </c>
    </row>
    <row r="173" ht="15" customHeight="1" s="116">
      <c r="A173" s="221" t="n">
        <v>138000</v>
      </c>
      <c r="B173" s="219">
        <f>MIN(MAX(A173/12,'Plan-Annahmen'!$B$100),'Plan-Annahmen'!$B$101)*12*('Plan-Annahmen'!$B$97+'Plan-Annahmen'!$B$98+'Plan-Annahmen'!$B$99)</f>
        <v/>
      </c>
      <c r="C173" s="219">
        <f>MAX(0,A173-B173-'Plan-Annahmen'!$B$102)</f>
        <v/>
      </c>
      <c r="D173" s="185">
        <f>IF(INT(MAX(0,C173))&lt;=12348,0,IF(INT(MAX(0,C173))&lt;=17799,(914.51*((INT(MAX(0,C173))-12348)/10000)+1400)*((INT(MAX(0,C173))-12348)/10000),IF(INT(MAX(0,C173))&lt;=69878,(173.1*((INT(MAX(0,C173))-17799)/10000)+2397)*((INT(MAX(0,C173))-17799)/10000)+1034.87,IF(INT(MAX(0,C173))&lt;=277825,0.42*INT(MAX(0,C173))-11135.63,0.45*INT(MAX(0,C173))-19470.38))))</f>
        <v/>
      </c>
      <c r="E173" s="185">
        <f>A173-B173-D173</f>
        <v/>
      </c>
      <c r="F173" s="219">
        <f>MAX(0,A173-B173-'Plan-Annahmen'!$B$88*12-'Plan-Annahmen'!$B$102)</f>
        <v/>
      </c>
      <c r="G173" s="185">
        <f>IF(INT(MAX(0,F173))&lt;=12348,0,IF(INT(MAX(0,F173))&lt;=17799,(914.51*((INT(MAX(0,F173))-12348)/10000)+1400)*((INT(MAX(0,F173))-12348)/10000),IF(INT(MAX(0,F173))&lt;=69878,(173.1*((INT(MAX(0,F173))-17799)/10000)+2397)*((INT(MAX(0,F173))-17799)/10000)+1034.87,IF(INT(MAX(0,F173))&lt;=277825,0.42*INT(MAX(0,F173))-11135.63,0.45*INT(MAX(0,F173))-19470.38))))</f>
        <v/>
      </c>
      <c r="H173" s="185">
        <f>A173-B173-G173-'Plan-Annahmen'!$B$88*12</f>
        <v/>
      </c>
    </row>
    <row r="174" ht="15" customHeight="1" s="116">
      <c r="A174" s="221" t="n">
        <v>139000</v>
      </c>
      <c r="B174" s="219">
        <f>MIN(MAX(A174/12,'Plan-Annahmen'!$B$100),'Plan-Annahmen'!$B$101)*12*('Plan-Annahmen'!$B$97+'Plan-Annahmen'!$B$98+'Plan-Annahmen'!$B$99)</f>
        <v/>
      </c>
      <c r="C174" s="219">
        <f>MAX(0,A174-B174-'Plan-Annahmen'!$B$102)</f>
        <v/>
      </c>
      <c r="D174" s="185">
        <f>IF(INT(MAX(0,C174))&lt;=12348,0,IF(INT(MAX(0,C174))&lt;=17799,(914.51*((INT(MAX(0,C174))-12348)/10000)+1400)*((INT(MAX(0,C174))-12348)/10000),IF(INT(MAX(0,C174))&lt;=69878,(173.1*((INT(MAX(0,C174))-17799)/10000)+2397)*((INT(MAX(0,C174))-17799)/10000)+1034.87,IF(INT(MAX(0,C174))&lt;=277825,0.42*INT(MAX(0,C174))-11135.63,0.45*INT(MAX(0,C174))-19470.38))))</f>
        <v/>
      </c>
      <c r="E174" s="185">
        <f>A174-B174-D174</f>
        <v/>
      </c>
      <c r="F174" s="219">
        <f>MAX(0,A174-B174-'Plan-Annahmen'!$B$88*12-'Plan-Annahmen'!$B$102)</f>
        <v/>
      </c>
      <c r="G174" s="185">
        <f>IF(INT(MAX(0,F174))&lt;=12348,0,IF(INT(MAX(0,F174))&lt;=17799,(914.51*((INT(MAX(0,F174))-12348)/10000)+1400)*((INT(MAX(0,F174))-12348)/10000),IF(INT(MAX(0,F174))&lt;=69878,(173.1*((INT(MAX(0,F174))-17799)/10000)+2397)*((INT(MAX(0,F174))-17799)/10000)+1034.87,IF(INT(MAX(0,F174))&lt;=277825,0.42*INT(MAX(0,F174))-11135.63,0.45*INT(MAX(0,F174))-19470.38))))</f>
        <v/>
      </c>
      <c r="H174" s="185">
        <f>A174-B174-G174-'Plan-Annahmen'!$B$88*12</f>
        <v/>
      </c>
    </row>
    <row r="175" ht="15" customHeight="1" s="116">
      <c r="A175" s="221" t="n">
        <v>140000</v>
      </c>
      <c r="B175" s="219">
        <f>MIN(MAX(A175/12,'Plan-Annahmen'!$B$100),'Plan-Annahmen'!$B$101)*12*('Plan-Annahmen'!$B$97+'Plan-Annahmen'!$B$98+'Plan-Annahmen'!$B$99)</f>
        <v/>
      </c>
      <c r="C175" s="219">
        <f>MAX(0,A175-B175-'Plan-Annahmen'!$B$102)</f>
        <v/>
      </c>
      <c r="D175" s="185">
        <f>IF(INT(MAX(0,C175))&lt;=12348,0,IF(INT(MAX(0,C175))&lt;=17799,(914.51*((INT(MAX(0,C175))-12348)/10000)+1400)*((INT(MAX(0,C175))-12348)/10000),IF(INT(MAX(0,C175))&lt;=69878,(173.1*((INT(MAX(0,C175))-17799)/10000)+2397)*((INT(MAX(0,C175))-17799)/10000)+1034.87,IF(INT(MAX(0,C175))&lt;=277825,0.42*INT(MAX(0,C175))-11135.63,0.45*INT(MAX(0,C175))-19470.38))))</f>
        <v/>
      </c>
      <c r="E175" s="185">
        <f>A175-B175-D175</f>
        <v/>
      </c>
      <c r="F175" s="219">
        <f>MAX(0,A175-B175-'Plan-Annahmen'!$B$88*12-'Plan-Annahmen'!$B$102)</f>
        <v/>
      </c>
      <c r="G175" s="185">
        <f>IF(INT(MAX(0,F175))&lt;=12348,0,IF(INT(MAX(0,F175))&lt;=17799,(914.51*((INT(MAX(0,F175))-12348)/10000)+1400)*((INT(MAX(0,F175))-12348)/10000),IF(INT(MAX(0,F175))&lt;=69878,(173.1*((INT(MAX(0,F175))-17799)/10000)+2397)*((INT(MAX(0,F175))-17799)/10000)+1034.87,IF(INT(MAX(0,F175))&lt;=277825,0.42*INT(MAX(0,F175))-11135.63,0.45*INT(MAX(0,F175))-19470.38))))</f>
        <v/>
      </c>
      <c r="H175" s="185">
        <f>A175-B175-G175-'Plan-Annahmen'!$B$88*12</f>
        <v/>
      </c>
    </row>
    <row r="176" ht="15" customHeight="1" s="116">
      <c r="A176" s="221" t="n">
        <v>141000</v>
      </c>
      <c r="B176" s="219">
        <f>MIN(MAX(A176/12,'Plan-Annahmen'!$B$100),'Plan-Annahmen'!$B$101)*12*('Plan-Annahmen'!$B$97+'Plan-Annahmen'!$B$98+'Plan-Annahmen'!$B$99)</f>
        <v/>
      </c>
      <c r="C176" s="219">
        <f>MAX(0,A176-B176-'Plan-Annahmen'!$B$102)</f>
        <v/>
      </c>
      <c r="D176" s="185">
        <f>IF(INT(MAX(0,C176))&lt;=12348,0,IF(INT(MAX(0,C176))&lt;=17799,(914.51*((INT(MAX(0,C176))-12348)/10000)+1400)*((INT(MAX(0,C176))-12348)/10000),IF(INT(MAX(0,C176))&lt;=69878,(173.1*((INT(MAX(0,C176))-17799)/10000)+2397)*((INT(MAX(0,C176))-17799)/10000)+1034.87,IF(INT(MAX(0,C176))&lt;=277825,0.42*INT(MAX(0,C176))-11135.63,0.45*INT(MAX(0,C176))-19470.38))))</f>
        <v/>
      </c>
      <c r="E176" s="185">
        <f>A176-B176-D176</f>
        <v/>
      </c>
      <c r="F176" s="219">
        <f>MAX(0,A176-B176-'Plan-Annahmen'!$B$88*12-'Plan-Annahmen'!$B$102)</f>
        <v/>
      </c>
      <c r="G176" s="185">
        <f>IF(INT(MAX(0,F176))&lt;=12348,0,IF(INT(MAX(0,F176))&lt;=17799,(914.51*((INT(MAX(0,F176))-12348)/10000)+1400)*((INT(MAX(0,F176))-12348)/10000),IF(INT(MAX(0,F176))&lt;=69878,(173.1*((INT(MAX(0,F176))-17799)/10000)+2397)*((INT(MAX(0,F176))-17799)/10000)+1034.87,IF(INT(MAX(0,F176))&lt;=277825,0.42*INT(MAX(0,F176))-11135.63,0.45*INT(MAX(0,F176))-19470.38))))</f>
        <v/>
      </c>
      <c r="H176" s="185">
        <f>A176-B176-G176-'Plan-Annahmen'!$B$88*12</f>
        <v/>
      </c>
    </row>
    <row r="177" ht="15" customHeight="1" s="116">
      <c r="A177" s="221" t="n">
        <v>142000</v>
      </c>
      <c r="B177" s="219">
        <f>MIN(MAX(A177/12,'Plan-Annahmen'!$B$100),'Plan-Annahmen'!$B$101)*12*('Plan-Annahmen'!$B$97+'Plan-Annahmen'!$B$98+'Plan-Annahmen'!$B$99)</f>
        <v/>
      </c>
      <c r="C177" s="219">
        <f>MAX(0,A177-B177-'Plan-Annahmen'!$B$102)</f>
        <v/>
      </c>
      <c r="D177" s="185">
        <f>IF(INT(MAX(0,C177))&lt;=12348,0,IF(INT(MAX(0,C177))&lt;=17799,(914.51*((INT(MAX(0,C177))-12348)/10000)+1400)*((INT(MAX(0,C177))-12348)/10000),IF(INT(MAX(0,C177))&lt;=69878,(173.1*((INT(MAX(0,C177))-17799)/10000)+2397)*((INT(MAX(0,C177))-17799)/10000)+1034.87,IF(INT(MAX(0,C177))&lt;=277825,0.42*INT(MAX(0,C177))-11135.63,0.45*INT(MAX(0,C177))-19470.38))))</f>
        <v/>
      </c>
      <c r="E177" s="185">
        <f>A177-B177-D177</f>
        <v/>
      </c>
      <c r="F177" s="219">
        <f>MAX(0,A177-B177-'Plan-Annahmen'!$B$88*12-'Plan-Annahmen'!$B$102)</f>
        <v/>
      </c>
      <c r="G177" s="185">
        <f>IF(INT(MAX(0,F177))&lt;=12348,0,IF(INT(MAX(0,F177))&lt;=17799,(914.51*((INT(MAX(0,F177))-12348)/10000)+1400)*((INT(MAX(0,F177))-12348)/10000),IF(INT(MAX(0,F177))&lt;=69878,(173.1*((INT(MAX(0,F177))-17799)/10000)+2397)*((INT(MAX(0,F177))-17799)/10000)+1034.87,IF(INT(MAX(0,F177))&lt;=277825,0.42*INT(MAX(0,F177))-11135.63,0.45*INT(MAX(0,F177))-19470.38))))</f>
        <v/>
      </c>
      <c r="H177" s="185">
        <f>A177-B177-G177-'Plan-Annahmen'!$B$88*12</f>
        <v/>
      </c>
    </row>
    <row r="178" ht="15" customHeight="1" s="116">
      <c r="A178" s="221" t="n">
        <v>143000</v>
      </c>
      <c r="B178" s="219">
        <f>MIN(MAX(A178/12,'Plan-Annahmen'!$B$100),'Plan-Annahmen'!$B$101)*12*('Plan-Annahmen'!$B$97+'Plan-Annahmen'!$B$98+'Plan-Annahmen'!$B$99)</f>
        <v/>
      </c>
      <c r="C178" s="219">
        <f>MAX(0,A178-B178-'Plan-Annahmen'!$B$102)</f>
        <v/>
      </c>
      <c r="D178" s="185">
        <f>IF(INT(MAX(0,C178))&lt;=12348,0,IF(INT(MAX(0,C178))&lt;=17799,(914.51*((INT(MAX(0,C178))-12348)/10000)+1400)*((INT(MAX(0,C178))-12348)/10000),IF(INT(MAX(0,C178))&lt;=69878,(173.1*((INT(MAX(0,C178))-17799)/10000)+2397)*((INT(MAX(0,C178))-17799)/10000)+1034.87,IF(INT(MAX(0,C178))&lt;=277825,0.42*INT(MAX(0,C178))-11135.63,0.45*INT(MAX(0,C178))-19470.38))))</f>
        <v/>
      </c>
      <c r="E178" s="185">
        <f>A178-B178-D178</f>
        <v/>
      </c>
      <c r="F178" s="219">
        <f>MAX(0,A178-B178-'Plan-Annahmen'!$B$88*12-'Plan-Annahmen'!$B$102)</f>
        <v/>
      </c>
      <c r="G178" s="185">
        <f>IF(INT(MAX(0,F178))&lt;=12348,0,IF(INT(MAX(0,F178))&lt;=17799,(914.51*((INT(MAX(0,F178))-12348)/10000)+1400)*((INT(MAX(0,F178))-12348)/10000),IF(INT(MAX(0,F178))&lt;=69878,(173.1*((INT(MAX(0,F178))-17799)/10000)+2397)*((INT(MAX(0,F178))-17799)/10000)+1034.87,IF(INT(MAX(0,F178))&lt;=277825,0.42*INT(MAX(0,F178))-11135.63,0.45*INT(MAX(0,F178))-19470.38))))</f>
        <v/>
      </c>
      <c r="H178" s="185">
        <f>A178-B178-G178-'Plan-Annahmen'!$B$88*12</f>
        <v/>
      </c>
    </row>
    <row r="179" ht="15" customHeight="1" s="116">
      <c r="A179" s="221" t="n">
        <v>144000</v>
      </c>
      <c r="B179" s="219">
        <f>MIN(MAX(A179/12,'Plan-Annahmen'!$B$100),'Plan-Annahmen'!$B$101)*12*('Plan-Annahmen'!$B$97+'Plan-Annahmen'!$B$98+'Plan-Annahmen'!$B$99)</f>
        <v/>
      </c>
      <c r="C179" s="219">
        <f>MAX(0,A179-B179-'Plan-Annahmen'!$B$102)</f>
        <v/>
      </c>
      <c r="D179" s="185">
        <f>IF(INT(MAX(0,C179))&lt;=12348,0,IF(INT(MAX(0,C179))&lt;=17799,(914.51*((INT(MAX(0,C179))-12348)/10000)+1400)*((INT(MAX(0,C179))-12348)/10000),IF(INT(MAX(0,C179))&lt;=69878,(173.1*((INT(MAX(0,C179))-17799)/10000)+2397)*((INT(MAX(0,C179))-17799)/10000)+1034.87,IF(INT(MAX(0,C179))&lt;=277825,0.42*INT(MAX(0,C179))-11135.63,0.45*INT(MAX(0,C179))-19470.38))))</f>
        <v/>
      </c>
      <c r="E179" s="185">
        <f>A179-B179-D179</f>
        <v/>
      </c>
      <c r="F179" s="219">
        <f>MAX(0,A179-B179-'Plan-Annahmen'!$B$88*12-'Plan-Annahmen'!$B$102)</f>
        <v/>
      </c>
      <c r="G179" s="185">
        <f>IF(INT(MAX(0,F179))&lt;=12348,0,IF(INT(MAX(0,F179))&lt;=17799,(914.51*((INT(MAX(0,F179))-12348)/10000)+1400)*((INT(MAX(0,F179))-12348)/10000),IF(INT(MAX(0,F179))&lt;=69878,(173.1*((INT(MAX(0,F179))-17799)/10000)+2397)*((INT(MAX(0,F179))-17799)/10000)+1034.87,IF(INT(MAX(0,F179))&lt;=277825,0.42*INT(MAX(0,F179))-11135.63,0.45*INT(MAX(0,F179))-19470.38))))</f>
        <v/>
      </c>
      <c r="H179" s="185">
        <f>A179-B179-G179-'Plan-Annahmen'!$B$88*12</f>
        <v/>
      </c>
    </row>
    <row r="180" ht="15" customHeight="1" s="116">
      <c r="A180" s="221" t="n">
        <v>145000</v>
      </c>
      <c r="B180" s="219">
        <f>MIN(MAX(A180/12,'Plan-Annahmen'!$B$100),'Plan-Annahmen'!$B$101)*12*('Plan-Annahmen'!$B$97+'Plan-Annahmen'!$B$98+'Plan-Annahmen'!$B$99)</f>
        <v/>
      </c>
      <c r="C180" s="219">
        <f>MAX(0,A180-B180-'Plan-Annahmen'!$B$102)</f>
        <v/>
      </c>
      <c r="D180" s="185">
        <f>IF(INT(MAX(0,C180))&lt;=12348,0,IF(INT(MAX(0,C180))&lt;=17799,(914.51*((INT(MAX(0,C180))-12348)/10000)+1400)*((INT(MAX(0,C180))-12348)/10000),IF(INT(MAX(0,C180))&lt;=69878,(173.1*((INT(MAX(0,C180))-17799)/10000)+2397)*((INT(MAX(0,C180))-17799)/10000)+1034.87,IF(INT(MAX(0,C180))&lt;=277825,0.42*INT(MAX(0,C180))-11135.63,0.45*INT(MAX(0,C180))-19470.38))))</f>
        <v/>
      </c>
      <c r="E180" s="185">
        <f>A180-B180-D180</f>
        <v/>
      </c>
      <c r="F180" s="219">
        <f>MAX(0,A180-B180-'Plan-Annahmen'!$B$88*12-'Plan-Annahmen'!$B$102)</f>
        <v/>
      </c>
      <c r="G180" s="185">
        <f>IF(INT(MAX(0,F180))&lt;=12348,0,IF(INT(MAX(0,F180))&lt;=17799,(914.51*((INT(MAX(0,F180))-12348)/10000)+1400)*((INT(MAX(0,F180))-12348)/10000),IF(INT(MAX(0,F180))&lt;=69878,(173.1*((INT(MAX(0,F180))-17799)/10000)+2397)*((INT(MAX(0,F180))-17799)/10000)+1034.87,IF(INT(MAX(0,F180))&lt;=277825,0.42*INT(MAX(0,F180))-11135.63,0.45*INT(MAX(0,F180))-19470.38))))</f>
        <v/>
      </c>
      <c r="H180" s="185">
        <f>A180-B180-G180-'Plan-Annahmen'!$B$88*12</f>
        <v/>
      </c>
    </row>
    <row r="181" ht="15" customHeight="1" s="116">
      <c r="A181" s="221" t="n">
        <v>146000</v>
      </c>
      <c r="B181" s="219">
        <f>MIN(MAX(A181/12,'Plan-Annahmen'!$B$100),'Plan-Annahmen'!$B$101)*12*('Plan-Annahmen'!$B$97+'Plan-Annahmen'!$B$98+'Plan-Annahmen'!$B$99)</f>
        <v/>
      </c>
      <c r="C181" s="219">
        <f>MAX(0,A181-B181-'Plan-Annahmen'!$B$102)</f>
        <v/>
      </c>
      <c r="D181" s="185">
        <f>IF(INT(MAX(0,C181))&lt;=12348,0,IF(INT(MAX(0,C181))&lt;=17799,(914.51*((INT(MAX(0,C181))-12348)/10000)+1400)*((INT(MAX(0,C181))-12348)/10000),IF(INT(MAX(0,C181))&lt;=69878,(173.1*((INT(MAX(0,C181))-17799)/10000)+2397)*((INT(MAX(0,C181))-17799)/10000)+1034.87,IF(INT(MAX(0,C181))&lt;=277825,0.42*INT(MAX(0,C181))-11135.63,0.45*INT(MAX(0,C181))-19470.38))))</f>
        <v/>
      </c>
      <c r="E181" s="185">
        <f>A181-B181-D181</f>
        <v/>
      </c>
      <c r="F181" s="219">
        <f>MAX(0,A181-B181-'Plan-Annahmen'!$B$88*12-'Plan-Annahmen'!$B$102)</f>
        <v/>
      </c>
      <c r="G181" s="185">
        <f>IF(INT(MAX(0,F181))&lt;=12348,0,IF(INT(MAX(0,F181))&lt;=17799,(914.51*((INT(MAX(0,F181))-12348)/10000)+1400)*((INT(MAX(0,F181))-12348)/10000),IF(INT(MAX(0,F181))&lt;=69878,(173.1*((INT(MAX(0,F181))-17799)/10000)+2397)*((INT(MAX(0,F181))-17799)/10000)+1034.87,IF(INT(MAX(0,F181))&lt;=277825,0.42*INT(MAX(0,F181))-11135.63,0.45*INT(MAX(0,F181))-19470.38))))</f>
        <v/>
      </c>
      <c r="H181" s="185">
        <f>A181-B181-G181-'Plan-Annahmen'!$B$88*12</f>
        <v/>
      </c>
    </row>
    <row r="182" ht="15" customHeight="1" s="116">
      <c r="A182" s="221" t="n">
        <v>147000</v>
      </c>
      <c r="B182" s="219">
        <f>MIN(MAX(A182/12,'Plan-Annahmen'!$B$100),'Plan-Annahmen'!$B$101)*12*('Plan-Annahmen'!$B$97+'Plan-Annahmen'!$B$98+'Plan-Annahmen'!$B$99)</f>
        <v/>
      </c>
      <c r="C182" s="219">
        <f>MAX(0,A182-B182-'Plan-Annahmen'!$B$102)</f>
        <v/>
      </c>
      <c r="D182" s="185">
        <f>IF(INT(MAX(0,C182))&lt;=12348,0,IF(INT(MAX(0,C182))&lt;=17799,(914.51*((INT(MAX(0,C182))-12348)/10000)+1400)*((INT(MAX(0,C182))-12348)/10000),IF(INT(MAX(0,C182))&lt;=69878,(173.1*((INT(MAX(0,C182))-17799)/10000)+2397)*((INT(MAX(0,C182))-17799)/10000)+1034.87,IF(INT(MAX(0,C182))&lt;=277825,0.42*INT(MAX(0,C182))-11135.63,0.45*INT(MAX(0,C182))-19470.38))))</f>
        <v/>
      </c>
      <c r="E182" s="185">
        <f>A182-B182-D182</f>
        <v/>
      </c>
      <c r="F182" s="219">
        <f>MAX(0,A182-B182-'Plan-Annahmen'!$B$88*12-'Plan-Annahmen'!$B$102)</f>
        <v/>
      </c>
      <c r="G182" s="185">
        <f>IF(INT(MAX(0,F182))&lt;=12348,0,IF(INT(MAX(0,F182))&lt;=17799,(914.51*((INT(MAX(0,F182))-12348)/10000)+1400)*((INT(MAX(0,F182))-12348)/10000),IF(INT(MAX(0,F182))&lt;=69878,(173.1*((INT(MAX(0,F182))-17799)/10000)+2397)*((INT(MAX(0,F182))-17799)/10000)+1034.87,IF(INT(MAX(0,F182))&lt;=277825,0.42*INT(MAX(0,F182))-11135.63,0.45*INT(MAX(0,F182))-19470.38))))</f>
        <v/>
      </c>
      <c r="H182" s="185">
        <f>A182-B182-G182-'Plan-Annahmen'!$B$88*12</f>
        <v/>
      </c>
    </row>
    <row r="183" ht="15" customHeight="1" s="116">
      <c r="A183" s="221" t="n">
        <v>148000</v>
      </c>
      <c r="B183" s="219">
        <f>MIN(MAX(A183/12,'Plan-Annahmen'!$B$100),'Plan-Annahmen'!$B$101)*12*('Plan-Annahmen'!$B$97+'Plan-Annahmen'!$B$98+'Plan-Annahmen'!$B$99)</f>
        <v/>
      </c>
      <c r="C183" s="219">
        <f>MAX(0,A183-B183-'Plan-Annahmen'!$B$102)</f>
        <v/>
      </c>
      <c r="D183" s="185">
        <f>IF(INT(MAX(0,C183))&lt;=12348,0,IF(INT(MAX(0,C183))&lt;=17799,(914.51*((INT(MAX(0,C183))-12348)/10000)+1400)*((INT(MAX(0,C183))-12348)/10000),IF(INT(MAX(0,C183))&lt;=69878,(173.1*((INT(MAX(0,C183))-17799)/10000)+2397)*((INT(MAX(0,C183))-17799)/10000)+1034.87,IF(INT(MAX(0,C183))&lt;=277825,0.42*INT(MAX(0,C183))-11135.63,0.45*INT(MAX(0,C183))-19470.38))))</f>
        <v/>
      </c>
      <c r="E183" s="185">
        <f>A183-B183-D183</f>
        <v/>
      </c>
      <c r="F183" s="219">
        <f>MAX(0,A183-B183-'Plan-Annahmen'!$B$88*12-'Plan-Annahmen'!$B$102)</f>
        <v/>
      </c>
      <c r="G183" s="185">
        <f>IF(INT(MAX(0,F183))&lt;=12348,0,IF(INT(MAX(0,F183))&lt;=17799,(914.51*((INT(MAX(0,F183))-12348)/10000)+1400)*((INT(MAX(0,F183))-12348)/10000),IF(INT(MAX(0,F183))&lt;=69878,(173.1*((INT(MAX(0,F183))-17799)/10000)+2397)*((INT(MAX(0,F183))-17799)/10000)+1034.87,IF(INT(MAX(0,F183))&lt;=277825,0.42*INT(MAX(0,F183))-11135.63,0.45*INT(MAX(0,F183))-19470.38))))</f>
        <v/>
      </c>
      <c r="H183" s="185">
        <f>A183-B183-G183-'Plan-Annahmen'!$B$88*12</f>
        <v/>
      </c>
    </row>
    <row r="184" ht="15" customHeight="1" s="116">
      <c r="A184" s="221" t="n">
        <v>149000</v>
      </c>
      <c r="B184" s="219">
        <f>MIN(MAX(A184/12,'Plan-Annahmen'!$B$100),'Plan-Annahmen'!$B$101)*12*('Plan-Annahmen'!$B$97+'Plan-Annahmen'!$B$98+'Plan-Annahmen'!$B$99)</f>
        <v/>
      </c>
      <c r="C184" s="219">
        <f>MAX(0,A184-B184-'Plan-Annahmen'!$B$102)</f>
        <v/>
      </c>
      <c r="D184" s="185">
        <f>IF(INT(MAX(0,C184))&lt;=12348,0,IF(INT(MAX(0,C184))&lt;=17799,(914.51*((INT(MAX(0,C184))-12348)/10000)+1400)*((INT(MAX(0,C184))-12348)/10000),IF(INT(MAX(0,C184))&lt;=69878,(173.1*((INT(MAX(0,C184))-17799)/10000)+2397)*((INT(MAX(0,C184))-17799)/10000)+1034.87,IF(INT(MAX(0,C184))&lt;=277825,0.42*INT(MAX(0,C184))-11135.63,0.45*INT(MAX(0,C184))-19470.38))))</f>
        <v/>
      </c>
      <c r="E184" s="185">
        <f>A184-B184-D184</f>
        <v/>
      </c>
      <c r="F184" s="219">
        <f>MAX(0,A184-B184-'Plan-Annahmen'!$B$88*12-'Plan-Annahmen'!$B$102)</f>
        <v/>
      </c>
      <c r="G184" s="185">
        <f>IF(INT(MAX(0,F184))&lt;=12348,0,IF(INT(MAX(0,F184))&lt;=17799,(914.51*((INT(MAX(0,F184))-12348)/10000)+1400)*((INT(MAX(0,F184))-12348)/10000),IF(INT(MAX(0,F184))&lt;=69878,(173.1*((INT(MAX(0,F184))-17799)/10000)+2397)*((INT(MAX(0,F184))-17799)/10000)+1034.87,IF(INT(MAX(0,F184))&lt;=277825,0.42*INT(MAX(0,F184))-11135.63,0.45*INT(MAX(0,F184))-19470.38))))</f>
        <v/>
      </c>
      <c r="H184" s="185">
        <f>A184-B184-G184-'Plan-Annahmen'!$B$88*12</f>
        <v/>
      </c>
    </row>
    <row r="185" ht="15" customHeight="1" s="116">
      <c r="A185" s="221" t="n">
        <v>150000</v>
      </c>
      <c r="B185" s="219">
        <f>MIN(MAX(A185/12,'Plan-Annahmen'!$B$100),'Plan-Annahmen'!$B$101)*12*('Plan-Annahmen'!$B$97+'Plan-Annahmen'!$B$98+'Plan-Annahmen'!$B$99)</f>
        <v/>
      </c>
      <c r="C185" s="219">
        <f>MAX(0,A185-B185-'Plan-Annahmen'!$B$102)</f>
        <v/>
      </c>
      <c r="D185" s="185">
        <f>IF(INT(MAX(0,C185))&lt;=12348,0,IF(INT(MAX(0,C185))&lt;=17799,(914.51*((INT(MAX(0,C185))-12348)/10000)+1400)*((INT(MAX(0,C185))-12348)/10000),IF(INT(MAX(0,C185))&lt;=69878,(173.1*((INT(MAX(0,C185))-17799)/10000)+2397)*((INT(MAX(0,C185))-17799)/10000)+1034.87,IF(INT(MAX(0,C185))&lt;=277825,0.42*INT(MAX(0,C185))-11135.63,0.45*INT(MAX(0,C185))-19470.38))))</f>
        <v/>
      </c>
      <c r="E185" s="185">
        <f>A185-B185-D185</f>
        <v/>
      </c>
      <c r="F185" s="219">
        <f>MAX(0,A185-B185-'Plan-Annahmen'!$B$88*12-'Plan-Annahmen'!$B$102)</f>
        <v/>
      </c>
      <c r="G185" s="185">
        <f>IF(INT(MAX(0,F185))&lt;=12348,0,IF(INT(MAX(0,F185))&lt;=17799,(914.51*((INT(MAX(0,F185))-12348)/10000)+1400)*((INT(MAX(0,F185))-12348)/10000),IF(INT(MAX(0,F185))&lt;=69878,(173.1*((INT(MAX(0,F185))-17799)/10000)+2397)*((INT(MAX(0,F185))-17799)/10000)+1034.87,IF(INT(MAX(0,F185))&lt;=277825,0.42*INT(MAX(0,F185))-11135.63,0.45*INT(MAX(0,F185))-19470.38))))</f>
        <v/>
      </c>
      <c r="H185" s="185">
        <f>A185-B185-G185-'Plan-Annahmen'!$B$88*12</f>
        <v/>
      </c>
    </row>
    <row r="187" ht="39" customHeight="1" s="116">
      <c r="A187" s="157" t="inlineStr">
        <is>
          <t>Tabelle in 1.000-€-Schritten: KV/PV auf den Gewinn (Mindest- und Höchstbemessung 2026), zu versteuerndes Einkommen = Gewinn − KV/PV (− Altersvorsorge) − 36 € Pauschbetrag, Einkommensteuer nach § 32a EStG 2026, Netto = Gewinn − KV/PV − Steuer. Vereinfachungen: KV/PV und Basis-Altersvorsorge voll abzugsfähig, kein Solidaritätszuschlag, keine Kirchensteuer, keine Gewerbesteuer (Freibetrag).</t>
        </is>
      </c>
    </row>
  </sheetData>
  <mergeCells count="6">
    <mergeCell ref="A29:I29"/>
    <mergeCell ref="A18:I18"/>
    <mergeCell ref="A27:I27"/>
    <mergeCell ref="A31:I31"/>
    <mergeCell ref="A2:I4"/>
    <mergeCell ref="A187:I18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0" customWidth="1" style="213" min="1" max="1"/>
  </cols>
  <sheetData>
    <row r="1" ht="17.25" customHeight="1" s="116">
      <c r="A1" s="222" t="inlineStr">
        <is>
          <t>Legende &amp; Anleitung — Kostenübersicht Sofortangebot</t>
        </is>
      </c>
    </row>
    <row r="3" ht="15" customHeight="1" s="116">
      <c r="A3" s="223" t="inlineStr">
        <is>
          <t>Warum diese Struktur (für Sandy, in einfach)</t>
        </is>
      </c>
    </row>
    <row r="4" ht="77.25" customHeight="1" s="116">
      <c r="A4" s="224" t="inlineStr">
        <is>
          <t>Diese Datei ist so aufgebaut, dass sie später direkt an einen Steuerberater übergeben werden kann, ohne dass jemand alles neu zusammensuchen muss: jede Rechnung einzeln mit Rechnungs-nummer, Netto-/USt-/Brutto-Betrag, steuerlicher Einordnung und Verweis auf die Original-Datei im Rechnungen-Ordner. Wichtig: Ich bin kein Steuerberater — ich bereite die Zahlen sauber auf, die steuerliche Bewertung (z. B. Reverse Charge, Kleinunternehmer-Status, Vorsteuerabzug) muss ein echter Steuerberater bestätigen.</t>
        </is>
      </c>
    </row>
    <row r="6" ht="15" customHeight="1" s="116">
      <c r="A6" s="223" t="inlineStr">
        <is>
          <t>Farben</t>
        </is>
      </c>
    </row>
    <row r="7" ht="15" customHeight="1" s="116">
      <c r="A7" s="225" t="inlineStr">
        <is>
          <t>Blaue Schrift = Wert direkt aus einem Beleg übernommen.</t>
        </is>
      </c>
    </row>
    <row r="8" ht="15" customHeight="1" s="116">
      <c r="A8" s="226" t="inlineStr">
        <is>
          <t>Grüne Schrift = Formel/Verweis auf ein anderes Feld oder Blatt.</t>
        </is>
      </c>
    </row>
    <row r="9" ht="15" customHeight="1" s="116">
      <c r="A9" s="227" t="inlineStr">
        <is>
          <t>Orange Füllung = Betrag/Angabe liegt vor, aber es gibt eine Auffälligkeit, die Sandy klären muss.</t>
        </is>
      </c>
    </row>
    <row r="10" ht="15" customHeight="1" s="116">
      <c r="A10" s="228" t="inlineStr">
        <is>
          <t>Gelbe Füllung = noch offen / noch kein Wert eingetragen (z. B. fehlender Monat, noch nicht aufgefundener Beleg).</t>
        </is>
      </c>
    </row>
    <row r="11" ht="15" customHeight="1" s="116">
      <c r="A11" s="229" t="inlineStr">
        <is>
          <t>Graue Füllung = Dienst bekannt, aber noch gar kein Beleg gefunden.</t>
        </is>
      </c>
    </row>
    <row r="13" ht="15" customHeight="1" s="116">
      <c r="A13" s="223" t="inlineStr">
        <is>
          <t>Blätter in dieser Datei</t>
        </is>
      </c>
    </row>
    <row r="14" ht="15" customHeight="1" s="116">
      <c r="A14" s="224" t="inlineStr">
        <is>
          <t>1) Kostenübersicht — ein Dienst pro Zeile: aktuellster Betrag, Rhythmus, USt-Behandlung, Status.</t>
        </is>
      </c>
    </row>
    <row r="15" ht="102.75" customHeight="1" s="116">
      <c r="A15" s="224" t="inlineStr">
        <is>
          <t>2) Rechnungsjournal — die eigentliche Beleg-Ebene: eine Zeile pro Rechnung, mit allem, was für die Buchhaltung zählt (Rechnungsnummer, Leistungszeitraum, Netto/USt/Brutto, Reverse-Charge-Kennzeichnung, Zahlungsart, Verweis auf die Beleg-Datei im Ordner). Neue Belege bitte als neue Zeile anhängen, nie bestehende Zeilen überschreiben (Nachvollziehbarkeit/GoBD-Grundsatz). Seit 2026-09-02 zusätzlich Spalte 'Sofortangebot-Anteil (Brutto)': bei Rechnungen, die mehrere Domains/Projekte bündeln (aktuell nur die IONOS-Domainrechnungen), steht in 'Brutto-Betrag' weiterhin die volle Original-Rechnungssumme (GoBD-Vollständigkeit), aber in 'Sofortangebot-Anteil' nur der Teil, der tatsächlich zu Sofortangebot gehört. Monatsverlauf rechnet mit dem Anteil, nicht mit dem vollen Brutto-Betrag.</t>
        </is>
      </c>
    </row>
    <row r="16" ht="26.25" customHeight="1" s="116">
      <c r="A16" s="224" t="inlineStr">
        <is>
          <t>3) Monatsverlauf — zieht die Beträge per Formel automatisch aus dem Rechnungsjournal (nach Monat, Dienst, Währung). Aktualisiert sich von selbst, sobald neue Journal-Zeilen dazukommen.</t>
        </is>
      </c>
    </row>
    <row r="17" ht="39" customHeight="1" s="116">
      <c r="A17" s="224" t="inlineStr">
        <is>
          <t>4) Plan-Deckblatt — der Finanzplan auf einer Seite: ab wann trägt es sich, wie viel muss Sandy vorstrecken, wann wird aus dem Einzelunternehmen eine UG, ab wann kann sie reduzieren und ganz aufhören — je Szenario, mit Vorher/Nachher gegenüber der ersten Planfassung. Alles Weitere ist Beleg.</t>
        </is>
      </c>
    </row>
    <row r="18" ht="51.75" customHeight="1" s="116">
      <c r="A18" s="224" t="inlineStr">
        <is>
          <t>5) Plan-Annahmen — alle Eingaben des Finanzplans an einer Stelle. Gelb = hier ändern, nirgends sonst. Enthält Sandys Netto-Bedarf und Zeitbudget, das (noch anzupassende) Bruttogehalt, Preise und Stückkosten mit der Deckungsbeitragsrechnung, Abwanderungsraten, Mundpropaganda-Parameter, den UG-Auslöser, die Ausstiegsstufen sowie die Steuer- und Krankenversicherungswerte 2026.</t>
        </is>
      </c>
    </row>
    <row r="19" ht="51.75" customHeight="1" s="116">
      <c r="A19" s="224" t="inlineStr">
        <is>
          <t>6) Plan-Kunden — das Kundenmodell: Neukunden je Monat aus dem Kanalplan von Head of Marketing (docs/gtm-kanalplan.xlsx), zusätzlich Mundpropaganda aus der aktiven Kundenbasis, abzüglich Abwanderung (Gründer- und Standardkunden getrennt). Rechts das Zeitbudget: Vertrieb, Support, Onboarding und Grundlast gegen Sandys zwei Kapazitätslinien.</t>
        </is>
      </c>
    </row>
    <row r="20" ht="51.75" customHeight="1" s="116">
      <c r="A20" s="224" t="inlineStr">
        <is>
          <t>7) Plan-Kosten — der Vollständigkeits-Katalog A–H des Chief of Staff: Gründung, Recht, Versicherungen, Steuern/Buchhaltung, Technik, Marketing, Kundenrisiken, Privatseite. Auch Posten, die nicht zutreffen, stehen drin — mit Begründung, damit kein Kästchen leer bleibt. Rechts eine Monatsmatrix 1–24, die das Raster speist; unten der UG-Block, der erst ab der UG-Gründung zugeschaltet wird.</t>
        </is>
      </c>
    </row>
    <row r="21" ht="26.25" customHeight="1" s="116">
      <c r="A21" s="224" t="inlineStr">
        <is>
          <t>8) Plan-24M — Monatsraster September 2026 bis August 2028, drei Szenarien: Kunden, Umsatz, Kosten, Ergebnis, Steuerrücklage und Liquidität Monat für Monat.</t>
        </is>
      </c>
    </row>
    <row r="22" ht="39" customHeight="1" s="116">
      <c r="A22" s="224" t="inlineStr">
        <is>
          <t>9) Plan-Phase B — der Ausstieg aus der Anstellung als Treppe: Stufe A (40 Std.), Stufe B1 (30 bzw. 25 Std. — Sofortangebot schließt nur die Lücke, die Krankenversicherung bleibt beim Arbeitgeber) und Stufe B2 (Anstellung fällt ganz weg). Je Stufe: nötige Betriebe und nötiger Umsatz.</t>
        </is>
      </c>
    </row>
    <row r="23" ht="15" customHeight="1" s="116">
      <c r="A23" s="224" t="inlineStr">
        <is>
          <t>10) Diese Seite.</t>
        </is>
      </c>
    </row>
    <row r="25" ht="15" customHeight="1" s="116">
      <c r="A25" s="223" t="inlineStr">
        <is>
          <t>Der Finanzplan (CoS-F-003, Fassung 2 vom 03.09.2026)</t>
        </is>
      </c>
    </row>
    <row r="26" ht="229.5" customHeight="1" s="116">
      <c r="A26" s="224" t="inlineStr">
        <is>
          <t>24-Monats-Finanzplan (September 2026 bis August 2028) auf Basis derselben Preise und laufenden Kosten wie der Rest der Datei — bewusst keine zweite Zahlenwelt. Die Kundenzahlen kommen aus dem Kanalplan von Head of Marketing (CoS-M-007), die Kostenliste aus dem Vollständigkeits-Katalog des Chief of Staff, das Zeitbudget aus Sandys eigener Angabe (15–20 Std./Woche). Drei Dinge, die man beim Lesen wissen sollte. Erstens die Rechtsform: Sandy hat am Abend des 03.09.2026 entschieden, als Einzelunternehmen (Kleingewerbe, §19 UStG) ab Oktober 2026 zu starten und die UG erst bei rund 20 zahlenden Betrieben zu gründen — der UG-Schalter hängt deshalb an der Kundenzahl, nicht an einem Datum, und springt in jedem Szenario in einem anderen Monat an. Zweitens: Die 17 Belege aus Mai bis August 2026 sind Privatausgaben und NICHT Teil der Kostenbasis des Plans; sie bleiben im Rechnungsjournal als Historie stehen, Sandy nimmt den Anmeldetag als Startdatum. Drittens die Steuer: Für die Einzelunternehmens-Phase rechnet der Plan korrekt (Gewinn als gewerbliche Einkünfte oben auf Sandys Gehalt). Ab dem UG-Monat gilt ein Vorbehalt — Körperschaft- und Gewerbesteuer auf Gesellschaftsebene und danach Gehalt oder Ausschüttung sind eine Steuerberater-Rechnung, die ich nicht verbindlich aufstellen darf. Ansonsten durchgehend vorsichtig gerechnet: keine Verlustverrechnung mit dem Gehalt, kein Vorsteuerabzug ohne Regelbesteuerung, frei werdende Gründerplätze werden nicht neu vergeben, Steuer sofort zurückgelegt. Die frühere Fassung (UG ab Monat 1) und die beiden CoS-F-002-Blätter wurden auf Sandys Wunsch ersetzt statt danebengestellt — eine Datei, ein Plan. Die Begründung, was sich warum geändert hat, steht in docs/chief-of-staff-finance-todos.md.</t>
        </is>
      </c>
    </row>
    <row r="28" ht="15" customHeight="1" s="116">
      <c r="A28" s="223" t="inlineStr">
        <is>
          <t>CoS-F-002 — Marge &amp; Tragfähigkeit (03.09.2026)</t>
        </is>
      </c>
    </row>
    <row r="29" ht="153" customHeight="1" s="116">
      <c r="A29" s="224" t="inlineStr">
        <is>
          <t>Auftrag von Chief of Staff, ausgelöst durch Sandys Preisentscheidung (docs/preismodell.md, ✅ entschieden 03.09.2026): Kosten pro Angebot, Deckungsbeitrag bei 49€/29€ (inkl. Vielnutzer-Fall), Break-even-Kundenzahl und Zeitpunkt der Kleinunternehmergrenze durchrechnen — vor einem Steuerberater-Gespräch. Ausdrücklich NICHT Teil des Auftrags: eine Preisempfehlung — der Preis ist entschieden, ein ungünstiges Ergebnis wäre ein Befund zum Zurückmelden, keine Aufforderung, den Preis zu ändern. Auf ausdrückliche Vorgabe von Chief of Staff wird der konservative KI-Kosten-Wert (2,5 Cent/Angebot) verwendet, nicht der gemessene Wert (2,2 Cent). Fundstellen-Hinweis: docs/ki-kosten-messung.md wird an drei Stellen in den Koordinationsdateien als fertige Messung referenziert, existiert aber nirgends im Repository (weder committed noch als unversionierte Datei) — die Kernzahlen liegen glücklicherweise wortgleich auch direkt in chief-of-staff-finance-todos.md vor, wurden von dort übernommen, die Analyse musste dadurch nicht blockiert werden. Details, Annahmen und Quellen: Blätter 'Marge &amp; Tragfähigkeit' und 'Kleinunternehmergrenze'.</t>
        </is>
      </c>
    </row>
    <row r="31" ht="15" customHeight="1" s="116">
      <c r="A31" s="223" t="inlineStr">
        <is>
          <t>Stand zur Gewerbeanmeldung / USt-Status (aktualisiert 17.09.2026)</t>
        </is>
      </c>
    </row>
    <row r="32" ht="141" customHeight="1" s="116">
      <c r="A32" s="224" t="inlineStr">
        <is>
          <t>Sandy hat noch KEIN Gewerbe angemeldet; geplant ist die Anmeldung in KW 41 (nach der Italienreise 18.–25.09.2026). Umsatzsteuerlich gilt ab dann NICHT mehr § 19: Sandy hat am 17.09.2026 den freiwilligen Verzicht auf die Kleinunternehmerregelung gewaehlt (§ 19 Abs. 2 UStG, Bindung fuenf Jahre, Heimat der Entscheidung: docs/preismodell.md). Erklaert wird der Verzicht im Fragebogen zur steuerlichen Erfassung — vorher ist nichts beim Finanzamt. Alle bisherigen Belege stammen aus der Zeit vor der Gruendung; sie bleiben als vorweggenommene Betriebsausgaben ansetzbar, der Vorsteuerabzug daraus ist eine Frage fuer das Steuerberater-Erstgespraech.</t>
        </is>
      </c>
    </row>
    <row r="34" ht="15" customHeight="1" s="116">
      <c r="A34" s="223" t="inlineStr">
        <is>
          <t>Auffälligkeiten aus den bisherigen 17 Belegen (Stand 2026-09-02) — bitte von Sandy klären</t>
        </is>
      </c>
    </row>
    <row r="35" ht="51.75" customHeight="1" s="116">
      <c r="A35" s="224" t="inlineStr">
        <is>
          <t>• Supabase: Kosten seit Mai gestiegen ($25,00 → $49,97 → $54,30), im August leicht gesunken auf $53,83. Weiterhin 5 verschiedene Projekt-Referenzen in älteren Belegen, dokumentiert sind nur 2 (Staging + Produktion) — im August-Beleg (MVGOOM-00007) taucht eine der 5 Referenzen ('ytvysmwepajatcdhkgup') erstmals nicht mehr auf. Werden die verbleibenden 4 alle gebraucht?</t>
        </is>
      </c>
    </row>
    <row r="36" ht="26.25" customHeight="1" s="116">
      <c r="A36" s="224" t="inlineStr">
        <is>
          <t>• Zwei offenbar getrennte Claude-Positionen: direkte Anthropic-Rechnung (Geschäftsadresse) UND Claude-Pro-Abo über Apple/iTunes (22 €/Monat, andere Adresse, PayPal). Geschäftlich oder privat?</t>
        </is>
      </c>
    </row>
    <row r="37" ht="26.25" customHeight="1" s="116">
      <c r="A37" s="224" t="inlineStr">
        <is>
          <t>• Claude-Pro-Apple-Abo: Belege für Juni und Juli fehlen weiterhin (nur Mai und August vorhanden) — bitte in der Apple-Kaufhistorie nachsehen und ergänzen, damit der Monatsverlauf vollständig ist.</t>
        </is>
      </c>
    </row>
    <row r="38" ht="26.25" customHeight="1" s="116">
      <c r="A38" s="224" t="inlineStr">
        <is>
          <t>• Zwei unterschiedliche Adressen für Sandra Holm (Wielandstraße 11 vs. Krampasplatz 4b) — vermutlich alt/neu, bitte kurz bestätigen.</t>
        </is>
      </c>
    </row>
    <row r="39" ht="51.75" customHeight="1" s="116">
      <c r="A39" s="224" t="inlineStr">
        <is>
          <t>• Genaues Datum der geplanten Gewerbeanmeldung? Hilft bei der sauberen Abgrenzung, welche Belege als vorweggenommene Betriebsausgaben zählen. Zusätzlich jetzt relevant: Sandy erwägt statt/neben dem Kleingewerbe eine UG (haftungsbeschränkt) — betrifft auch die Buchführungspflichten, siehe Update im Koordinations-Dokument.</t>
        </is>
      </c>
    </row>
    <row r="40" ht="26.25" customHeight="1" s="116">
      <c r="A40" s="224" t="inlineStr">
        <is>
          <t>• ERLEDIGT 17.09.2026 (Head of Finance): Supabase-Reverse-Charge-Rechnungen bei § 19 UStG — Sandy schuldet die 19 % deutsche USt selbst (§ 13b Abs. 2 Nr. 1 i. V. m. Abs. 5 UStG); § 19 schützt nur die eigenen Verkäufe, ein Vorsteuerabzug besteht nicht (§ 19 Abs. 1 i. V. m. § 15 UStG). Es sind also echte Kosten. Bisher aufgelaufen: 34,79 USD auf 183,10 USD Netto (Belege 2026-003/006/008/016), laufend rund 10 USD je Monat. Voranmeldung für die betroffenen Zeiträume nach § 18 Abs. 4a UStG. Nur noch für den Steuerberater: ab wann die Unternehmereigenschaft bestand (Vorbereitungshandlungen ab Mai 2026) und wie das über den Fragebogen zur steuerlichen Erfassung nach der Gewerbeanmeldung (KW 41) nachgeholt wird. Herleitung und Quellen im Eintrag vom 17.09.2026 in docs/chief-of-staff-finance-todos.md. Ergänzt 17.09.2026: in Euro sind das 30,17 € Umsatzsteuer auf 158,79 € Netto (Umrechnung zu den amtlichen BMF-Monatskursen, siehe Kurstabelle im Blatt Rechnungsjournal); laufend rund 8,80 € im Monat.</t>
        </is>
      </c>
    </row>
    <row r="41" ht="77.25" customHeight="1" s="116">
      <c r="A41" s="224" t="inlineStr">
        <is>
          <t>• IONOS-Domainrechnungen (Vertragsnummer 111811442) bündeln mehrere Domains — nur sofortangebot.app zählt für Sofortangebot (siehe Journal 2026-011 bis 2026-017 und Spalte 'Sofortangebot-Anteil'). Geklärt (Sandy, 02.09.2026): 'Domain Guard' (1,00 €, Privatsphärenschutz) und 'IONOS Mail Basic 5' (2,50 €/Monat) gehören beide zu sofortangebot.app — entsprechend im Anteil berücksichtigt. Die übrigen, klar fremden Domains auf denselben Rechnungen bleiben weiterhin ausgeschlossen.</t>
        </is>
      </c>
    </row>
    <row r="42" ht="15" customHeight="1" s="116">
      <c r="A42" s="224" t="inlineStr">
        <is>
          <t>• Noch keine Belege gefunden für: Resend, Sentry, GitHub-Plan.</t>
        </is>
      </c>
    </row>
    <row r="43" ht="15" customHeight="1" s="116">
      <c r="A43" s="224" t="inlineStr">
        <is>
          <t>• Anthropic-Direktrechnung: einmaliger Nachkauf oder wiederkehrender Posten?</t>
        </is>
      </c>
    </row>
    <row r="44" ht="26.25" customHeight="1" s="116">
      <c r="A44" s="224" t="inlineStr">
        <is>
          <t>• ERLEDIGT 17.09.2026 (Head of Finance): EUR-Umrechnung der USD-Rechnungen. Es braucht dafür keine Entscheidung des Steuerberaters — § 16 Abs. 6 UStG schreibt die vom BMF monatlich veröffentlichten Durchschnittskurse zwingend vor. Maßgeblich ist der Monat des Rechnungsdatums. Kurse 2026 (USD je 1 EUR): Mai 1,1673 · Juni 1,1518 · Juli 1,1417 · August 1,1593 (BMF-Schreiben vom 01.09.2026, Gz. III C 3 - S 7329/00014/008/112). Spalte 'Betrag EUR' im Journal ist gefüllt und rechnet über die Kurstabelle unter der Journaltabelle; ein neuer Monat wird dort eingetragen, nicht in jede Zeile. Für die Einnahmenüberschussrechnung wird derselbe Kurs verwendet, damit nur eine Methode im Haus ist.</t>
        </is>
      </c>
    </row>
    <row r="45" ht="64.5" customHeight="1" s="116">
      <c r="A45" s="224" t="inlineStr">
        <is>
          <t>• ERLEDIGT 17.09.2026 (Head of Finance): Die 19 % Reverse-Charge-Steuer auf die Supabase-Rechnungen (rund 10 USD/Monat) waeren nur unter § 19 UStG echte Kosten gewesen. Mit der Entscheidung fuer die Regelbesteuerung (17.09.2026, docs/preismodell.md) sind sie durchlaufend: angemeldet und im selben Zug als Vorsteuer gezogen, Saldo null. Im Finanzplan steht die Supabase-Zeile deshalb mit Vorsteueranteil 0 (Plan-Kosten, Spalte AL).</t>
        </is>
      </c>
    </row>
    <row r="46" ht="39" customHeight="1" s="116">
      <c r="A46" s="224" t="inlineStr">
        <is>
          <t>• NEU 17.09.2026 (Head of Finance): Beleg 2026-018, DIN Media GmbH, 54,00 € brutto (50,47 € netto + 3,53 € USt zu 7 %) — die erste echte E-Rechnung im Eingang (ZUGFeRD/Factur-X EXTENDED). Einmalige Anschaffung, deshalb NUR im Rechnungsjournal und NICHT in Kostenuebersicht-Monatsbetrag oder Monatsverlauf: beide fuehren ausschliesslich laufende Kosten. Wer die Gesamtausgaben 2026 braucht, summiert das Rechnungsjournal, nicht die Kostenuebersicht. Unter Regelbesteuerung (Entscheidung F-006 = B) sind die 3,53 € Vorsteuer.</t>
        </is>
      </c>
    </row>
    <row r="47" ht="39" customHeight="1" s="116">
      <c r="A47" s="230" t="inlineStr">
        <is>
          <t>Hinweis: Diese Datei liegt unter docs/kostenuebersicht-finance.xlsx im Repo und wird von Head of Finance gepflegt. Fortschritt/Rückfragen laufen über docs/chief-of-staff-finance-todos.md (CoS-F-001). Original-Belege liegen unverändert im Ordner 'Rechnungen' auf Sandys Rechner.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2026-09-03T18:23:12Z</dcterms:created>
  <dcterms:modified xmlns:dcterms="http://purl.org/dc/terms/" xmlns:xsi="http://www.w3.org/2001/XMLSchema-instance" xsi:type="dcterms:W3CDTF">2026-09-23T09:59:13Z</dcterms:modified>
  <cp:revision>0</cp:revision>
</cp:coreProperties>
</file>