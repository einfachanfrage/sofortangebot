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Legende &amp; offene Punkte"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<sst xmlns="http://schemas.openxmlformats.org/spreadsheetml/2006/main" count="375" uniqueCount="245">
  <si>
    <t xml:space="preserve">Sofortangebot — Laufende Geschäftskosten</t>
  </si>
  <si>
    <t xml:space="preserve">Stand: 2026-09-02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</si>
  <si>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</si>
  <si>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</si>
  <si>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</si>
  <si>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</si>
  <si>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</si>
  <si>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</si>
  <si>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</si>
  <si>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</si>
  <si>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</si>
  <si>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</si>
  <si>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</si>
  <si>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</si>
  <si>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</si>
  <si>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</si>
  <si>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</si>
  <si>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</si>
  <si>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</si>
  <si>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</si>
  <si>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</si>
  <si>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</si>
  <si>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</si>
  <si>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</si>
  <si>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</si>
  <si>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</si>
  <si>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</si>
  <si>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</si>
  <si>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</si>
  <si>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</si>
  <si>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</si>
  <si>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</si>
  <si>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</si>
  <si>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</si>
  <si>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</si>
  <si>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</si>
  <si>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</si>
  <si>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</si>
  <si>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</si>
  <si>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</si>
  <si>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</si>
  <si>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</si>
  <si>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</si>
  <si>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</si>
  <si>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</si>
  <si>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</si>
  <si>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</si>
  <si>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</si>
  <si>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</si>
  <si>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</si>
  <si>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</si>
  <si>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</si>
  <si>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</si>
  <si>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</si>
  <si>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</si>
  <si>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</si>
  <si>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</si>
  <si>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</si>
  <si>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</si>
  <si>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</si>
  <si>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</si>
  <si>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</si>
  <si>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</si>
  <si>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</si>
  <si>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</si>
  <si>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</si>
  <si>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</si>
  <si>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</si>
  <si>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</si>
  <si>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</si>
  <si>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</si>
  <si>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</si>
  <si>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</si>
  <si>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</si>
  <si>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</si>
  <si>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</si>
  <si>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</si>
  <si>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</si>
  <si>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</si>
  <si>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</si>
  <si>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</si>
  <si>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</si>
  <si>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</si>
  <si>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</si>
  <si>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</si>
  <si>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</si>
  <si>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</si>
  <si>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</si>
  <si>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</si>
  <si>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</si>
  <si>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</si>
  <si>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</si>
  <si>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</si>
  <si>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</si>
  <si>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</si>
  <si>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</si>
  <si>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</si>
  <si>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</si>
  <si>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</si>
  <si>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</si>
  <si>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</si>
  <si>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</si>
  <si>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</si>
  <si>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</si>
  <si>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</si>
  <si>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</si>
  <si>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</si>
  <si>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</si>
  <si>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</si>
  <si>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</si>
  <si>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</si>
  <si>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</si>
  <si>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</si>
  <si>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</si>
  <si>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</si>
  <si>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</si>
  <si>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</si>
  <si>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</si>
  <si>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</si>
  <si>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</si>
  <si>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</si>
  <si>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</si>
  <si>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</si>
  <si>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</si>
  <si>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</si>
  <si>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</si>
  <si>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</si>
  <si>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</si>
  <si>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</si>
  <si>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</si>
  <si>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</si>
  <si>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</si>
  <si>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</si>
  <si>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</si>
  <si>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</si>
  <si>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</si>
  <si>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</si>
  <si>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</si>
  <si>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</si>
  <si>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</si>
  <si>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</si>
  <si>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</si>
  <si>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</si>
  <si>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</si>
  <si>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</si>
  <si>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</si>
  <si>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</si>
  <si>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</si>
  <si>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</si>
  <si>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</si>
  <si>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</si>
  <si>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</si>
  <si>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</si>
  <si>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</si>
  <si>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</si>
  <si>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</si>
  <si>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</si>
  <si>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</si>
  <si>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</si>
  <si>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</si>
  <si>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</si>
  <si>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</si>
  <si>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</si>
  <si>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</si>
  <si>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</si>
  <si>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</si>
  <si>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</si>
  <si>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</si>
  <si>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</si>
  <si>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</si>
  <si>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</si>
  <si>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</si>
  <si>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</si>
  <si>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</si>
  <si>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</si>
  <si>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</si>
  <si>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</si>
  <si>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</si>
  <si>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</si>
  <si>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</si>
  <si>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</si>
  <si>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</si>
  <si>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</si>
  <si>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</si>
  <si>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</si>
  <si>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</si>
  <si>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</si>
  <si>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</si>
  <si>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</si>
  <si>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</si>
  <si>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</si>
  <si>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</si>
  <si>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</si>
  <si>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</si>
  <si>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</si>
  <si>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</si>
  <si>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</si>
  <si>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</si>
  <si>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</si>
  <si>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</si>
  <si>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</si>
  <si>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</si>
  <si>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</si>
  <si>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</si>
  <si>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</si>
  <si>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</si>
  <si>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</si>
  <si>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</si>
  <si>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</si>
  <si>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</si>
  <si>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</si>
  <si>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</si>
  <si>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</si>
  <si>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</si>
  <si>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</si>
  <si>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</si>
  <si>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</si>
  <si>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</si>
  <si>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</si>
  <si>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</si>
  <si>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</si>
  <si>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</si>
  <si>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</si>
  <si>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</si>
  <si>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</si>
  <si>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</si>
  <si>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</si>
  <si>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</si>
  <si>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</si>
  <si>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</si>
  <si>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Diese Seite.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</si>
  <si>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</si>
  <si>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</si>
  <si>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</si>
  <si>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</si>
  <si>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</si>
  <si>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</si>
  <si>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</si>
  <si>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</si>
  <si>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Wie sind die Supabase-Reverse-Charge-Rechnungen für eine Kleinunternehmerin (§19 UStG) zu behandeln (siehe Absatz oben)? — mit Steuerberater klären, sobald einer feststeht.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</si>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</sst>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7">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90.25" hidden="false" customHeight="false" outlineLevel="0" collapsed="false">
      <c r="A5" s="4" t="s">
        <v>11</v>
      </c>
      <c r="B5" s="4" t="s">
        <v>12</v>
      </c>
      <c r="C5" s="4" t="s">
        <v>13</v>
      </c>
      <c r="D5" s="5" t="n">
        <v>53.83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64.9" hidden="false" customHeight="false" outlineLevel="0" collapsed="false">
      <c r="A9" s="4" t="s">
        <v>41</v>
      </c>
      <c r="B9" s="4" t="s">
        <v>27</v>
      </c>
      <c r="C9" s="4" t="s">
        <v>13</v>
      </c>
      <c r="D9" s="7" t="n">
        <v>17.85</v>
      </c>
      <c r="E9" s="4" t="s">
        <v>42</v>
      </c>
      <c r="F9" s="4" t="s">
        <v>29</v>
      </c>
      <c r="G9" s="4" t="s">
        <v>43</v>
      </c>
      <c r="H9" s="4" t="s">
        <v>24</v>
      </c>
      <c r="I9" s="4" t="s">
        <v>44</v>
      </c>
    </row>
    <row r="10" customFormat="false" ht="26.85" hidden="false" customHeight="false" outlineLevel="0" collapsed="false">
      <c r="A10" s="4" t="s">
        <v>45</v>
      </c>
      <c r="B10" s="4" t="s">
        <v>46</v>
      </c>
      <c r="C10" s="4" t="s">
        <v>47</v>
      </c>
      <c r="D10" s="9"/>
      <c r="E10" s="4" t="s">
        <v>29</v>
      </c>
      <c r="F10" s="4" t="s">
        <v>29</v>
      </c>
      <c r="G10" s="4" t="s">
        <v>29</v>
      </c>
      <c r="H10" s="10" t="s">
        <v>48</v>
      </c>
      <c r="I10" s="4" t="s">
        <v>49</v>
      </c>
    </row>
    <row r="11" customFormat="false" ht="115.65" hidden="false" customHeight="false" outlineLevel="0" collapsed="false">
      <c r="A11" s="4" t="s">
        <v>50</v>
      </c>
      <c r="B11" s="4" t="s">
        <v>51</v>
      </c>
      <c r="C11" s="4" t="s">
        <v>35</v>
      </c>
      <c r="D11" s="11" t="n">
        <v>2.5</v>
      </c>
      <c r="E11" s="4" t="s">
        <v>52</v>
      </c>
      <c r="F11" s="4" t="s">
        <v>53</v>
      </c>
      <c r="G11" s="4" t="s">
        <v>54</v>
      </c>
      <c r="H11" s="4" t="s">
        <v>24</v>
      </c>
      <c r="I11" s="4" t="s">
        <v>55</v>
      </c>
    </row>
    <row r="12" customFormat="false" ht="26.85" hidden="false" customHeight="false" outlineLevel="0" collapsed="false">
      <c r="A12" s="4" t="s">
        <v>56</v>
      </c>
      <c r="B12" s="4" t="s">
        <v>57</v>
      </c>
      <c r="C12" s="4" t="s">
        <v>47</v>
      </c>
      <c r="D12" s="9"/>
      <c r="E12" s="4" t="s">
        <v>29</v>
      </c>
      <c r="F12" s="4" t="s">
        <v>29</v>
      </c>
      <c r="G12" s="4" t="s">
        <v>29</v>
      </c>
      <c r="H12" s="10" t="s">
        <v>48</v>
      </c>
      <c r="I12" s="4" t="s">
        <v>58</v>
      </c>
    </row>
    <row r="13" customFormat="false" ht="39.55" hidden="false" customHeight="false" outlineLevel="0" collapsed="false">
      <c r="A13" s="4" t="s">
        <v>59</v>
      </c>
      <c r="B13" s="4" t="s">
        <v>60</v>
      </c>
      <c r="C13" s="4" t="s">
        <v>47</v>
      </c>
      <c r="D13" s="9"/>
      <c r="E13" s="4" t="s">
        <v>61</v>
      </c>
      <c r="F13" s="4" t="s">
        <v>29</v>
      </c>
      <c r="G13" s="4" t="s">
        <v>29</v>
      </c>
      <c r="H13" s="10" t="s">
        <v>62</v>
      </c>
      <c r="I13" s="4" t="s">
        <v>63</v>
      </c>
    </row>
    <row r="14" customFormat="false" ht="39.55" hidden="false" customHeight="false" outlineLevel="0" collapsed="false">
      <c r="A14" s="4" t="s">
        <v>64</v>
      </c>
      <c r="B14" s="4" t="s">
        <v>65</v>
      </c>
      <c r="C14" s="4" t="s">
        <v>47</v>
      </c>
      <c r="D14" s="9"/>
      <c r="E14" s="4" t="s">
        <v>66</v>
      </c>
      <c r="F14" s="4" t="s">
        <v>67</v>
      </c>
      <c r="G14" s="4" t="s">
        <v>29</v>
      </c>
      <c r="H14" s="10" t="s">
        <v>68</v>
      </c>
      <c r="I14" s="4" t="s">
        <v>69</v>
      </c>
    </row>
    <row r="15" customFormat="false" ht="15" hidden="false" customHeight="false" outlineLevel="0" collapsed="false">
      <c r="A15" s="10"/>
      <c r="B15" s="4"/>
      <c r="C15" s="4"/>
      <c r="D15" s="12"/>
      <c r="E15" s="4"/>
      <c r="F15" s="4"/>
      <c r="G15" s="4"/>
      <c r="H15" s="4"/>
      <c r="I15" s="4"/>
    </row>
    <row r="16" customFormat="false" ht="15" hidden="false" customHeight="false" outlineLevel="0" collapsed="false">
      <c r="A16" s="10"/>
      <c r="B16" s="4"/>
      <c r="C16" s="4"/>
      <c r="D16" s="12"/>
      <c r="E16" s="4"/>
      <c r="F16" s="4"/>
      <c r="G16" s="4"/>
      <c r="H16" s="4"/>
      <c r="I16" s="4"/>
    </row>
    <row r="18" customFormat="false" ht="15" hidden="false" customHeight="false" outlineLevel="0" collapsed="false">
      <c r="A18" s="13" t="s">
        <v>70</v>
      </c>
      <c r="B18" s="14"/>
      <c r="C18" s="14"/>
      <c r="D18" s="15" t="n">
        <f aca="false">SUMIF(C5:C16,"USD",D5:D16)</f>
        <v>149.03</v>
      </c>
      <c r="E18" s="14"/>
      <c r="F18" s="14"/>
      <c r="G18" s="14"/>
      <c r="H18" s="14"/>
      <c r="I18" s="14"/>
    </row>
    <row r="19" customFormat="false" ht="15" hidden="false" customHeight="false" outlineLevel="0" collapsed="false">
      <c r="A19" s="13" t="s">
        <v>71</v>
      </c>
      <c r="B19" s="14"/>
      <c r="C19" s="14"/>
      <c r="D19" s="16" t="n">
        <f aca="false">SUMIF(C5:C16,"EUR",D5:D16)</f>
        <v>24.5</v>
      </c>
      <c r="E19" s="14"/>
      <c r="F19" s="14"/>
      <c r="G19" s="14"/>
      <c r="H19" s="14"/>
      <c r="I19" s="14"/>
    </row>
    <row r="21" customFormat="false" ht="15" hidden="false" customHeight="false" outlineLevel="0" collapsed="false">
      <c r="A21" s="2" t="s">
        <v>72</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6"/>
    <col collapsed="false" customWidth="true" hidden="false" outlineLevel="0" max="15" min="15" style="0" width="34"/>
    <col collapsed="false" customWidth="true" hidden="false" outlineLevel="0" max="17" min="16" style="0" width="16"/>
    <col collapsed="false" customWidth="true" hidden="false" outlineLevel="0" max="18" min="18" style="0" width="30"/>
    <col collapsed="false" customWidth="true" hidden="false" outlineLevel="0" max="19" min="19" style="0" width="42"/>
  </cols>
  <sheetData>
    <row r="1" customFormat="false" ht="17.35" hidden="false" customHeight="false" outlineLevel="0" collapsed="false">
      <c r="A1" s="1" t="s">
        <v>73</v>
      </c>
      <c r="B1" s="1"/>
      <c r="C1" s="1"/>
      <c r="D1" s="1"/>
      <c r="E1" s="1"/>
      <c r="F1" s="1"/>
      <c r="G1" s="1"/>
      <c r="H1" s="1"/>
      <c r="I1" s="1"/>
      <c r="J1" s="1"/>
      <c r="K1" s="1"/>
      <c r="L1" s="1"/>
      <c r="M1" s="1"/>
      <c r="N1" s="1"/>
      <c r="O1" s="1"/>
      <c r="P1" s="1"/>
      <c r="Q1" s="1"/>
      <c r="R1" s="1"/>
      <c r="S1" s="1"/>
    </row>
    <row r="2" customFormat="false" ht="15" hidden="false" customHeight="false" outlineLevel="0" collapsed="false">
      <c r="A2" s="2" t="s">
        <v>74</v>
      </c>
      <c r="B2" s="2"/>
      <c r="C2" s="2"/>
      <c r="D2" s="2"/>
      <c r="E2" s="2"/>
      <c r="F2" s="2"/>
      <c r="G2" s="2"/>
      <c r="H2" s="2"/>
      <c r="I2" s="2"/>
      <c r="J2" s="2"/>
      <c r="K2" s="2"/>
      <c r="L2" s="2"/>
      <c r="M2" s="2"/>
      <c r="N2" s="2"/>
      <c r="O2" s="2"/>
      <c r="P2" s="2"/>
      <c r="Q2" s="2"/>
      <c r="R2" s="2"/>
      <c r="S2" s="2"/>
    </row>
    <row r="4" customFormat="false" ht="26.85" hidden="false" customHeight="false" outlineLevel="0" collapsed="false">
      <c r="A4" s="3" t="s">
        <v>75</v>
      </c>
      <c r="B4" s="3" t="s">
        <v>76</v>
      </c>
      <c r="C4" s="3" t="s">
        <v>77</v>
      </c>
      <c r="D4" s="3" t="s">
        <v>78</v>
      </c>
      <c r="E4" s="3" t="s">
        <v>79</v>
      </c>
      <c r="F4" s="3" t="s">
        <v>80</v>
      </c>
      <c r="G4" s="3" t="s">
        <v>2</v>
      </c>
      <c r="H4" s="3" t="s">
        <v>81</v>
      </c>
      <c r="I4" s="3" t="s">
        <v>4</v>
      </c>
      <c r="J4" s="3" t="s">
        <v>82</v>
      </c>
      <c r="K4" s="3" t="s">
        <v>83</v>
      </c>
      <c r="L4" s="3" t="s">
        <v>84</v>
      </c>
      <c r="M4" s="3" t="s">
        <v>85</v>
      </c>
      <c r="N4" s="3" t="s">
        <v>86</v>
      </c>
      <c r="O4" s="3" t="s">
        <v>87</v>
      </c>
      <c r="P4" s="3" t="s">
        <v>88</v>
      </c>
      <c r="Q4" s="3" t="s">
        <v>89</v>
      </c>
      <c r="R4" s="3" t="s">
        <v>90</v>
      </c>
      <c r="S4" s="3" t="s">
        <v>91</v>
      </c>
    </row>
    <row r="5" customFormat="false" ht="64.9" hidden="false" customHeight="false" outlineLevel="0" collapsed="false">
      <c r="A5" s="4" t="s">
        <v>92</v>
      </c>
      <c r="B5" s="17" t="n">
        <v>46146</v>
      </c>
      <c r="C5" s="4" t="s">
        <v>93</v>
      </c>
      <c r="D5" s="4" t="s">
        <v>94</v>
      </c>
      <c r="E5" s="4" t="s">
        <v>95</v>
      </c>
      <c r="F5" s="4" t="s">
        <v>96</v>
      </c>
      <c r="G5" s="4" t="s">
        <v>33</v>
      </c>
      <c r="H5" s="4" t="s">
        <v>97</v>
      </c>
      <c r="I5" s="4" t="s">
        <v>35</v>
      </c>
      <c r="J5" s="11" t="n">
        <v>18.49</v>
      </c>
      <c r="K5" s="18" t="n">
        <v>0.19</v>
      </c>
      <c r="L5" s="11" t="n">
        <v>3.51</v>
      </c>
      <c r="M5" s="11" t="n">
        <v>22</v>
      </c>
      <c r="N5" s="11" t="n">
        <v>22</v>
      </c>
      <c r="O5" s="4" t="s">
        <v>98</v>
      </c>
      <c r="P5" s="19" t="n">
        <f aca="false">M5</f>
        <v>22</v>
      </c>
      <c r="Q5" s="4" t="s">
        <v>99</v>
      </c>
      <c r="R5" s="4" t="s">
        <v>100</v>
      </c>
      <c r="S5" s="20" t="s">
        <v>101</v>
      </c>
    </row>
    <row r="6" customFormat="false" ht="52.2" hidden="false" customHeight="false" outlineLevel="0" collapsed="false">
      <c r="A6" s="4" t="s">
        <v>102</v>
      </c>
      <c r="B6" s="17" t="n">
        <v>46164</v>
      </c>
      <c r="C6" s="4" t="s">
        <v>103</v>
      </c>
      <c r="D6" s="4" t="s">
        <v>104</v>
      </c>
      <c r="E6" s="4" t="s">
        <v>105</v>
      </c>
      <c r="F6" s="4" t="s">
        <v>106</v>
      </c>
      <c r="G6" s="4" t="s">
        <v>19</v>
      </c>
      <c r="H6" s="4" t="s">
        <v>107</v>
      </c>
      <c r="I6" s="4" t="s">
        <v>13</v>
      </c>
      <c r="J6" s="7" t="n">
        <v>20</v>
      </c>
      <c r="K6" s="18" t="n">
        <v>0.19</v>
      </c>
      <c r="L6" s="7" t="n">
        <v>3.8</v>
      </c>
      <c r="M6" s="7" t="n">
        <v>23.8</v>
      </c>
      <c r="N6" s="7" t="n">
        <v>23.8</v>
      </c>
      <c r="O6" s="4" t="s">
        <v>108</v>
      </c>
      <c r="P6" s="21"/>
      <c r="Q6" s="4" t="s">
        <v>109</v>
      </c>
      <c r="R6" s="4" t="s">
        <v>110</v>
      </c>
      <c r="S6" s="20" t="s">
        <v>111</v>
      </c>
    </row>
    <row r="7" customFormat="false" ht="179.1" hidden="false" customHeight="false" outlineLevel="0" collapsed="false">
      <c r="A7" s="4" t="s">
        <v>112</v>
      </c>
      <c r="B7" s="17" t="n">
        <v>46165</v>
      </c>
      <c r="C7" s="4" t="s">
        <v>113</v>
      </c>
      <c r="D7" s="4" t="s">
        <v>114</v>
      </c>
      <c r="E7" s="4" t="s">
        <v>115</v>
      </c>
      <c r="F7" s="4" t="s">
        <v>116</v>
      </c>
      <c r="G7" s="4" t="s">
        <v>11</v>
      </c>
      <c r="H7" s="4" t="s">
        <v>117</v>
      </c>
      <c r="I7" s="4" t="s">
        <v>13</v>
      </c>
      <c r="J7" s="7" t="n">
        <v>25</v>
      </c>
      <c r="K7" s="4" t="s">
        <v>118</v>
      </c>
      <c r="L7" s="7" t="n">
        <v>0</v>
      </c>
      <c r="M7" s="7" t="n">
        <v>25</v>
      </c>
      <c r="N7" s="7" t="n">
        <v>25</v>
      </c>
      <c r="O7" s="4" t="s">
        <v>119</v>
      </c>
      <c r="P7" s="21"/>
      <c r="Q7" s="4" t="s">
        <v>29</v>
      </c>
      <c r="R7" s="4" t="s">
        <v>120</v>
      </c>
      <c r="S7" s="20" t="s">
        <v>121</v>
      </c>
    </row>
    <row r="8" customFormat="false" ht="90.25" hidden="false" customHeight="false" outlineLevel="0" collapsed="false">
      <c r="A8" s="4" t="s">
        <v>122</v>
      </c>
      <c r="B8" s="17" t="n">
        <v>46187</v>
      </c>
      <c r="C8" s="4" t="s">
        <v>123</v>
      </c>
      <c r="D8" s="4" t="s">
        <v>124</v>
      </c>
      <c r="E8" s="4" t="s">
        <v>125</v>
      </c>
      <c r="F8" s="4" t="s">
        <v>106</v>
      </c>
      <c r="G8" s="4" t="s">
        <v>41</v>
      </c>
      <c r="H8" s="4" t="s">
        <v>126</v>
      </c>
      <c r="I8" s="4" t="s">
        <v>13</v>
      </c>
      <c r="J8" s="7" t="n">
        <v>15</v>
      </c>
      <c r="K8" s="18" t="n">
        <v>0.19</v>
      </c>
      <c r="L8" s="7" t="n">
        <v>2.85</v>
      </c>
      <c r="M8" s="7" t="n">
        <v>17.85</v>
      </c>
      <c r="N8" s="7" t="n">
        <v>17.85</v>
      </c>
      <c r="O8" s="4" t="s">
        <v>127</v>
      </c>
      <c r="P8" s="21"/>
      <c r="Q8" s="4" t="s">
        <v>29</v>
      </c>
      <c r="R8" s="4" t="s">
        <v>128</v>
      </c>
      <c r="S8" s="20" t="s">
        <v>129</v>
      </c>
    </row>
    <row r="9" customFormat="false" ht="64.9" hidden="false" customHeight="false" outlineLevel="0" collapsed="false">
      <c r="A9" s="4" t="s">
        <v>130</v>
      </c>
      <c r="B9" s="17" t="n">
        <v>46195</v>
      </c>
      <c r="C9" s="4" t="s">
        <v>131</v>
      </c>
      <c r="D9" s="4" t="s">
        <v>132</v>
      </c>
      <c r="E9" s="4" t="s">
        <v>105</v>
      </c>
      <c r="F9" s="4" t="s">
        <v>106</v>
      </c>
      <c r="G9" s="4" t="s">
        <v>19</v>
      </c>
      <c r="H9" s="4" t="s">
        <v>107</v>
      </c>
      <c r="I9" s="4" t="s">
        <v>13</v>
      </c>
      <c r="J9" s="7" t="n">
        <v>20</v>
      </c>
      <c r="K9" s="18" t="n">
        <v>0.19</v>
      </c>
      <c r="L9" s="7" t="n">
        <v>3.8</v>
      </c>
      <c r="M9" s="7" t="n">
        <v>23.8</v>
      </c>
      <c r="N9" s="7" t="n">
        <v>23.8</v>
      </c>
      <c r="O9" s="4" t="s">
        <v>108</v>
      </c>
      <c r="P9" s="21"/>
      <c r="Q9" s="4" t="s">
        <v>109</v>
      </c>
      <c r="R9" s="4" t="s">
        <v>133</v>
      </c>
      <c r="S9" s="20" t="s">
        <v>134</v>
      </c>
    </row>
    <row r="10" customFormat="false" ht="179.1" hidden="false" customHeight="false" outlineLevel="0" collapsed="false">
      <c r="A10" s="4" t="s">
        <v>135</v>
      </c>
      <c r="B10" s="17" t="n">
        <v>46196</v>
      </c>
      <c r="C10" s="4" t="s">
        <v>136</v>
      </c>
      <c r="D10" s="4" t="s">
        <v>137</v>
      </c>
      <c r="E10" s="4" t="s">
        <v>115</v>
      </c>
      <c r="F10" s="4" t="s">
        <v>116</v>
      </c>
      <c r="G10" s="4" t="s">
        <v>11</v>
      </c>
      <c r="H10" s="4" t="s">
        <v>117</v>
      </c>
      <c r="I10" s="4" t="s">
        <v>13</v>
      </c>
      <c r="J10" s="7" t="n">
        <v>49.97</v>
      </c>
      <c r="K10" s="4" t="s">
        <v>118</v>
      </c>
      <c r="L10" s="7" t="n">
        <v>0</v>
      </c>
      <c r="M10" s="7" t="n">
        <v>49.97</v>
      </c>
      <c r="N10" s="7" t="n">
        <v>49.97</v>
      </c>
      <c r="O10" s="4" t="s">
        <v>119</v>
      </c>
      <c r="P10" s="21"/>
      <c r="Q10" s="4" t="s">
        <v>29</v>
      </c>
      <c r="R10" s="4" t="s">
        <v>138</v>
      </c>
      <c r="S10" s="20" t="s">
        <v>139</v>
      </c>
    </row>
    <row r="11" customFormat="false" ht="52.2" hidden="false" customHeight="false" outlineLevel="0" collapsed="false">
      <c r="A11" s="4" t="s">
        <v>140</v>
      </c>
      <c r="B11" s="17" t="n">
        <v>46225</v>
      </c>
      <c r="C11" s="4" t="s">
        <v>141</v>
      </c>
      <c r="D11" s="4" t="s">
        <v>142</v>
      </c>
      <c r="E11" s="4" t="s">
        <v>105</v>
      </c>
      <c r="F11" s="4" t="s">
        <v>106</v>
      </c>
      <c r="G11" s="4" t="s">
        <v>19</v>
      </c>
      <c r="H11" s="4" t="s">
        <v>107</v>
      </c>
      <c r="I11" s="4" t="s">
        <v>13</v>
      </c>
      <c r="J11" s="7" t="n">
        <v>20</v>
      </c>
      <c r="K11" s="18" t="n">
        <v>0.19</v>
      </c>
      <c r="L11" s="7" t="n">
        <v>3.8</v>
      </c>
      <c r="M11" s="7" t="n">
        <v>23.8</v>
      </c>
      <c r="N11" s="7" t="n">
        <v>23.8</v>
      </c>
      <c r="O11" s="4" t="s">
        <v>108</v>
      </c>
      <c r="P11" s="21"/>
      <c r="Q11" s="4" t="s">
        <v>109</v>
      </c>
      <c r="R11" s="4" t="s">
        <v>143</v>
      </c>
      <c r="S11" s="20" t="s">
        <v>144</v>
      </c>
    </row>
    <row r="12" customFormat="false" ht="179.1" hidden="false" customHeight="false" outlineLevel="0" collapsed="false">
      <c r="A12" s="4" t="s">
        <v>145</v>
      </c>
      <c r="B12" s="17" t="n">
        <v>46226</v>
      </c>
      <c r="C12" s="4" t="s">
        <v>146</v>
      </c>
      <c r="D12" s="4" t="s">
        <v>147</v>
      </c>
      <c r="E12" s="4" t="s">
        <v>115</v>
      </c>
      <c r="F12" s="4" t="s">
        <v>116</v>
      </c>
      <c r="G12" s="4" t="s">
        <v>11</v>
      </c>
      <c r="H12" s="4" t="s">
        <v>117</v>
      </c>
      <c r="I12" s="4" t="s">
        <v>13</v>
      </c>
      <c r="J12" s="7" t="n">
        <v>54.3</v>
      </c>
      <c r="K12" s="4" t="s">
        <v>118</v>
      </c>
      <c r="L12" s="7" t="n">
        <v>0</v>
      </c>
      <c r="M12" s="7" t="n">
        <v>54.3</v>
      </c>
      <c r="N12" s="7" t="n">
        <v>54.3</v>
      </c>
      <c r="O12" s="4" t="s">
        <v>119</v>
      </c>
      <c r="P12" s="21"/>
      <c r="Q12" s="4" t="s">
        <v>29</v>
      </c>
      <c r="R12" s="4" t="s">
        <v>148</v>
      </c>
      <c r="S12" s="20" t="s">
        <v>149</v>
      </c>
    </row>
    <row r="13" customFormat="false" ht="64.9" hidden="false" customHeight="false" outlineLevel="0" collapsed="false">
      <c r="A13" s="4" t="s">
        <v>150</v>
      </c>
      <c r="B13" s="17" t="n">
        <v>46237</v>
      </c>
      <c r="C13" s="4" t="s">
        <v>151</v>
      </c>
      <c r="D13" s="4" t="s">
        <v>152</v>
      </c>
      <c r="E13" s="4" t="s">
        <v>95</v>
      </c>
      <c r="F13" s="4" t="s">
        <v>96</v>
      </c>
      <c r="G13" s="4" t="s">
        <v>33</v>
      </c>
      <c r="H13" s="4" t="s">
        <v>97</v>
      </c>
      <c r="I13" s="4" t="s">
        <v>35</v>
      </c>
      <c r="J13" s="11" t="n">
        <v>18.49</v>
      </c>
      <c r="K13" s="18" t="n">
        <v>0.19</v>
      </c>
      <c r="L13" s="11" t="n">
        <v>3.51</v>
      </c>
      <c r="M13" s="11" t="n">
        <v>22</v>
      </c>
      <c r="N13" s="11" t="n">
        <v>22</v>
      </c>
      <c r="O13" s="4" t="s">
        <v>98</v>
      </c>
      <c r="P13" s="19" t="n">
        <f aca="false">M13</f>
        <v>22</v>
      </c>
      <c r="Q13" s="4" t="s">
        <v>99</v>
      </c>
      <c r="R13" s="4" t="s">
        <v>153</v>
      </c>
      <c r="S13" s="20" t="s">
        <v>154</v>
      </c>
    </row>
    <row r="14" customFormat="false" ht="128.35" hidden="false" customHeight="false" outlineLevel="0" collapsed="false">
      <c r="A14" s="4" t="s">
        <v>155</v>
      </c>
      <c r="B14" s="17" t="n">
        <v>46251</v>
      </c>
      <c r="C14" s="4" t="s">
        <v>156</v>
      </c>
      <c r="D14" s="4" t="s">
        <v>124</v>
      </c>
      <c r="E14" s="4" t="s">
        <v>157</v>
      </c>
      <c r="F14" s="4" t="s">
        <v>106</v>
      </c>
      <c r="G14" s="4" t="s">
        <v>26</v>
      </c>
      <c r="H14" s="4" t="s">
        <v>158</v>
      </c>
      <c r="I14" s="4" t="s">
        <v>13</v>
      </c>
      <c r="J14" s="7" t="n">
        <v>45</v>
      </c>
      <c r="K14" s="18" t="n">
        <v>0.19</v>
      </c>
      <c r="L14" s="7" t="n">
        <v>8.55</v>
      </c>
      <c r="M14" s="7" t="n">
        <v>53.55</v>
      </c>
      <c r="N14" s="7" t="n">
        <v>53.55</v>
      </c>
      <c r="O14" s="4" t="s">
        <v>159</v>
      </c>
      <c r="P14" s="21"/>
      <c r="Q14" s="4" t="s">
        <v>160</v>
      </c>
      <c r="R14" s="4" t="s">
        <v>161</v>
      </c>
      <c r="S14" s="20" t="s">
        <v>162</v>
      </c>
    </row>
    <row r="15" customFormat="false" ht="153.7" hidden="false" customHeight="false" outlineLevel="0" collapsed="false">
      <c r="A15" s="4" t="s">
        <v>163</v>
      </c>
      <c r="B15" s="17" t="n">
        <v>46138</v>
      </c>
      <c r="C15" s="4" t="s">
        <v>164</v>
      </c>
      <c r="D15" s="4" t="s">
        <v>165</v>
      </c>
      <c r="E15" s="4" t="s">
        <v>166</v>
      </c>
      <c r="F15" s="4" t="s">
        <v>167</v>
      </c>
      <c r="G15" s="4" t="s">
        <v>50</v>
      </c>
      <c r="H15" s="4" t="s">
        <v>168</v>
      </c>
      <c r="I15" s="4" t="s">
        <v>35</v>
      </c>
      <c r="J15" s="11" t="n">
        <v>0.81</v>
      </c>
      <c r="K15" s="18" t="n">
        <v>0.19</v>
      </c>
      <c r="L15" s="11" t="n">
        <v>0.15</v>
      </c>
      <c r="M15" s="11" t="n">
        <v>0.96</v>
      </c>
      <c r="N15" s="8" t="n">
        <v>0</v>
      </c>
      <c r="O15" s="4" t="s">
        <v>169</v>
      </c>
      <c r="P15" s="19" t="n">
        <f aca="false">M15</f>
        <v>0.96</v>
      </c>
      <c r="Q15" s="4" t="s">
        <v>99</v>
      </c>
      <c r="R15" s="4" t="s">
        <v>170</v>
      </c>
      <c r="S15" s="20" t="s">
        <v>171</v>
      </c>
    </row>
    <row r="16" customFormat="false" ht="102.95" hidden="false" customHeight="false" outlineLevel="0" collapsed="false">
      <c r="A16" s="4" t="s">
        <v>172</v>
      </c>
      <c r="B16" s="17" t="n">
        <v>46168</v>
      </c>
      <c r="C16" s="4" t="s">
        <v>173</v>
      </c>
      <c r="D16" s="4" t="s">
        <v>174</v>
      </c>
      <c r="E16" s="4" t="s">
        <v>166</v>
      </c>
      <c r="F16" s="4" t="s">
        <v>167</v>
      </c>
      <c r="G16" s="4" t="s">
        <v>50</v>
      </c>
      <c r="H16" s="4" t="s">
        <v>168</v>
      </c>
      <c r="I16" s="4" t="s">
        <v>35</v>
      </c>
      <c r="J16" s="11" t="n">
        <v>27.73</v>
      </c>
      <c r="K16" s="18" t="n">
        <v>0.19</v>
      </c>
      <c r="L16" s="11" t="n">
        <v>5.27</v>
      </c>
      <c r="M16" s="11" t="n">
        <v>33</v>
      </c>
      <c r="N16" s="8" t="n">
        <v>0</v>
      </c>
      <c r="O16" s="4" t="s">
        <v>169</v>
      </c>
      <c r="P16" s="19" t="n">
        <f aca="false">M16</f>
        <v>33</v>
      </c>
      <c r="Q16" s="4" t="s">
        <v>99</v>
      </c>
      <c r="R16" s="4" t="s">
        <v>175</v>
      </c>
      <c r="S16" s="20" t="s">
        <v>176</v>
      </c>
    </row>
    <row r="17" customFormat="false" ht="191.75" hidden="false" customHeight="false" outlineLevel="0" collapsed="false">
      <c r="A17" s="4" t="s">
        <v>177</v>
      </c>
      <c r="B17" s="17" t="n">
        <v>46199</v>
      </c>
      <c r="C17" s="4" t="s">
        <v>178</v>
      </c>
      <c r="D17" s="4" t="s">
        <v>179</v>
      </c>
      <c r="E17" s="4" t="s">
        <v>166</v>
      </c>
      <c r="F17" s="4" t="s">
        <v>167</v>
      </c>
      <c r="G17" s="4" t="s">
        <v>50</v>
      </c>
      <c r="H17" s="4" t="s">
        <v>168</v>
      </c>
      <c r="I17" s="4" t="s">
        <v>35</v>
      </c>
      <c r="J17" s="11" t="n">
        <v>13.03</v>
      </c>
      <c r="K17" s="18" t="n">
        <v>0.19</v>
      </c>
      <c r="L17" s="11" t="n">
        <v>2.47</v>
      </c>
      <c r="M17" s="11" t="n">
        <v>15.5</v>
      </c>
      <c r="N17" s="11" t="n">
        <v>15.5</v>
      </c>
      <c r="O17" s="4" t="s">
        <v>180</v>
      </c>
      <c r="P17" s="19" t="n">
        <f aca="false">M17</f>
        <v>15.5</v>
      </c>
      <c r="Q17" s="4" t="s">
        <v>99</v>
      </c>
      <c r="R17" s="4" t="s">
        <v>181</v>
      </c>
      <c r="S17" s="20" t="s">
        <v>182</v>
      </c>
    </row>
    <row r="18" customFormat="false" ht="77.6" hidden="false" customHeight="false" outlineLevel="0" collapsed="false">
      <c r="A18" s="4" t="s">
        <v>183</v>
      </c>
      <c r="B18" s="17" t="n">
        <v>46229</v>
      </c>
      <c r="C18" s="4" t="s">
        <v>184</v>
      </c>
      <c r="D18" s="4" t="s">
        <v>185</v>
      </c>
      <c r="E18" s="4" t="s">
        <v>166</v>
      </c>
      <c r="F18" s="4" t="s">
        <v>167</v>
      </c>
      <c r="G18" s="4" t="s">
        <v>50</v>
      </c>
      <c r="H18" s="4" t="s">
        <v>168</v>
      </c>
      <c r="I18" s="4" t="s">
        <v>35</v>
      </c>
      <c r="J18" s="11" t="n">
        <v>2.1</v>
      </c>
      <c r="K18" s="18" t="n">
        <v>0.19</v>
      </c>
      <c r="L18" s="11" t="n">
        <v>0.4</v>
      </c>
      <c r="M18" s="11" t="n">
        <v>2.5</v>
      </c>
      <c r="N18" s="11" t="n">
        <v>2.5</v>
      </c>
      <c r="O18" s="4" t="s">
        <v>186</v>
      </c>
      <c r="P18" s="19" t="n">
        <f aca="false">M18</f>
        <v>2.5</v>
      </c>
      <c r="Q18" s="4" t="s">
        <v>99</v>
      </c>
      <c r="R18" s="4" t="s">
        <v>187</v>
      </c>
      <c r="S18" s="20" t="s">
        <v>188</v>
      </c>
    </row>
    <row r="19" customFormat="false" ht="64.9" hidden="false" customHeight="false" outlineLevel="0" collapsed="false">
      <c r="A19" s="4" t="s">
        <v>189</v>
      </c>
      <c r="B19" s="17" t="n">
        <v>46256</v>
      </c>
      <c r="C19" s="4" t="s">
        <v>190</v>
      </c>
      <c r="D19" s="4" t="s">
        <v>191</v>
      </c>
      <c r="E19" s="4" t="s">
        <v>105</v>
      </c>
      <c r="F19" s="4" t="s">
        <v>106</v>
      </c>
      <c r="G19" s="4" t="s">
        <v>19</v>
      </c>
      <c r="H19" s="4" t="s">
        <v>107</v>
      </c>
      <c r="I19" s="4" t="s">
        <v>13</v>
      </c>
      <c r="J19" s="7" t="n">
        <v>20</v>
      </c>
      <c r="K19" s="18" t="n">
        <v>0.19</v>
      </c>
      <c r="L19" s="7" t="n">
        <v>3.8</v>
      </c>
      <c r="M19" s="7" t="n">
        <v>23.8</v>
      </c>
      <c r="N19" s="7" t="n">
        <v>23.8</v>
      </c>
      <c r="O19" s="4" t="s">
        <v>108</v>
      </c>
      <c r="P19" s="21"/>
      <c r="Q19" s="4" t="s">
        <v>109</v>
      </c>
      <c r="R19" s="4" t="s">
        <v>192</v>
      </c>
      <c r="S19" s="20" t="s">
        <v>193</v>
      </c>
    </row>
    <row r="20" customFormat="false" ht="179.1" hidden="false" customHeight="false" outlineLevel="0" collapsed="false">
      <c r="A20" s="4" t="s">
        <v>194</v>
      </c>
      <c r="B20" s="17" t="n">
        <v>46257</v>
      </c>
      <c r="C20" s="4" t="s">
        <v>195</v>
      </c>
      <c r="D20" s="4" t="s">
        <v>196</v>
      </c>
      <c r="E20" s="4" t="s">
        <v>115</v>
      </c>
      <c r="F20" s="4" t="s">
        <v>116</v>
      </c>
      <c r="G20" s="4" t="s">
        <v>11</v>
      </c>
      <c r="H20" s="4" t="s">
        <v>117</v>
      </c>
      <c r="I20" s="4" t="s">
        <v>13</v>
      </c>
      <c r="J20" s="7" t="n">
        <v>53.83</v>
      </c>
      <c r="K20" s="4" t="s">
        <v>118</v>
      </c>
      <c r="L20" s="7" t="n">
        <v>0</v>
      </c>
      <c r="M20" s="7" t="n">
        <v>53.83</v>
      </c>
      <c r="N20" s="7" t="n">
        <v>53.83</v>
      </c>
      <c r="O20" s="4" t="s">
        <v>119</v>
      </c>
      <c r="P20" s="21"/>
      <c r="Q20" s="4" t="s">
        <v>29</v>
      </c>
      <c r="R20" s="4" t="s">
        <v>197</v>
      </c>
      <c r="S20" s="20" t="s">
        <v>198</v>
      </c>
    </row>
    <row r="21" customFormat="false" ht="52.2" hidden="false" customHeight="false" outlineLevel="0" collapsed="false">
      <c r="A21" s="4" t="s">
        <v>199</v>
      </c>
      <c r="B21" s="17" t="n">
        <v>46260</v>
      </c>
      <c r="C21" s="4" t="s">
        <v>200</v>
      </c>
      <c r="D21" s="4" t="s">
        <v>201</v>
      </c>
      <c r="E21" s="4" t="s">
        <v>166</v>
      </c>
      <c r="F21" s="4" t="s">
        <v>167</v>
      </c>
      <c r="G21" s="4" t="s">
        <v>50</v>
      </c>
      <c r="H21" s="4" t="s">
        <v>168</v>
      </c>
      <c r="I21" s="4" t="s">
        <v>35</v>
      </c>
      <c r="J21" s="11" t="n">
        <v>2.1</v>
      </c>
      <c r="K21" s="18" t="n">
        <v>0.19</v>
      </c>
      <c r="L21" s="11" t="n">
        <v>0.4</v>
      </c>
      <c r="M21" s="11" t="n">
        <v>2.5</v>
      </c>
      <c r="N21" s="11" t="n">
        <v>2.5</v>
      </c>
      <c r="O21" s="4" t="s">
        <v>186</v>
      </c>
      <c r="P21" s="19" t="n">
        <f aca="false">M21</f>
        <v>2.5</v>
      </c>
      <c r="Q21" s="4" t="s">
        <v>99</v>
      </c>
      <c r="R21" s="4" t="s">
        <v>202</v>
      </c>
      <c r="S21" s="20" t="s">
        <v>203</v>
      </c>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c r="S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c r="S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c r="S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c r="S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c r="S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c r="S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c r="S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c r="S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c r="S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c r="S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c r="S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c r="S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c r="S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204</v>
      </c>
      <c r="B1" s="1"/>
      <c r="C1" s="1"/>
      <c r="D1" s="1"/>
      <c r="E1" s="1"/>
      <c r="F1" s="1"/>
      <c r="G1" s="1"/>
      <c r="H1" s="1"/>
      <c r="I1" s="1"/>
      <c r="J1" s="1"/>
    </row>
    <row r="2" customFormat="false" ht="15" hidden="false" customHeight="false" outlineLevel="0" collapsed="false">
      <c r="A2" s="2" t="s">
        <v>205</v>
      </c>
      <c r="B2" s="2"/>
      <c r="C2" s="2"/>
      <c r="D2" s="2"/>
      <c r="E2" s="2"/>
      <c r="F2" s="2"/>
      <c r="G2" s="2"/>
      <c r="H2" s="2"/>
      <c r="I2" s="2"/>
      <c r="J2" s="2"/>
    </row>
    <row r="4" customFormat="false" ht="26.85" hidden="false" customHeight="false" outlineLevel="0" collapsed="false">
      <c r="A4" s="23" t="s">
        <v>2</v>
      </c>
      <c r="B4" s="24" t="s">
        <v>206</v>
      </c>
      <c r="C4" s="24" t="s">
        <v>207</v>
      </c>
      <c r="D4" s="24" t="s">
        <v>208</v>
      </c>
      <c r="E4" s="24" t="s">
        <v>209</v>
      </c>
      <c r="F4" s="24" t="s">
        <v>210</v>
      </c>
      <c r="G4" s="24" t="s">
        <v>211</v>
      </c>
      <c r="H4" s="24" t="s">
        <v>212</v>
      </c>
      <c r="I4" s="24" t="s">
        <v>213</v>
      </c>
      <c r="J4" s="25" t="s">
        <v>214</v>
      </c>
    </row>
    <row r="5" customFormat="false" ht="15" hidden="false" customHeight="false" outlineLevel="0" collapsed="false">
      <c r="A5" s="26" t="s">
        <v>11</v>
      </c>
      <c r="B5" s="27" t="n">
        <f aca="false">IF(COUNTIFS(Rechnungsjournal!$G$5:$G$34,$A5,Rechnungsjournal!$B$5:$B$34,"&gt;="&amp;DATE(2026,5,1),Rechnungsjournal!$B$5:$B$34,"&lt;"&amp;DATE(2026,6,1))=0,"",SUMIFS(Rechnungsjournal!$N$5:$N$34,Rechnungsjournal!$G$5:$G$34,$A5,Rechnungsjournal!$B$5:$B$34,"&gt;="&amp;DATE(2026,5,1),Rechnungsjournal!$B$5:$B$34,"&lt;"&amp;DATE(2026,6,1)))</f>
        <v>25</v>
      </c>
      <c r="C5" s="27" t="n">
        <f aca="false">IF(COUNTIFS(Rechnungsjournal!$G$5:$G$34,$A5,Rechnungsjournal!$B$5:$B$34,"&gt;="&amp;DATE(2026,6,1),Rechnungsjournal!$B$5:$B$34,"&lt;"&amp;DATE(2026,7,1))=0,"",SUMIFS(Rechnungsjournal!$N$5:$N$34,Rechnungsjournal!$G$5:$G$34,$A5,Rechnungsjournal!$B$5:$B$34,"&gt;="&amp;DATE(2026,6,1),Rechnungsjournal!$B$5:$B$34,"&lt;"&amp;DATE(2026,7,1)))</f>
        <v>49.97</v>
      </c>
      <c r="D5" s="27" t="n">
        <f aca="false">IF(COUNTIFS(Rechnungsjournal!$G$5:$G$34,$A5,Rechnungsjournal!$B$5:$B$34,"&gt;="&amp;DATE(2026,7,1),Rechnungsjournal!$B$5:$B$34,"&lt;"&amp;DATE(2026,8,1))=0,"",SUMIFS(Rechnungsjournal!$N$5:$N$34,Rechnungsjournal!$G$5:$G$34,$A5,Rechnungsjournal!$B$5:$B$34,"&gt;="&amp;DATE(2026,7,1),Rechnungsjournal!$B$5:$B$34,"&lt;"&amp;DATE(2026,8,1)))</f>
        <v>54.3</v>
      </c>
      <c r="E5" s="27" t="n">
        <f aca="false">IF(COUNTIFS(Rechnungsjournal!$G$5:$G$34,$A5,Rechnungsjournal!$B$5:$B$34,"&gt;="&amp;DATE(2026,8,1),Rechnungsjournal!$B$5:$B$34,"&lt;"&amp;DATE(2026,9,1))=0,"",SUMIFS(Rechnungsjournal!$N$5:$N$34,Rechnungsjournal!$G$5:$G$34,$A5,Rechnungsjournal!$B$5:$B$34,"&gt;="&amp;DATE(2026,8,1),Rechnungsjournal!$B$5:$B$34,"&lt;"&amp;DATE(2026,9,1)))</f>
        <v>53.83</v>
      </c>
      <c r="F5" s="27" t="str">
        <f aca="false">IF(COUNTIFS(Rechnungsjournal!$G$5:$G$34,$A5,Rechnungsjournal!$B$5:$B$34,"&gt;="&amp;DATE(2026,9,1),Rechnungsjournal!$B$5:$B$34,"&lt;"&amp;DATE(2026,10,1))=0,"",SUMIFS(Rechnungsjournal!$N$5:$N$34,Rechnungsjournal!$G$5:$G$34,$A5,Rechnungsjournal!$B$5:$B$34,"&gt;="&amp;DATE(2026,9,1),Rechnungsjournal!$B$5:$B$34,"&lt;"&amp;DATE(2026,10,1)))</f>
        <v/>
      </c>
      <c r="G5" s="27" t="str">
        <f aca="false">IF(COUNTIFS(Rechnungsjournal!$G$5:$G$34,$A5,Rechnungsjournal!$B$5:$B$34,"&gt;="&amp;DATE(2026,10,1),Rechnungsjournal!$B$5:$B$34,"&lt;"&amp;DATE(2026,11,1))=0,"",SUMIFS(Rechnungsjournal!$N$5:$N$34,Rechnungsjournal!$G$5:$G$34,$A5,Rechnungsjournal!$B$5:$B$34,"&gt;="&amp;DATE(2026,10,1),Rechnungsjournal!$B$5:$B$34,"&lt;"&amp;DATE(2026,11,1)))</f>
        <v/>
      </c>
      <c r="H5" s="27" t="str">
        <f aca="false">IF(COUNTIFS(Rechnungsjournal!$G$5:$G$34,$A5,Rechnungsjournal!$B$5:$B$34,"&gt;="&amp;DATE(2026,11,1),Rechnungsjournal!$B$5:$B$34,"&lt;"&amp;DATE(2026,12,1))=0,"",SUMIFS(Rechnungsjournal!$N$5:$N$34,Rechnungsjournal!$G$5:$G$34,$A5,Rechnungsjournal!$B$5:$B$34,"&gt;="&amp;DATE(2026,11,1),Rechnungsjournal!$B$5:$B$34,"&lt;"&amp;DATE(2026,12,1)))</f>
        <v/>
      </c>
      <c r="I5" s="27" t="str">
        <f aca="false">IF(COUNTIFS(Rechnungsjournal!$G$5:$G$34,$A5,Rechnungsjournal!$B$5:$B$34,"&gt;="&amp;DATE(2026,12,1),Rechnungsjournal!$B$5:$B$34,"&lt;"&amp;DATE(2027,1,1))=0,"",SUMIFS(Rechnungsjournal!$N$5:$N$34,Rechnungsjournal!$G$5:$G$34,$A5,Rechnungsjournal!$B$5:$B$34,"&gt;="&amp;DATE(2026,12,1),Rechnungsjournal!$B$5:$B$34,"&lt;"&amp;DATE(2027,1,1)))</f>
        <v/>
      </c>
      <c r="J5" s="28" t="n">
        <f aca="false">SUM(B5:I5)</f>
        <v>183.1</v>
      </c>
    </row>
    <row r="6" customFormat="false" ht="15" hidden="false" customHeight="false" outlineLevel="0" collapsed="false">
      <c r="A6" s="26" t="s">
        <v>19</v>
      </c>
      <c r="B6" s="27" t="n">
        <f aca="false">IF(COUNTIFS(Rechnungsjournal!$G$5:$G$34,$A6,Rechnungsjournal!$B$5:$B$34,"&gt;="&amp;DATE(2026,5,1),Rechnungsjournal!$B$5:$B$34,"&lt;"&amp;DATE(2026,6,1))=0,"",SUMIFS(Rechnungsjournal!$N$5:$N$34,Rechnungsjournal!$G$5:$G$34,$A6,Rechnungsjournal!$B$5:$B$34,"&gt;="&amp;DATE(2026,5,1),Rechnungsjournal!$B$5:$B$34,"&lt;"&amp;DATE(2026,6,1)))</f>
        <v>23.8</v>
      </c>
      <c r="C6" s="27" t="n">
        <f aca="false">IF(COUNTIFS(Rechnungsjournal!$G$5:$G$34,$A6,Rechnungsjournal!$B$5:$B$34,"&gt;="&amp;DATE(2026,6,1),Rechnungsjournal!$B$5:$B$34,"&lt;"&amp;DATE(2026,7,1))=0,"",SUMIFS(Rechnungsjournal!$N$5:$N$34,Rechnungsjournal!$G$5:$G$34,$A6,Rechnungsjournal!$B$5:$B$34,"&gt;="&amp;DATE(2026,6,1),Rechnungsjournal!$B$5:$B$34,"&lt;"&amp;DATE(2026,7,1)))</f>
        <v>23.8</v>
      </c>
      <c r="D6" s="27" t="n">
        <f aca="false">IF(COUNTIFS(Rechnungsjournal!$G$5:$G$34,$A6,Rechnungsjournal!$B$5:$B$34,"&gt;="&amp;DATE(2026,7,1),Rechnungsjournal!$B$5:$B$34,"&lt;"&amp;DATE(2026,8,1))=0,"",SUMIFS(Rechnungsjournal!$N$5:$N$34,Rechnungsjournal!$G$5:$G$34,$A6,Rechnungsjournal!$B$5:$B$34,"&gt;="&amp;DATE(2026,7,1),Rechnungsjournal!$B$5:$B$34,"&lt;"&amp;DATE(2026,8,1)))</f>
        <v>23.8</v>
      </c>
      <c r="E6" s="27" t="n">
        <f aca="false">IF(COUNTIFS(Rechnungsjournal!$G$5:$G$34,$A6,Rechnungsjournal!$B$5:$B$34,"&gt;="&amp;DATE(2026,8,1),Rechnungsjournal!$B$5:$B$34,"&lt;"&amp;DATE(2026,9,1))=0,"",SUMIFS(Rechnungsjournal!$N$5:$N$34,Rechnungsjournal!$G$5:$G$34,$A6,Rechnungsjournal!$B$5:$B$34,"&gt;="&amp;DATE(2026,8,1),Rechnungsjournal!$B$5:$B$34,"&lt;"&amp;DATE(2026,9,1)))</f>
        <v>23.8</v>
      </c>
      <c r="F6" s="27" t="str">
        <f aca="false">IF(COUNTIFS(Rechnungsjournal!$G$5:$G$34,$A6,Rechnungsjournal!$B$5:$B$34,"&gt;="&amp;DATE(2026,9,1),Rechnungsjournal!$B$5:$B$34,"&lt;"&amp;DATE(2026,10,1))=0,"",SUMIFS(Rechnungsjournal!$N$5:$N$34,Rechnungsjournal!$G$5:$G$34,$A6,Rechnungsjournal!$B$5:$B$34,"&gt;="&amp;DATE(2026,9,1),Rechnungsjournal!$B$5:$B$34,"&lt;"&amp;DATE(2026,10,1)))</f>
        <v/>
      </c>
      <c r="G6" s="27" t="str">
        <f aca="false">IF(COUNTIFS(Rechnungsjournal!$G$5:$G$34,$A6,Rechnungsjournal!$B$5:$B$34,"&gt;="&amp;DATE(2026,10,1),Rechnungsjournal!$B$5:$B$34,"&lt;"&amp;DATE(2026,11,1))=0,"",SUMIFS(Rechnungsjournal!$N$5:$N$34,Rechnungsjournal!$G$5:$G$34,$A6,Rechnungsjournal!$B$5:$B$34,"&gt;="&amp;DATE(2026,10,1),Rechnungsjournal!$B$5:$B$34,"&lt;"&amp;DATE(2026,11,1)))</f>
        <v/>
      </c>
      <c r="H6" s="27" t="str">
        <f aca="false">IF(COUNTIFS(Rechnungsjournal!$G$5:$G$34,$A6,Rechnungsjournal!$B$5:$B$34,"&gt;="&amp;DATE(2026,11,1),Rechnungsjournal!$B$5:$B$34,"&lt;"&amp;DATE(2026,12,1))=0,"",SUMIFS(Rechnungsjournal!$N$5:$N$34,Rechnungsjournal!$G$5:$G$34,$A6,Rechnungsjournal!$B$5:$B$34,"&gt;="&amp;DATE(2026,11,1),Rechnungsjournal!$B$5:$B$34,"&lt;"&amp;DATE(2026,12,1)))</f>
        <v/>
      </c>
      <c r="I6" s="27" t="str">
        <f aca="false">IF(COUNTIFS(Rechnungsjournal!$G$5:$G$34,$A6,Rechnungsjournal!$B$5:$B$34,"&gt;="&amp;DATE(2026,12,1),Rechnungsjournal!$B$5:$B$34,"&lt;"&amp;DATE(2027,1,1))=0,"",SUMIFS(Rechnungsjournal!$N$5:$N$34,Rechnungsjournal!$G$5:$G$34,$A6,Rechnungsjournal!$B$5:$B$34,"&gt;="&amp;DATE(2026,12,1),Rechnungsjournal!$B$5:$B$34,"&lt;"&amp;DATE(2027,1,1)))</f>
        <v/>
      </c>
      <c r="J6" s="28" t="n">
        <f aca="false">SUM(B6:I6)</f>
        <v>95.2</v>
      </c>
    </row>
    <row r="7" customFormat="false" ht="15" hidden="false" customHeight="false" outlineLevel="0" collapsed="false">
      <c r="A7" s="26" t="s">
        <v>26</v>
      </c>
      <c r="B7" s="27" t="str">
        <f aca="false">IF(COUNTIFS(Rechnungsjournal!$G$5:$G$34,$A7,Rechnungsjournal!$B$5:$B$34,"&gt;="&amp;DATE(2026,5,1),Rechnungsjournal!$B$5:$B$34,"&lt;"&amp;DATE(2026,6,1))=0,"",SUMIFS(Rechnungsjournal!$N$5:$N$34,Rechnungsjournal!$G$5:$G$34,$A7,Rechnungsjournal!$B$5:$B$34,"&gt;="&amp;DATE(2026,5,1),Rechnungsjournal!$B$5:$B$34,"&lt;"&amp;DATE(2026,6,1)))</f>
        <v/>
      </c>
      <c r="C7" s="27" t="str">
        <f aca="false">IF(COUNTIFS(Rechnungsjournal!$G$5:$G$34,$A7,Rechnungsjournal!$B$5:$B$34,"&gt;="&amp;DATE(2026,6,1),Rechnungsjournal!$B$5:$B$34,"&lt;"&amp;DATE(2026,7,1))=0,"",SUMIFS(Rechnungsjournal!$N$5:$N$34,Rechnungsjournal!$G$5:$G$34,$A7,Rechnungsjournal!$B$5:$B$34,"&gt;="&amp;DATE(2026,6,1),Rechnungsjournal!$B$5:$B$34,"&lt;"&amp;DATE(2026,7,1)))</f>
        <v/>
      </c>
      <c r="D7" s="27" t="str">
        <f aca="false">IF(COUNTIFS(Rechnungsjournal!$G$5:$G$34,$A7,Rechnungsjournal!$B$5:$B$34,"&gt;="&amp;DATE(2026,7,1),Rechnungsjournal!$B$5:$B$34,"&lt;"&amp;DATE(2026,8,1))=0,"",SUMIFS(Rechnungsjournal!$N$5:$N$34,Rechnungsjournal!$G$5:$G$34,$A7,Rechnungsjournal!$B$5:$B$34,"&gt;="&amp;DATE(2026,7,1),Rechnungsjournal!$B$5:$B$34,"&lt;"&amp;DATE(2026,8,1)))</f>
        <v/>
      </c>
      <c r="E7" s="27" t="n">
        <f aca="false">IF(COUNTIFS(Rechnungsjournal!$G$5:$G$34,$A7,Rechnungsjournal!$B$5:$B$34,"&gt;="&amp;DATE(2026,8,1),Rechnungsjournal!$B$5:$B$34,"&lt;"&amp;DATE(2026,9,1))=0,"",SUMIFS(Rechnungsjournal!$N$5:$N$34,Rechnungsjournal!$G$5:$G$34,$A7,Rechnungsjournal!$B$5:$B$34,"&gt;="&amp;DATE(2026,8,1),Rechnungsjournal!$B$5:$B$34,"&lt;"&amp;DATE(2026,9,1)))</f>
        <v>53.55</v>
      </c>
      <c r="F7" s="27" t="str">
        <f aca="false">IF(COUNTIFS(Rechnungsjournal!$G$5:$G$34,$A7,Rechnungsjournal!$B$5:$B$34,"&gt;="&amp;DATE(2026,9,1),Rechnungsjournal!$B$5:$B$34,"&lt;"&amp;DATE(2026,10,1))=0,"",SUMIFS(Rechnungsjournal!$N$5:$N$34,Rechnungsjournal!$G$5:$G$34,$A7,Rechnungsjournal!$B$5:$B$34,"&gt;="&amp;DATE(2026,9,1),Rechnungsjournal!$B$5:$B$34,"&lt;"&amp;DATE(2026,10,1)))</f>
        <v/>
      </c>
      <c r="G7" s="27" t="str">
        <f aca="false">IF(COUNTIFS(Rechnungsjournal!$G$5:$G$34,$A7,Rechnungsjournal!$B$5:$B$34,"&gt;="&amp;DATE(2026,10,1),Rechnungsjournal!$B$5:$B$34,"&lt;"&amp;DATE(2026,11,1))=0,"",SUMIFS(Rechnungsjournal!$N$5:$N$34,Rechnungsjournal!$G$5:$G$34,$A7,Rechnungsjournal!$B$5:$B$34,"&gt;="&amp;DATE(2026,10,1),Rechnungsjournal!$B$5:$B$34,"&lt;"&amp;DATE(2026,11,1)))</f>
        <v/>
      </c>
      <c r="H7" s="27" t="str">
        <f aca="false">IF(COUNTIFS(Rechnungsjournal!$G$5:$G$34,$A7,Rechnungsjournal!$B$5:$B$34,"&gt;="&amp;DATE(2026,11,1),Rechnungsjournal!$B$5:$B$34,"&lt;"&amp;DATE(2026,12,1))=0,"",SUMIFS(Rechnungsjournal!$N$5:$N$34,Rechnungsjournal!$G$5:$G$34,$A7,Rechnungsjournal!$B$5:$B$34,"&gt;="&amp;DATE(2026,11,1),Rechnungsjournal!$B$5:$B$34,"&lt;"&amp;DATE(2026,12,1)))</f>
        <v/>
      </c>
      <c r="I7" s="27" t="str">
        <f aca="false">IF(COUNTIFS(Rechnungsjournal!$G$5:$G$34,$A7,Rechnungsjournal!$B$5:$B$34,"&gt;="&amp;DATE(2026,12,1),Rechnungsjournal!$B$5:$B$34,"&lt;"&amp;DATE(2027,1,1))=0,"",SUMIFS(Rechnungsjournal!$N$5:$N$34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N$5:$N$34,Rechnungsjournal!$G$5:$G$34,$A8,Rechnungsjournal!$B$5:$B$34,"&gt;="&amp;DATE(2026,5,1),Rechnungsjournal!$B$5:$B$34,"&lt;"&amp;DATE(2026,6,1)))</f>
        <v>22</v>
      </c>
      <c r="C8" s="29" t="str">
        <f aca="false">IF(COUNTIFS(Rechnungsjournal!$G$5:$G$34,$A8,Rechnungsjournal!$B$5:$B$34,"&gt;="&amp;DATE(2026,6,1),Rechnungsjournal!$B$5:$B$34,"&lt;"&amp;DATE(2026,7,1))=0,"",SUMIFS(Rechnungsjournal!$N$5:$N$34,Rechnungsjournal!$G$5:$G$34,$A8,Rechnungsjournal!$B$5:$B$34,"&gt;="&amp;DATE(2026,6,1),Rechnungsjournal!$B$5:$B$34,"&lt;"&amp;DATE(2026,7,1)))</f>
        <v/>
      </c>
      <c r="D8" s="29" t="str">
        <f aca="false">IF(COUNTIFS(Rechnungsjournal!$G$5:$G$34,$A8,Rechnungsjournal!$B$5:$B$34,"&gt;="&amp;DATE(2026,7,1),Rechnungsjournal!$B$5:$B$34,"&lt;"&amp;DATE(2026,8,1))=0,"",SUMIFS(Rechnungsjournal!$N$5:$N$34,Rechnungsjournal!$G$5:$G$34,$A8,Rechnungsjournal!$B$5:$B$34,"&gt;="&amp;DATE(2026,7,1),Rechnungsjournal!$B$5:$B$34,"&lt;"&amp;DATE(2026,8,1)))</f>
        <v/>
      </c>
      <c r="E8" s="29" t="n">
        <f aca="false">IF(COUNTIFS(Rechnungsjournal!$G$5:$G$34,$A8,Rechnungsjournal!$B$5:$B$34,"&gt;="&amp;DATE(2026,8,1),Rechnungsjournal!$B$5:$B$34,"&lt;"&amp;DATE(2026,9,1))=0,"",SUMIFS(Rechnungsjournal!$N$5:$N$34,Rechnungsjournal!$G$5:$G$34,$A8,Rechnungsjournal!$B$5:$B$34,"&gt;="&amp;DATE(2026,8,1),Rechnungsjournal!$B$5:$B$34,"&lt;"&amp;DATE(2026,9,1)))</f>
        <v>22</v>
      </c>
      <c r="F8" s="29" t="str">
        <f aca="false">IF(COUNTIFS(Rechnungsjournal!$G$5:$G$34,$A8,Rechnungsjournal!$B$5:$B$34,"&gt;="&amp;DATE(2026,9,1),Rechnungsjournal!$B$5:$B$34,"&lt;"&amp;DATE(2026,10,1))=0,"",SUMIFS(Rechnungsjournal!$N$5:$N$34,Rechnungsjournal!$G$5:$G$34,$A8,Rechnungsjournal!$B$5:$B$34,"&gt;="&amp;DATE(2026,9,1),Rechnungsjournal!$B$5:$B$34,"&lt;"&amp;DATE(2026,10,1)))</f>
        <v/>
      </c>
      <c r="G8" s="29" t="str">
        <f aca="false">IF(COUNTIFS(Rechnungsjournal!$G$5:$G$34,$A8,Rechnungsjournal!$B$5:$B$34,"&gt;="&amp;DATE(2026,10,1),Rechnungsjournal!$B$5:$B$34,"&lt;"&amp;DATE(2026,11,1))=0,"",SUMIFS(Rechnungsjournal!$N$5:$N$34,Rechnungsjournal!$G$5:$G$34,$A8,Rechnungsjournal!$B$5:$B$34,"&gt;="&amp;DATE(2026,10,1),Rechnungsjournal!$B$5:$B$34,"&lt;"&amp;DATE(2026,11,1)))</f>
        <v/>
      </c>
      <c r="H8" s="29" t="str">
        <f aca="false">IF(COUNTIFS(Rechnungsjournal!$G$5:$G$34,$A8,Rechnungsjournal!$B$5:$B$34,"&gt;="&amp;DATE(2026,11,1),Rechnungsjournal!$B$5:$B$34,"&lt;"&amp;DATE(2026,12,1))=0,"",SUMIFS(Rechnungsjournal!$N$5:$N$34,Rechnungsjournal!$G$5:$G$34,$A8,Rechnungsjournal!$B$5:$B$34,"&gt;="&amp;DATE(2026,11,1),Rechnungsjournal!$B$5:$B$34,"&lt;"&amp;DATE(2026,12,1)))</f>
        <v/>
      </c>
      <c r="I8" s="29" t="str">
        <f aca="false">IF(COUNTIFS(Rechnungsjournal!$G$5:$G$34,$A8,Rechnungsjournal!$B$5:$B$34,"&gt;="&amp;DATE(2026,12,1),Rechnungsjournal!$B$5:$B$34,"&lt;"&amp;DATE(2027,1,1))=0,"",SUMIFS(Rechnungsjournal!$N$5:$N$34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N$5:$N$34,Rechnungsjournal!$G$5:$G$34,$A9,Rechnungsjournal!$B$5:$B$34,"&gt;="&amp;DATE(2026,5,1),Rechnungsjournal!$B$5:$B$34,"&lt;"&amp;DATE(2026,6,1)))</f>
        <v/>
      </c>
      <c r="C9" s="27" t="n">
        <f aca="false">IF(COUNTIFS(Rechnungsjournal!$G$5:$G$34,$A9,Rechnungsjournal!$B$5:$B$34,"&gt;="&amp;DATE(2026,6,1),Rechnungsjournal!$B$5:$B$34,"&lt;"&amp;DATE(2026,7,1))=0,"",SUMIFS(Rechnungsjournal!$N$5:$N$34,Rechnungsjournal!$G$5:$G$34,$A9,Rechnungsjournal!$B$5:$B$34,"&gt;="&amp;DATE(2026,6,1),Rechnungsjournal!$B$5:$B$34,"&lt;"&amp;DATE(2026,7,1)))</f>
        <v>17.85</v>
      </c>
      <c r="D9" s="27" t="str">
        <f aca="false">IF(COUNTIFS(Rechnungsjournal!$G$5:$G$34,$A9,Rechnungsjournal!$B$5:$B$34,"&gt;="&amp;DATE(2026,7,1),Rechnungsjournal!$B$5:$B$34,"&lt;"&amp;DATE(2026,8,1))=0,"",SUMIFS(Rechnungsjournal!$N$5:$N$34,Rechnungsjournal!$G$5:$G$34,$A9,Rechnungsjournal!$B$5:$B$34,"&gt;="&amp;DATE(2026,7,1),Rechnungsjournal!$B$5:$B$34,"&lt;"&amp;DATE(2026,8,1)))</f>
        <v/>
      </c>
      <c r="E9" s="27" t="str">
        <f aca="false">IF(COUNTIFS(Rechnungsjournal!$G$5:$G$34,$A9,Rechnungsjournal!$B$5:$B$34,"&gt;="&amp;DATE(2026,8,1),Rechnungsjournal!$B$5:$B$34,"&lt;"&amp;DATE(2026,9,1))=0,"",SUMIFS(Rechnungsjournal!$N$5:$N$34,Rechnungsjournal!$G$5:$G$34,$A9,Rechnungsjournal!$B$5:$B$34,"&gt;="&amp;DATE(2026,8,1),Rechnungsjournal!$B$5:$B$34,"&lt;"&amp;DATE(2026,9,1)))</f>
        <v/>
      </c>
      <c r="F9" s="27" t="str">
        <f aca="false">IF(COUNTIFS(Rechnungsjournal!$G$5:$G$34,$A9,Rechnungsjournal!$B$5:$B$34,"&gt;="&amp;DATE(2026,9,1),Rechnungsjournal!$B$5:$B$34,"&lt;"&amp;DATE(2026,10,1))=0,"",SUMIFS(Rechnungsjournal!$N$5:$N$34,Rechnungsjournal!$G$5:$G$34,$A9,Rechnungsjournal!$B$5:$B$34,"&gt;="&amp;DATE(2026,9,1),Rechnungsjournal!$B$5:$B$34,"&lt;"&amp;DATE(2026,10,1)))</f>
        <v/>
      </c>
      <c r="G9" s="27" t="str">
        <f aca="false">IF(COUNTIFS(Rechnungsjournal!$G$5:$G$34,$A9,Rechnungsjournal!$B$5:$B$34,"&gt;="&amp;DATE(2026,10,1),Rechnungsjournal!$B$5:$B$34,"&lt;"&amp;DATE(2026,11,1))=0,"",SUMIFS(Rechnungsjournal!$N$5:$N$34,Rechnungsjournal!$G$5:$G$34,$A9,Rechnungsjournal!$B$5:$B$34,"&gt;="&amp;DATE(2026,10,1),Rechnungsjournal!$B$5:$B$34,"&lt;"&amp;DATE(2026,11,1)))</f>
        <v/>
      </c>
      <c r="H9" s="27" t="str">
        <f aca="false">IF(COUNTIFS(Rechnungsjournal!$G$5:$G$34,$A9,Rechnungsjournal!$B$5:$B$34,"&gt;="&amp;DATE(2026,11,1),Rechnungsjournal!$B$5:$B$34,"&lt;"&amp;DATE(2026,12,1))=0,"",SUMIFS(Rechnungsjournal!$N$5:$N$34,Rechnungsjournal!$G$5:$G$34,$A9,Rechnungsjournal!$B$5:$B$34,"&gt;="&amp;DATE(2026,11,1),Rechnungsjournal!$B$5:$B$34,"&lt;"&amp;DATE(2026,12,1)))</f>
        <v/>
      </c>
      <c r="I9" s="27" t="str">
        <f aca="false">IF(COUNTIFS(Rechnungsjournal!$G$5:$G$34,$A9,Rechnungsjournal!$B$5:$B$34,"&gt;="&amp;DATE(2026,12,1),Rechnungsjournal!$B$5:$B$34,"&lt;"&amp;DATE(2027,1,1))=0,"",SUMIFS(Rechnungsjournal!$N$5:$N$34,Rechnungsjournal!$G$5:$G$34,$A9,Rechnungsjournal!$B$5:$B$34,"&gt;="&amp;DATE(2026,12,1),Rechnungsjournal!$B$5:$B$34,"&lt;"&amp;DATE(2027,1,1)))</f>
        <v/>
      </c>
      <c r="J9" s="28" t="n">
        <f aca="false">SUM(B9:I9)</f>
        <v>17.85</v>
      </c>
    </row>
    <row r="10" customFormat="false" ht="15" hidden="false" customHeight="false" outlineLevel="0" collapsed="false">
      <c r="A10" s="26" t="s">
        <v>45</v>
      </c>
      <c r="B10" s="31"/>
      <c r="C10" s="31"/>
      <c r="D10" s="31"/>
      <c r="E10" s="31"/>
      <c r="F10" s="31"/>
      <c r="G10" s="31"/>
      <c r="H10" s="31"/>
      <c r="I10" s="31"/>
      <c r="J10" s="32" t="n">
        <f aca="false">SUM(B10:I10)</f>
        <v>0</v>
      </c>
    </row>
    <row r="11" customFormat="false" ht="15" hidden="false" customHeight="false" outlineLevel="0" collapsed="false">
      <c r="A11" s="26" t="s">
        <v>50</v>
      </c>
      <c r="B11" s="29" t="n">
        <f aca="false">IF(COUNTIFS(Rechnungsjournal!$G$5:$G$34,$A11,Rechnungsjournal!$B$5:$B$34,"&gt;="&amp;DATE(2026,5,1),Rechnungsjournal!$B$5:$B$34,"&lt;"&amp;DATE(2026,6,1))=0,"",SUMIFS(Rechnungsjournal!$N$5:$N$34,Rechnungsjournal!$G$5:$G$34,$A11,Rechnungsjournal!$B$5:$B$34,"&gt;="&amp;DATE(2026,5,1),Rechnungsjournal!$B$5:$B$34,"&lt;"&amp;DATE(2026,6,1)))</f>
        <v>0</v>
      </c>
      <c r="C11" s="29" t="n">
        <f aca="false">IF(COUNTIFS(Rechnungsjournal!$G$5:$G$34,$A11,Rechnungsjournal!$B$5:$B$34,"&gt;="&amp;DATE(2026,6,1),Rechnungsjournal!$B$5:$B$34,"&lt;"&amp;DATE(2026,7,1))=0,"",SUMIFS(Rechnungsjournal!$N$5:$N$34,Rechnungsjournal!$G$5:$G$34,$A11,Rechnungsjournal!$B$5:$B$34,"&gt;="&amp;DATE(2026,6,1),Rechnungsjournal!$B$5:$B$34,"&lt;"&amp;DATE(2026,7,1)))</f>
        <v>15.5</v>
      </c>
      <c r="D11" s="29" t="n">
        <f aca="false">IF(COUNTIFS(Rechnungsjournal!$G$5:$G$34,$A11,Rechnungsjournal!$B$5:$B$34,"&gt;="&amp;DATE(2026,7,1),Rechnungsjournal!$B$5:$B$34,"&lt;"&amp;DATE(2026,8,1))=0,"",SUMIFS(Rechnungsjournal!$N$5:$N$34,Rechnungsjournal!$G$5:$G$34,$A11,Rechnungsjournal!$B$5:$B$34,"&gt;="&amp;DATE(2026,7,1),Rechnungsjournal!$B$5:$B$34,"&lt;"&amp;DATE(2026,8,1)))</f>
        <v>2.5</v>
      </c>
      <c r="E11" s="29" t="n">
        <f aca="false">IF(COUNTIFS(Rechnungsjournal!$G$5:$G$34,$A11,Rechnungsjournal!$B$5:$B$34,"&gt;="&amp;DATE(2026,8,1),Rechnungsjournal!$B$5:$B$34,"&lt;"&amp;DATE(2026,9,1))=0,"",SUMIFS(Rechnungsjournal!$N$5:$N$34,Rechnungsjournal!$G$5:$G$34,$A11,Rechnungsjournal!$B$5:$B$34,"&gt;="&amp;DATE(2026,8,1),Rechnungsjournal!$B$5:$B$34,"&lt;"&amp;DATE(2026,9,1)))</f>
        <v>2.5</v>
      </c>
      <c r="F11" s="29" t="str">
        <f aca="false">IF(COUNTIFS(Rechnungsjournal!$G$5:$G$34,$A11,Rechnungsjournal!$B$5:$B$34,"&gt;="&amp;DATE(2026,9,1),Rechnungsjournal!$B$5:$B$34,"&lt;"&amp;DATE(2026,10,1))=0,"",SUMIFS(Rechnungsjournal!$N$5:$N$34,Rechnungsjournal!$G$5:$G$34,$A11,Rechnungsjournal!$B$5:$B$34,"&gt;="&amp;DATE(2026,9,1),Rechnungsjournal!$B$5:$B$34,"&lt;"&amp;DATE(2026,10,1)))</f>
        <v/>
      </c>
      <c r="G11" s="29" t="str">
        <f aca="false">IF(COUNTIFS(Rechnungsjournal!$G$5:$G$34,$A11,Rechnungsjournal!$B$5:$B$34,"&gt;="&amp;DATE(2026,10,1),Rechnungsjournal!$B$5:$B$34,"&lt;"&amp;DATE(2026,11,1))=0,"",SUMIFS(Rechnungsjournal!$N$5:$N$34,Rechnungsjournal!$G$5:$G$34,$A11,Rechnungsjournal!$B$5:$B$34,"&gt;="&amp;DATE(2026,10,1),Rechnungsjournal!$B$5:$B$34,"&lt;"&amp;DATE(2026,11,1)))</f>
        <v/>
      </c>
      <c r="H11" s="29" t="str">
        <f aca="false">IF(COUNTIFS(Rechnungsjournal!$G$5:$G$34,$A11,Rechnungsjournal!$B$5:$B$34,"&gt;="&amp;DATE(2026,11,1),Rechnungsjournal!$B$5:$B$34,"&lt;"&amp;DATE(2026,12,1))=0,"",SUMIFS(Rechnungsjournal!$N$5:$N$34,Rechnungsjournal!$G$5:$G$34,$A11,Rechnungsjournal!$B$5:$B$34,"&gt;="&amp;DATE(2026,11,1),Rechnungsjournal!$B$5:$B$34,"&lt;"&amp;DATE(2026,12,1)))</f>
        <v/>
      </c>
      <c r="I11" s="29" t="str">
        <f aca="false">IF(COUNTIFS(Rechnungsjournal!$G$5:$G$34,$A11,Rechnungsjournal!$B$5:$B$34,"&gt;="&amp;DATE(2026,12,1),Rechnungsjournal!$B$5:$B$34,"&lt;"&amp;DATE(2027,1,1))=0,"",SUMIFS(Rechnungsjournal!$N$5:$N$34,Rechnungsjournal!$G$5:$G$34,$A11,Rechnungsjournal!$B$5:$B$34,"&gt;="&amp;DATE(2026,12,1),Rechnungsjournal!$B$5:$B$34,"&lt;"&amp;DATE(2027,1,1)))</f>
        <v/>
      </c>
      <c r="J11" s="30" t="n">
        <f aca="false">SUM(B11:I11)</f>
        <v>20.5</v>
      </c>
    </row>
    <row r="12" customFormat="false" ht="15" hidden="false" customHeight="false" outlineLevel="0" collapsed="false">
      <c r="A12" s="26" t="s">
        <v>56</v>
      </c>
      <c r="B12" s="31"/>
      <c r="C12" s="31"/>
      <c r="D12" s="31"/>
      <c r="E12" s="31"/>
      <c r="F12" s="31"/>
      <c r="G12" s="31"/>
      <c r="H12" s="31"/>
      <c r="I12" s="31"/>
      <c r="J12" s="32" t="n">
        <f aca="false">SUM(B12:I12)</f>
        <v>0</v>
      </c>
    </row>
    <row r="13" customFormat="false" ht="15" hidden="false" customHeight="false" outlineLevel="0" collapsed="false">
      <c r="A13" s="26" t="s">
        <v>59</v>
      </c>
      <c r="B13" s="31"/>
      <c r="C13" s="31"/>
      <c r="D13" s="31"/>
      <c r="E13" s="31"/>
      <c r="F13" s="31"/>
      <c r="G13" s="31"/>
      <c r="H13" s="31"/>
      <c r="I13" s="31"/>
      <c r="J13" s="32" t="n">
        <f aca="false">SUM(B13:I13)</f>
        <v>0</v>
      </c>
    </row>
    <row r="14" customFormat="false" ht="15" hidden="false" customHeight="false" outlineLevel="0" collapsed="false">
      <c r="A14" s="26" t="s">
        <v>64</v>
      </c>
      <c r="B14" s="31"/>
      <c r="C14" s="31"/>
      <c r="D14" s="31"/>
      <c r="E14" s="31"/>
      <c r="F14" s="31"/>
      <c r="G14" s="31"/>
      <c r="H14" s="31"/>
      <c r="I14" s="31"/>
      <c r="J14" s="32" t="n">
        <f aca="false">SUM(B14:I14)</f>
        <v>0</v>
      </c>
    </row>
    <row r="16" customFormat="false" ht="15" hidden="false" customHeight="false" outlineLevel="0" collapsed="false">
      <c r="A16" s="13" t="s">
        <v>215</v>
      </c>
      <c r="B16" s="15" t="n">
        <f aca="false">IF(B5="",0,B5)+IF(B6="",0,B6)+IF(B7="",0,B7)+IF(B9="",0,B9)</f>
        <v>48.8</v>
      </c>
      <c r="C16" s="15" t="n">
        <f aca="false">IF(C5="",0,C5)+IF(C6="",0,C6)+IF(C7="",0,C7)+IF(C9="",0,C9)</f>
        <v>91.62</v>
      </c>
      <c r="D16" s="15" t="n">
        <f aca="false">IF(D5="",0,D5)+IF(D6="",0,D6)+IF(D7="",0,D7)+IF(D9="",0,D9)</f>
        <v>78.1</v>
      </c>
      <c r="E16" s="15" t="n">
        <f aca="false">IF(E5="",0,E5)+IF(E6="",0,E6)+IF(E7="",0,E7)+IF(E9="",0,E9)</f>
        <v>131.18</v>
      </c>
      <c r="F16" s="15" t="n">
        <f aca="false">IF(F5="",0,F5)+IF(F6="",0,F6)+IF(F7="",0,F7)+IF(F9="",0,F9)</f>
        <v>0</v>
      </c>
      <c r="G16" s="15" t="n">
        <f aca="false">IF(G5="",0,G5)+IF(G6="",0,G6)+IF(G7="",0,G7)+IF(G9="",0,G9)</f>
        <v>0</v>
      </c>
      <c r="H16" s="15" t="n">
        <f aca="false">IF(H5="",0,H5)+IF(H6="",0,H6)+IF(H7="",0,H7)+IF(H9="",0,H9)</f>
        <v>0</v>
      </c>
      <c r="I16" s="15" t="n">
        <f aca="false">IF(I5="",0,I5)+IF(I6="",0,I6)+IF(I7="",0,I7)+IF(I9="",0,I9)</f>
        <v>0</v>
      </c>
      <c r="J16" s="33"/>
    </row>
    <row r="17" customFormat="false" ht="15" hidden="false" customHeight="false" outlineLevel="0" collapsed="false">
      <c r="A17" s="13" t="s">
        <v>216</v>
      </c>
      <c r="B17" s="16" t="n">
        <f aca="false">IF(B8="",0,B8)+IF(B11="",0,B11)</f>
        <v>22</v>
      </c>
      <c r="C17" s="16" t="n">
        <f aca="false">IF(C8="",0,C8)+IF(C11="",0,C11)</f>
        <v>15.5</v>
      </c>
      <c r="D17" s="16" t="n">
        <f aca="false">IF(D8="",0,D8)+IF(D11="",0,D11)</f>
        <v>2.5</v>
      </c>
      <c r="E17" s="16" t="n">
        <f aca="false">IF(E8="",0,E8)+IF(E11="",0,E11)</f>
        <v>24.5</v>
      </c>
      <c r="F17" s="16" t="n">
        <f aca="false">IF(F8="",0,F8)+IF(F11="",0,F11)</f>
        <v>0</v>
      </c>
      <c r="G17" s="16" t="n">
        <f aca="false">IF(G8="",0,G8)+IF(G11="",0,G11)</f>
        <v>0</v>
      </c>
      <c r="H17" s="16" t="n">
        <f aca="false">IF(H8="",0,H8)+IF(H11="",0,H11)</f>
        <v>0</v>
      </c>
      <c r="I17" s="16" t="n">
        <f aca="false">IF(I8="",0,I8)+IF(I11="",0,I11)</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34" t="s">
        <v>217</v>
      </c>
    </row>
    <row r="3" customFormat="false" ht="15" hidden="false" customHeight="false" outlineLevel="0" collapsed="false">
      <c r="A3" s="35" t="s">
        <v>218</v>
      </c>
    </row>
    <row r="4" customFormat="false" ht="77.6" hidden="false" customHeight="false" outlineLevel="0" collapsed="false">
      <c r="A4" s="36" t="s">
        <v>219</v>
      </c>
    </row>
    <row r="6" customFormat="false" ht="15" hidden="false" customHeight="false" outlineLevel="0" collapsed="false">
      <c r="A6" s="35" t="s">
        <v>220</v>
      </c>
    </row>
    <row r="7" customFormat="false" ht="15" hidden="false" customHeight="false" outlineLevel="0" collapsed="false">
      <c r="A7" s="37" t="s">
        <v>221</v>
      </c>
    </row>
    <row r="8" customFormat="false" ht="15" hidden="false" customHeight="false" outlineLevel="0" collapsed="false">
      <c r="A8" s="38" t="s">
        <v>222</v>
      </c>
    </row>
    <row r="9" customFormat="false" ht="15" hidden="false" customHeight="false" outlineLevel="0" collapsed="false">
      <c r="A9" s="39" t="s">
        <v>223</v>
      </c>
    </row>
    <row r="10" customFormat="false" ht="15" hidden="false" customHeight="false" outlineLevel="0" collapsed="false">
      <c r="A10" s="40" t="s">
        <v>224</v>
      </c>
    </row>
    <row r="11" customFormat="false" ht="15" hidden="false" customHeight="false" outlineLevel="0" collapsed="false">
      <c r="A11" s="41" t="s">
        <v>225</v>
      </c>
    </row>
    <row r="13" customFormat="false" ht="15" hidden="false" customHeight="false" outlineLevel="0" collapsed="false">
      <c r="A13" s="35" t="s">
        <v>226</v>
      </c>
    </row>
    <row r="14" customFormat="false" ht="15" hidden="false" customHeight="false" outlineLevel="0" collapsed="false">
      <c r="A14" s="36" t="s">
        <v>227</v>
      </c>
    </row>
    <row r="15" customFormat="false" ht="102.95" hidden="false" customHeight="false" outlineLevel="0" collapsed="false">
      <c r="A15" s="36" t="s">
        <v>228</v>
      </c>
    </row>
    <row r="16" customFormat="false" ht="26.85" hidden="false" customHeight="false" outlineLevel="0" collapsed="false">
      <c r="A16" s="36" t="s">
        <v>229</v>
      </c>
    </row>
    <row r="17" customFormat="false" ht="15" hidden="false" customHeight="false" outlineLevel="0" collapsed="false">
      <c r="A17" s="36" t="s">
        <v>230</v>
      </c>
    </row>
    <row r="19" customFormat="false" ht="15" hidden="false" customHeight="false" outlineLevel="0" collapsed="false">
      <c r="A19" s="35" t="s">
        <v>231</v>
      </c>
    </row>
    <row r="20" customFormat="false" ht="141" hidden="false" customHeight="false" outlineLevel="0" collapsed="false">
      <c r="A20" s="36" t="s">
        <v>232</v>
      </c>
    </row>
    <row r="22" customFormat="false" ht="15" hidden="false" customHeight="false" outlineLevel="0" collapsed="false">
      <c r="A22" s="35" t="s">
        <v>233</v>
      </c>
    </row>
    <row r="23" customFormat="false" ht="52.2" hidden="false" customHeight="false" outlineLevel="0" collapsed="false">
      <c r="A23" s="36" t="s">
        <v>234</v>
      </c>
    </row>
    <row r="24" customFormat="false" ht="26.85" hidden="false" customHeight="false" outlineLevel="0" collapsed="false">
      <c r="A24" s="36" t="s">
        <v>235</v>
      </c>
    </row>
    <row r="25" customFormat="false" ht="26.85" hidden="false" customHeight="false" outlineLevel="0" collapsed="false">
      <c r="A25" s="36" t="s">
        <v>236</v>
      </c>
    </row>
    <row r="26" customFormat="false" ht="26.85" hidden="false" customHeight="false" outlineLevel="0" collapsed="false">
      <c r="A26" s="36" t="s">
        <v>237</v>
      </c>
    </row>
    <row r="27" customFormat="false" ht="52.2" hidden="false" customHeight="false" outlineLevel="0" collapsed="false">
      <c r="A27" s="36" t="s">
        <v>238</v>
      </c>
    </row>
    <row r="28" customFormat="false" ht="26.85" hidden="false" customHeight="false" outlineLevel="0" collapsed="false">
      <c r="A28" s="36" t="s">
        <v>239</v>
      </c>
    </row>
    <row r="29" customFormat="false" ht="77.6" hidden="false" customHeight="false" outlineLevel="0" collapsed="false">
      <c r="A29" s="36" t="s">
        <v>240</v>
      </c>
    </row>
    <row r="30" customFormat="false" ht="15" hidden="false" customHeight="false" outlineLevel="0" collapsed="false">
      <c r="A30" s="36" t="s">
        <v>241</v>
      </c>
    </row>
    <row r="31" customFormat="false" ht="15" hidden="false" customHeight="false" outlineLevel="0" collapsed="false">
      <c r="A31" s="36" t="s">
        <v>242</v>
      </c>
    </row>
    <row r="32" customFormat="false" ht="26.85" hidden="false" customHeight="false" outlineLevel="0" collapsed="false">
      <c r="A32" s="36" t="s">
        <v>243</v>
      </c>
    </row>
    <row r="34" customFormat="false" ht="39.55" hidden="false" customHeight="false" outlineLevel="0" collapsed="false">
      <c r="A34" s="42" t="s">
        <v>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2026-09-02T14:11:57Z</dcterms:created>
  <dc:creator>openpyxl</dc:creator>
  <dc:description/>
  <dc:language>en-US</dc:language>
  <cp:lastModifiedBy/>
  <dcterms:modified xsi:type="dcterms:W3CDTF">2026-09-02T14:11:57Z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