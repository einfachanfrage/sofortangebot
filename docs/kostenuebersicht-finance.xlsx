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ostenübersicht" sheetId="1" state="visible" r:id="rId3"/>
    <sheet name="Rechnungsjournal" sheetId="2" state="visible" r:id="rId4"/>
    <sheet name="Monatsverlauf" sheetId="3" state="visible" r:id="rId5"/>
    <sheet name="Marge &amp; Tragfähigkeit" sheetId="4" state="visible" r:id="rId6"/>
    <sheet name="Kleinunternehmergrenze" sheetId="5" state="visible" r:id="rId7"/>
    <sheet name="Legende &amp; offene Punkte" sheetId="6" state="visible" r:id="rId8"/>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Freie Zeile für weitere Tools, die Sandy noch ergänzt.</t>
        </r>
      </text>
    </comment>
    <comment ref="A16" authorId="0">
      <text>
        <r>
          <rPr>
            <sz val="10"/>
            <rFont val="Arial"/>
            <family val="2"/>
          </rPr>
          <t xml:space="preserve">Freie Zeile für weitere Tools, die Sandy noch ergänzt.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22" authorId="0">
      <text>
        <r>
          <rPr>
            <sz val="10"/>
            <rFont val="Arial"/>
            <family val="2"/>
          </rPr>
          <t xml:space="preserve">Ab hier: freie Zeilen für neue Belege. Bitte fortlaufende Beleg-Nr. vergeben (z. B. 2026-018) und nie bestehende Zeilen überschreiben/löschen.</t>
        </r>
      </text>
    </comment>
    <comment ref="N15"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N16"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P6"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7"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8"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1"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2"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4"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2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List>
</comments>
</file>

<file path=xl/sharedStrings.xml><?xml version="1.0" encoding="utf-8"?>
<sst xmlns="http://schemas.openxmlformats.org/spreadsheetml/2006/main" count="521" uniqueCount="353">
  <si>
    <t xml:space="preserve">Sofortangebot — Laufende Geschäftskosten</t>
  </si>
  <si>
    <t xml:space="preserve">Stand: 2026-09-02 · Head of Finance · Bestandsaufnahme CoS-F-001 · Beleg-Details je Rechnung stehen im Blatt 'Rechnungsjournal' · orange = auffällig, bitte klären · grau = noch kein Beleg</t>
  </si>
  <si>
    <t xml:space="preserve">Dienst</t>
  </si>
  <si>
    <t xml:space="preserve">Kategorie</t>
  </si>
  <si>
    <t xml:space="preserve">Währung</t>
  </si>
  <si>
    <t xml:space="preserve">Monatsbetrag (aktuellster Beleg, brutto)</t>
  </si>
  <si>
    <t xml:space="preserve">Abrechnungsrhythmus</t>
  </si>
  <si>
    <t xml:space="preserve">Vertragsstand / Kündigungsfrist</t>
  </si>
  <si>
    <t xml:space="preserve">USt-Behandlung</t>
  </si>
  <si>
    <t xml:space="preserve">Status</t>
  </si>
  <si>
    <t xml:space="preserve">Quelle / Notiz</t>
  </si>
  <si>
    <t xml:space="preserve">Supabase</t>
  </si>
  <si>
    <t xml:space="preserve">Hosting / Datenbank</t>
  </si>
  <si>
    <t xml:space="preserve">USD</t>
  </si>
  <si>
    <t xml:space="preserve">monatlich: Pro Plan $25 Grundgebühr + nutzungsbasierte Zusatzkosten (Compute, Realtime, Egress, Functions, …)</t>
  </si>
  <si>
    <t xml:space="preserve">2 Projekte laut Doku vorgesehen (Staging + Produktion 'yqlledouhfovytifeekd')</t>
  </si>
  <si>
    <t xml:space="preserve">Reverse Charge (§13b UStG, Singapur-Anbieter) — Sandy startet als Kleinunternehmerin (§19 UStG, Gewerbe noch nicht angemeldet), finale Behandlung mit Steuerberater klären</t>
  </si>
  <si>
    <t xml:space="preserve">auffällig — Betrag bestätigt, Trend + Projektanzahl bitte klären</t>
  </si>
  <si>
    <t xml:space="preserve">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</si>
  <si>
    <t xml:space="preserve">Vercel</t>
  </si>
  <si>
    <t xml:space="preserve">Hosting / Deployment</t>
  </si>
  <si>
    <t xml:space="preserve">monatlich: Pro Plan $20 + 19% USt, seit Juni zusätzlich 'Observability Plus' Position mit $0,00</t>
  </si>
  <si>
    <t xml:space="preserve">Kündigungsfrist unbekannt</t>
  </si>
  <si>
    <t xml:space="preserve">USt. direkt ausgewiesen (EU VAT EU056329113), kein Reverse Charge</t>
  </si>
  <si>
    <t xml:space="preserve">bestätigt</t>
  </si>
  <si>
    <t xml:space="preserve">4 Belege (Journal 2026-002/005/007/015): 22.05., 22.06., 22.07., 22.08. — durchgängig $23,80, stabil. Zahlungsart jetzt bestätigt: Kreditkarte Visa •••3991.</t>
  </si>
  <si>
    <t xml:space="preserve">Anthropic — direkt</t>
  </si>
  <si>
    <t xml:space="preserve">KI / API</t>
  </si>
  <si>
    <t xml:space="preserve">unklar — Beleg trägt 'Prepaid extra usage, Individual plan', evtl. einmaliger Nachkauf statt Fixbetrag</t>
  </si>
  <si>
    <t xml:space="preserve">unbekannt</t>
  </si>
  <si>
    <t xml:space="preserve">USt. direkt ausgewiesen (EU VAT IE4276970QH), kein Reverse Charge</t>
  </si>
  <si>
    <t xml:space="preserve">auffällig — bitte klären ob wiederkehrend</t>
  </si>
  <si>
    <t xml:space="preserve">1 Beleg (Journal 2026-010) vom 17.08.2026 über $45,00 + USt = $53,55, Geschäftsadresse Wielandstraße 11, mit hinterlegter deutscher Steuernummer.</t>
  </si>
  <si>
    <t xml:space="preserve">Claude Pro (Apple/iTunes)</t>
  </si>
  <si>
    <t xml:space="preserve">KI / Software</t>
  </si>
  <si>
    <t xml:space="preserve">EUR</t>
  </si>
  <si>
    <t xml:space="preserve">monatlich, automatische Verlängerung, Zahlung per PayPal</t>
  </si>
  <si>
    <t xml:space="preserve">monatlich kündbar (Apple-Abo)</t>
  </si>
  <si>
    <t xml:space="preserve">USt. direkt von Apple ausgewiesen, kein Reverse Charge</t>
  </si>
  <si>
    <t xml:space="preserve">auffällig — geschäftlich/privat + fehlende Monate klären</t>
  </si>
  <si>
    <t xml:space="preserve">2 Belege (Journal 2026-001/009): 04.05. und 03.08., je 22,00 € — Juni/Juli-Belege fehlen noch. Separates Abo zur direkten Anthropic-Rechnung, andere Rechnungsadresse (Krampasplatz 4b). Bitte klären: zweite geschäftliche Claude-Lizenz oder privates Abo?</t>
  </si>
  <si>
    <t xml:space="preserve">OpenAI</t>
  </si>
  <si>
    <t xml:space="preserve">nutzungsbasiert, Beleg zeigt eine Guthaben-Aufladung ('usage credit'), kein fester Monatsbetrag erkennbar</t>
  </si>
  <si>
    <t xml:space="preserve">USt. direkt ausgewiesen (EU OSS VAT EU372041333), kein Reverse Charge</t>
  </si>
  <si>
    <t xml:space="preserve">1 Beleg (Journal 2026-004) vom 14.06.2026 über $15,00 + USt = $17,85. Rechnungsempfänger 'Hugo' / runningwithhugo@outlook.de — ist Sandys eigener Account, Name/E-Mail-Alias lässt sich bei OpenAI nachträglich nicht mehr ändern (geklärt 19.08.2026).</t>
  </si>
  <si>
    <t xml:space="preserve">Resend</t>
  </si>
  <si>
    <t xml:space="preserve">E-Mail</t>
  </si>
  <si>
    <t xml:space="preserve">?</t>
  </si>
  <si>
    <t xml:space="preserve">kein Beleg gefunden</t>
  </si>
  <si>
    <t xml:space="preserve">Im Code bestätigt (Paket 'resend', RESEND_API_KEY), aber noch keine Rechnung im Belege-Ordner.</t>
  </si>
  <si>
    <t xml:space="preserve">Domain sofortangebot.app</t>
  </si>
  <si>
    <t xml:space="preserve">Domain</t>
  </si>
  <si>
    <t xml:space="preserve">'IONOS Mail Basic 5' (Postfach) laufend 2,50 €/Monat. Domain .app + 'Domain Guard' (Privatsphärenschutz) jährlich, zusammen 13,00 € brutto — nächste Fälligkeit ~06/2027.</t>
  </si>
  <si>
    <t xml:space="preserve">Vertragsnummer 111811442 bei IONOS SE — Achtung: bündelt auf denselben Rechnungen auch mehrere fremde Domains, siehe Journal</t>
  </si>
  <si>
    <t xml:space="preserve">USt. direkt von IONOS ausgewiesen (USt-IdNr. DE815563912), kein Reverse Charge</t>
  </si>
  <si>
    <t xml:space="preserve">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</si>
  <si>
    <t xml:space="preserve">Sentry</t>
  </si>
  <si>
    <t xml:space="preserve">Monitoring / Error-Tracking</t>
  </si>
  <si>
    <t xml:space="preserve">Im Code gefunden ('@sentry/nextjs'), nicht in Sandys Ausgangsliste, noch keine Rechnung im Ordner.</t>
  </si>
  <si>
    <t xml:space="preserve">Stripe</t>
  </si>
  <si>
    <t xml:space="preserve">Zahlungsabwicklung</t>
  </si>
  <si>
    <t xml:space="preserve">transaktionsbasiert (keine feste Monatsgebühr erwartet)</t>
  </si>
  <si>
    <t xml:space="preserve">kein Beleg erwartet</t>
  </si>
  <si>
    <t xml:space="preserve">Im Code bestätigt ('stripe' Paket). Gebühren pro Transaktion statt Fixkosten — relevant erst mit Umsatz-Tracking in Phase 2.</t>
  </si>
  <si>
    <t xml:space="preserve">GitHub Actions (Backup-Artefakte)</t>
  </si>
  <si>
    <t xml:space="preserve">CI / Infra</t>
  </si>
  <si>
    <t xml:space="preserve">nutzungsbasiert (Speicher/Minuten)</t>
  </si>
  <si>
    <t xml:space="preserve">abhängig vom GitHub-Plan</t>
  </si>
  <si>
    <t xml:space="preserve">zu prüfen</t>
  </si>
  <si>
    <t xml:space="preserve">Tägliches DB-Backup speichert Artefakte 30/90/365 Tage. Kann bei privatem Repo über das Freikontingent hinaus Kosten verursachen — noch kein Beleg.</t>
  </si>
  <si>
    <t xml:space="preserve">Summe USD-Positionen (siehe Status-Spalte für Vorbehalte)</t>
  </si>
  <si>
    <t xml:space="preserve">Summe EUR-Positionen (siehe Status-Spalte für Vorbehalte)</t>
  </si>
  <si>
    <t xml:space="preserve">Hinweis: USD- und EUR-Positionen werden bewusst getrennt summiert, um keinen falschen Umrechnungskurs vorzutäuschen. Beleg-Details je Rechnung (Rechnungsnummer, Netto/USt/Brutto, Beleg-Datei) stehen im Blatt 'Rechnungsjournal'.</t>
  </si>
  <si>
    <t xml:space="preserve">Rechnungsjournal — Belege im Detail (für Buchhaltung / Steuerberater)</t>
  </si>
  <si>
    <t xml:space="preserve">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</si>
  <si>
    <t xml:space="preserve">Beleg-Nr.</t>
  </si>
  <si>
    <t xml:space="preserve">Rechnungsdatum</t>
  </si>
  <si>
    <t xml:space="preserve">Rechnungsnr. (Anbieter)</t>
  </si>
  <si>
    <t xml:space="preserve">Leistungszeitraum</t>
  </si>
  <si>
    <t xml:space="preserve">Anbieter</t>
  </si>
  <si>
    <t xml:space="preserve">Anbieter-Land</t>
  </si>
  <si>
    <t xml:space="preserve">Rechnungsempfänger lt. Beleg</t>
  </si>
  <si>
    <t xml:space="preserve">Netto-Betrag</t>
  </si>
  <si>
    <t xml:space="preserve">USt-Satz</t>
  </si>
  <si>
    <t xml:space="preserve">USt-Betrag</t>
  </si>
  <si>
    <t xml:space="preserve">Brutto-Betrag</t>
  </si>
  <si>
    <t xml:space="preserve">Sofortangebot-Anteil (Brutto)</t>
  </si>
  <si>
    <t xml:space="preserve">Steuerliche Einordnung</t>
  </si>
  <si>
    <t xml:space="preserve">Betrag EUR (Brutto, ca.)</t>
  </si>
  <si>
    <t xml:space="preserve">Zahlungsart</t>
  </si>
  <si>
    <t xml:space="preserve">Beleg-Datei (Ordner 'Rechnungen')</t>
  </si>
  <si>
    <t xml:space="preserve">Auffälligkeit / Notiz</t>
  </si>
  <si>
    <t xml:space="preserve">2026-001</t>
  </si>
  <si>
    <t xml:space="preserve">MVS2VFHBYG / Dok. 846129332588</t>
  </si>
  <si>
    <t xml:space="preserve">04.05.–03.06.2026 (Abo-Monat)</t>
  </si>
  <si>
    <t xml:space="preserve">Apple Distribution International Ltd. (Vertrieb für Claude Pro)</t>
  </si>
  <si>
    <t xml:space="preserve">Irland</t>
  </si>
  <si>
    <t xml:space="preserve">Sandra Holm, Krampasplatz 4b, 14199 Berlin</t>
  </si>
  <si>
    <t xml:space="preserve">USt. (19%) direkt von Apple ausgewiesen, kein Reverse Charge.</t>
  </si>
  <si>
    <t xml:space="preserve">PayPal</t>
  </si>
  <si>
    <t xml:space="preserve">Deine Rechnung von Apple.eml</t>
  </si>
  <si>
    <t xml:space="preserve">Abo verlängert sich automatisch monatlich. Rechnungsadresse weicht von den übrigen Belegen ab (Krampasplatz 4b statt Wielandstraße 11) — bitte klären, welche Adresse aktuell/richtig ist.</t>
  </si>
  <si>
    <t xml:space="preserve">2026-002</t>
  </si>
  <si>
    <t xml:space="preserve">TT0BDQ8S-0001</t>
  </si>
  <si>
    <t xml:space="preserve">22.05.–21.06.2026</t>
  </si>
  <si>
    <t xml:space="preserve">Vercel Inc.</t>
  </si>
  <si>
    <t xml:space="preserve">USA</t>
  </si>
  <si>
    <t xml:space="preserve">einfachanfrage's projects, Wielandstraße 11, 12159 Berlin (einfachanfrage@outlook.com)</t>
  </si>
  <si>
    <t xml:space="preserve">USt. (19%) direkt von Vercel ausgewiesen (EU VAT EU056329113), kein Reverse Charge.</t>
  </si>
  <si>
    <t xml:space="preserve">Kreditkarte Visa •••3991</t>
  </si>
  <si>
    <t xml:space="preserve">Invoice-TT0BDQ8S-0001.pdf / Receipt-2392-5328.pdf</t>
  </si>
  <si>
    <t xml:space="preserve">Zahlungsart nachträglich ergänzt (Update 2026-09-02) anhand Zahlungsbeleg Receipt-2392-5328.pdf.</t>
  </si>
  <si>
    <t xml:space="preserve">2026-003</t>
  </si>
  <si>
    <t xml:space="preserve">MVGOOM-00003</t>
  </si>
  <si>
    <t xml:space="preserve">23.05.–22.06.2026</t>
  </si>
  <si>
    <t xml:space="preserve">Supabase Pte. Ltd.</t>
  </si>
  <si>
    <t xml:space="preserve">Singapur</t>
  </si>
  <si>
    <t xml:space="preserve">Sandra Holm, Wielandstraße 11, Berlin (einfachanfrage@outlook.com)</t>
  </si>
  <si>
    <t xml:space="preserve">Reverse Charge</t>
  </si>
  <si>
    <t xml:space="preserve">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</si>
  <si>
    <t xml:space="preserve">Invoice-MVGOOM-00003.pdf</t>
  </si>
  <si>
    <t xml:space="preserve">Nur Pro-Plan-Grundgebühr, keine Nutzungsgebühren in diesem Monat.</t>
  </si>
  <si>
    <t xml:space="preserve">2026-004</t>
  </si>
  <si>
    <t xml:space="preserve">YL9K6L19-0001</t>
  </si>
  <si>
    <t xml:space="preserve">—</t>
  </si>
  <si>
    <t xml:space="preserve">OpenAI OpCo, LLC</t>
  </si>
  <si>
    <t xml:space="preserve">Hugo, Wielandstraße 11, 12159 Berlin (runningwithhugo@outlook.de)</t>
  </si>
  <si>
    <t xml:space="preserve">USt. (19%) direkt von OpenAI ausgewiesen (EU OSS VAT EU372041333), kein Reverse Charge.</t>
  </si>
  <si>
    <t xml:space="preserve">Invoice-YL9K6L19-0001.pdf</t>
  </si>
  <si>
    <t xml:space="preserve">Geklärt (19.08.2026): Konto gehört Sandy, 'Hugo' ist ein historischer Nutzername/E-Mail-Alias bei OpenAI, der sich im Nachhinein nicht mehr auf 'Sandra Holm' ändern lässt. Kein falscher Account — nur zur Info für den Steuerberater vermerkt, falls Name/E-Mail auf dem Beleg auffallen.</t>
  </si>
  <si>
    <t xml:space="preserve">2026-005</t>
  </si>
  <si>
    <t xml:space="preserve">TT0BDQ8S-0003</t>
  </si>
  <si>
    <t xml:space="preserve">22.06.–21.07.2026</t>
  </si>
  <si>
    <t xml:space="preserve">Invoice-TT0BDQ8S-0003.pdf / Receipt-2268-5813.pdf</t>
  </si>
  <si>
    <t xml:space="preserve">Zusätzliche Position 'Observability Plus' mit $0,00 seit diesem Monat. Zahlungsart nachträglich ergänzt (Update 2026-09-02) anhand Zahlungsbeleg Receipt-2268-5813.pdf.</t>
  </si>
  <si>
    <t xml:space="preserve">2026-006</t>
  </si>
  <si>
    <t xml:space="preserve">MVGOOM-00005</t>
  </si>
  <si>
    <t xml:space="preserve">23.05.–22.06.2026 (Nutzung) + 23.06.–22.07.2026 (Pro Plan)</t>
  </si>
  <si>
    <t xml:space="preserve">Invoice-MVGOOM-00005.pdf / Receipt-MVGOOM-00005.pdf</t>
  </si>
  <si>
    <t xml:space="preserve">Erstmals nennenswerte Nutzungsgebühren (Compute Hours) zusätzlich zur Pro-Plan-Grundgebühr. Zahlungsbeleg (Receipt-MVGOOM-00005.pdf) nachträglich ergänzt (Update 2026-09-02), keine neue Zeile — identischer Betrag/Zeitraum wie diese Rechnung.</t>
  </si>
  <si>
    <t xml:space="preserve">2026-007</t>
  </si>
  <si>
    <t xml:space="preserve">TT0BDQ8S-0004</t>
  </si>
  <si>
    <t xml:space="preserve">22.07.–21.08.2026</t>
  </si>
  <si>
    <t xml:space="preserve">Invoice-TT0BDQ8S-0004.pdf / Receipt-2842-3830.pdf</t>
  </si>
  <si>
    <t xml:space="preserve">Zahlungsart nachträglich ergänzt (Update 2026-09-02) anhand Zahlungsbeleg Receipt-2842-3830.pdf.</t>
  </si>
  <si>
    <t xml:space="preserve">2026-008</t>
  </si>
  <si>
    <t xml:space="preserve">MVGOOM-00006</t>
  </si>
  <si>
    <t xml:space="preserve">23.06.–22.07.2026 (Nutzung) + 23.07.–22.08.2026 (Pro Plan)</t>
  </si>
  <si>
    <t xml:space="preserve">Invoice-MVGOOM-00006.pdf / Receipt-MVGOOM-00006.pdf</t>
  </si>
  <si>
    <t xml:space="preserve">Nutzungsgebühren weiter gestiegen, neu: 'Realtime Peak Connections' $10,00. Rechnung listet 5 verschiedene Projekt-Referenzen, dokumentiert sind nur 2 (Staging + Produktion). Zahlungsbeleg (Receipt-MVGOOM-00006.pdf) nachträglich ergänzt (Update 2026-09-02), keine neue Zeile.</t>
  </si>
  <si>
    <t xml:space="preserve">2026-009</t>
  </si>
  <si>
    <t xml:space="preserve">MVS3312KT5 / Dok. 674170779929</t>
  </si>
  <si>
    <t xml:space="preserve">03.08.–02.09.2026 (Abo-Monat)</t>
  </si>
  <si>
    <t xml:space="preserve">Deine Käufe bei Apple.eml</t>
  </si>
  <si>
    <t xml:space="preserve">Belege für die Juni- und Juli-Abbuchung dieses Abos fehlen noch (vermutlich auch je ~22 €) — bitte in Apple-Kaufhistorie/Postfach nachsehen und ergänzen.</t>
  </si>
  <si>
    <t xml:space="preserve">2026-010</t>
  </si>
  <si>
    <t xml:space="preserve">CBBICKXQ-0001</t>
  </si>
  <si>
    <t xml:space="preserve">Anthropic, PBC</t>
  </si>
  <si>
    <t xml:space="preserve">Sandra Holm, Wielandstraße 11, 12159 Berlin, DE STN 89365407818</t>
  </si>
  <si>
    <t xml:space="preserve">USt. (19%) direkt von Anthropic ausgewiesen (EU VAT IE4276970QH), kein Reverse Charge.</t>
  </si>
  <si>
    <t xml:space="preserve">unbekannt (Online-Zahlung)</t>
  </si>
  <si>
    <t xml:space="preserve">Invoice-CBBICKXQ-0001.pdf</t>
  </si>
  <si>
    <t xml:space="preserve">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</si>
  <si>
    <t xml:space="preserve">2026-011</t>
  </si>
  <si>
    <t xml:space="preserve">100185593347</t>
  </si>
  <si>
    <t xml:space="preserve">Abrechnung 26.04.2026 (Vertragszeitraum Domain: 25.04.2026–24.04.2027)</t>
  </si>
  <si>
    <t xml:space="preserve">IONOS SE</t>
  </si>
  <si>
    <t xml:space="preserve">Deutschland</t>
  </si>
  <si>
    <t xml:space="preserve">Sandra Holm, Wielandstr. 11, 12159 Berlin</t>
  </si>
  <si>
    <t xml:space="preserve">USt. (19%) direkt von IONOS ausgewiesen (deutscher Anbieter, USt-IdNr. DE815563912), kein Reverse Charge.</t>
  </si>
  <si>
    <t xml:space="preserve">IONOS Rechnung 2026-04-26 - RG_100185593347.pdf</t>
  </si>
  <si>
    <t xml:space="preserve">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</si>
  <si>
    <t xml:space="preserve">2026-012</t>
  </si>
  <si>
    <t xml:space="preserve">100187536255</t>
  </si>
  <si>
    <t xml:space="preserve">Abrechnung 26.05.2026 (Vertragszeiträume: 11.05.2026–10.05.2027 bzw. 22.05.2026–21.05.2027)</t>
  </si>
  <si>
    <t xml:space="preserve">IONOS Rechnung 2026-05-26 - RG_100187536255.pdf</t>
  </si>
  <si>
    <t xml:space="preserve">Rechnung betrifft drei fremde Domains ('einfachanfrage.com', 'einfachanfrage-hochzeitsfotografie.de', 'einfachanfrage-tattoo.de') plus deren Registrierungsgebühren — keine davon ist sofortangebot.app. Deshalb Sofortangebot-Anteil = 0,00 €. Neu entdeckt und nachgetragen: Update 2026-09-02.</t>
  </si>
  <si>
    <t xml:space="preserve">2026-013</t>
  </si>
  <si>
    <t xml:space="preserve">100189466040</t>
  </si>
  <si>
    <t xml:space="preserve">Abrechnung 26.06.2026 (Domain .app + Domain Guard: 08.06.2026–07.06.2027; IONOS Mail Basic 5: 08.06.–07.07.2026)</t>
  </si>
  <si>
    <t xml:space="preserve">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</si>
  <si>
    <t xml:space="preserve">IONOS Rechnung 2026-06-26 - RG_100189466040.pdf</t>
  </si>
  <si>
    <t xml:space="preserve">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</si>
  <si>
    <t xml:space="preserve">2026-014</t>
  </si>
  <si>
    <t xml:space="preserve">100191208015</t>
  </si>
  <si>
    <t xml:space="preserve">08.07.–07.08.2026 (IONOS Mail Basic 5)</t>
  </si>
  <si>
    <t xml:space="preserve">USt. (19%) direkt von IONOS ausgewiesen, kein Reverse Charge.</t>
  </si>
  <si>
    <t xml:space="preserve">IONOS Rechnung 2026-07-26 - RG_100191208015.pdf</t>
  </si>
  <si>
    <t xml:space="preserve">Nur Position 'IONOS Mail Basic 5' (2,50 €) — dasselbe Postfach wie in 2026-013. Sandy hat am 02.09.2026 bestätigt, dass es zu sofortangebot.app gehört. Neu entdeckt: Update 2026-09-02, Zuordnung bestätigt 2026-09-02.</t>
  </si>
  <si>
    <t xml:space="preserve">2026-015</t>
  </si>
  <si>
    <t xml:space="preserve">TT0BDQ8S-0005</t>
  </si>
  <si>
    <t xml:space="preserve">22.08.–21.09.2026</t>
  </si>
  <si>
    <t xml:space="preserve">Invoice-TT0BDQ8S-0005.pdf / Receipt-2017-0960.pdf</t>
  </si>
  <si>
    <t xml:space="preserve">Weiterhin 'Observability Plus' Position mit $0,00. Zahlungsart über Zahlungsbeleg bestätigt: Visa-Karte endet auf 3991 (gilt rückwirkend auch für 2026-002/005/007, dort ergänzt).</t>
  </si>
  <si>
    <t xml:space="preserve">2026-016</t>
  </si>
  <si>
    <t xml:space="preserve">MVGOOM-00007</t>
  </si>
  <si>
    <t xml:space="preserve">23.07.–22.08.2026 (Nutzung) + 23.08.–22.09.2026 (Pro Plan)</t>
  </si>
  <si>
    <t xml:space="preserve">Invoice-MVGOOM-00007.pdf / Receipt-MVGOOM-00007.pdf</t>
  </si>
  <si>
    <t xml:space="preserve">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</si>
  <si>
    <t xml:space="preserve">2026-017</t>
  </si>
  <si>
    <t xml:space="preserve">100192688572</t>
  </si>
  <si>
    <t xml:space="preserve">08.08.–07.09.2026 (IONOS Mail Basic 5)</t>
  </si>
  <si>
    <t xml:space="preserve">IONOS Rechnung 2026-08-26 - RG_100192688572.pdf</t>
  </si>
  <si>
    <t xml:space="preserve">Wie Juli: nur 'IONOS Mail Basic 5' (2,50 €). Sandy hat am 02.09.2026 bestätigt, dass es zu sofortangebot.app gehört (siehe 2026-013/014).</t>
  </si>
  <si>
    <t xml:space="preserve">Monatsverlauf laufende Kosten</t>
  </si>
  <si>
    <t xml:space="preserve">Werte werden per Formel aus dem 'Rechnungsjournal' gezogen (nach Rechnungsmonat, Dienst und Währung) — beim Ergänzen neuer Belege im Journal aktualisiert sich diese Ansicht automatisch. Leere Zelle = noch kein Beleg für diesen Monat gefunden.</t>
  </si>
  <si>
    <t xml:space="preserve">Mai 2026</t>
  </si>
  <si>
    <t xml:space="preserve">Jun 2026</t>
  </si>
  <si>
    <t xml:space="preserve">Jul 2026</t>
  </si>
  <si>
    <t xml:space="preserve">Aug 2026</t>
  </si>
  <si>
    <t xml:space="preserve">Sep 2026</t>
  </si>
  <si>
    <t xml:space="preserve">Okt 2026</t>
  </si>
  <si>
    <t xml:space="preserve">Nov 2026</t>
  </si>
  <si>
    <t xml:space="preserve">Dez 2026</t>
  </si>
  <si>
    <t xml:space="preserve">Gesamt (Zeitraum)</t>
  </si>
  <si>
    <t xml:space="preserve">Monatssumme USD</t>
  </si>
  <si>
    <t xml:space="preserve">Monatssumme EUR</t>
  </si>
  <si>
    <t xml:space="preserve">Marge &amp; Tragfähigkeit — CoS-F-002</t>
  </si>
  <si>
    <t xml:space="preserve">Kosten pro Angebot, Deckungsbeitrag bei 49€/29€, Break-even-Kundenzahl. Auftrag: docs/chief-of-staff-finance-todos.md, Ticket CoS-F-002 (zugewiesen Chief of Staff, 03.09.2026). Preise laut docs/preismodell.md (✅ entschieden 03.09.2026) — diese Auswertung prüft die Tragfähigkeit des entschiedenen Preises, sie ändert oder empfiehlt keinen Preis.</t>
  </si>
  <si>
    <t xml:space="preserve">1) Annahmen</t>
  </si>
  <si>
    <t xml:space="preserve">Bezeichnung</t>
  </si>
  <si>
    <t xml:space="preserve">Wert</t>
  </si>
  <si>
    <t xml:space="preserve">Einheit</t>
  </si>
  <si>
    <t xml:space="preserve">Quelle / Kommentar</t>
  </si>
  <si>
    <t xml:space="preserve">KI-Kosten je Angebot (konservativ)</t>
  </si>
  <si>
    <t xml:space="preserve">Cent</t>
  </si>
  <si>
    <t xml:space="preserve">Konservative Schätzung Head of Product Engineering, s. chief-of-staff-finance-todos.md 'Rohdaten für CoS-F-002': 2,5 Cent statt gemessener 2,2 Cent (Whisper $0,0060 + Chip-Vorschau $0,0002 + volle Extraktion $0,0172, je 1 Aufnahme + 1 Extraktion, USD-Basis). Aufnahmedauer wurde nie direkt gemessen (Bug, jetzt behoben) — 2,5 Cent nimmt 1,5 statt 1,0 Min. Aufnahmedauer an. Ausdrückliche Vorgabe Chief of Staff: konservativen Wert für CoS-F-002 und CoS-F-003 verwenden. Hinweis: die als Quelle genannte docs/ki-kosten-messung.md existiert nicht im Repo (dreimal referenziert, nirgends committed) — Zahlen hier aus der Koordinationsdatei selbst übernommen, dort wortgleich hinterlegt.</t>
  </si>
  <si>
    <t xml:space="preserve">USD/EUR-Kurs</t>
  </si>
  <si>
    <t xml:space="preserve">EUR je USD</t>
  </si>
  <si>
    <t xml:space="preserve">exchange-rates.org: Kurs 01.09.2026 = 0,8626, 02.09.2026 = 0,8631, YTD-Ø 2026 = 0,8603 — gerundete Annahme, editierbar.</t>
  </si>
  <si>
    <t xml:space="preserve">Stripe-Gebühr variabel (EU-Karten)</t>
  </si>
  <si>
    <t xml:space="preserve">% (Dezimal)</t>
  </si>
  <si>
    <t xml:space="preserve">kosten.org Stripe-Gebührenrechner: 1,5% + 0,25€ für europäische Karten (Abruf 03.09.2026). Erster Abruf von stripe.com/pricing zeigte einen US-Wert (2,9% + 30¢) — als für ein deutsches Geschäft nicht zutreffend verworfen, deutschsprachige Quelle stattdessen verwendet. Annahme, editierbar, mit echtem Stripe-Vertrag abzugleichen sobald Zahlungen live laufen.</t>
  </si>
  <si>
    <t xml:space="preserve">Stripe-Gebühr fix</t>
  </si>
  <si>
    <t xml:space="preserve">€</t>
  </si>
  <si>
    <t xml:space="preserve">Gleiche Quelle wie Zeile oben (kosten.org).</t>
  </si>
  <si>
    <t xml:space="preserve">Gründerpreis</t>
  </si>
  <si>
    <t xml:space="preserve">€/Monat</t>
  </si>
  <si>
    <t xml:space="preserve">docs/preismodell.md, ✅ entschieden 03.09.2026.</t>
  </si>
  <si>
    <t xml:space="preserve">Standardpreis</t>
  </si>
  <si>
    <t xml:space="preserve">Gründerpreis-Plätze</t>
  </si>
  <si>
    <t xml:space="preserve">Kunden</t>
  </si>
  <si>
    <t xml:space="preserve">docs/preismodell.md — dauerhaft für die ersten 25 zahlenden Betriebe, nicht befristet.</t>
  </si>
  <si>
    <t xml:space="preserve">Kleinunternehmergrenze Vorjahr</t>
  </si>
  <si>
    <t xml:space="preserve">€ netto</t>
  </si>
  <si>
    <t xml:space="preserve">§19 UStG — mehrfach webverifiziert 03.09.2026 (Taxfix, Tide, Finanzamt NRW u. a.), deckt sich mit der Angabe des Legal-Teams und mit docs/preismodell.md.</t>
  </si>
  <si>
    <t xml:space="preserve">Kleinunternehmergrenze lfd. Jahr</t>
  </si>
  <si>
    <t xml:space="preserve">Gleiche Quelle wie Zeile oben.</t>
  </si>
  <si>
    <t xml:space="preserve">2) Monatliche Fixkosten-Baseline</t>
  </si>
  <si>
    <t xml:space="preserve">Betrag</t>
  </si>
  <si>
    <t xml:space="preserve">Betrag EUR</t>
  </si>
  <si>
    <t xml:space="preserve">Anmerkung</t>
  </si>
  <si>
    <t xml:space="preserve">Flat seit Bereinigung der Extra-Projekte (CoS-P-008, 03.09.2026): 2 × 25$ Pro-Tier, 0% Nutzungs-Overage (DB 22MB/8GB, Storage 87MB/100GB). Letzter Einzelbeleg lag noch bei 53,83$ (August, vor der Bereinigung) — ab jetzt als flach angenommen, laut Platform-Team fix unabhängig von der Kundenzahl.</t>
  </si>
  <si>
    <t xml:space="preserve">Stabil seit 4 Belegen (Journal 2026-002/005/007/015), inkl. USt. Ein fixer Vercel-Seat-Kostenblock.</t>
  </si>
  <si>
    <t xml:space="preserve">Offen (Kostenübersicht-Blatt): wiederkehrend oder einmaliger Nachkauf? Hier vorsichtshalber als monatlich angenommen — Auswirkung s. Sensitivitätszeile unten.</t>
  </si>
  <si>
    <t xml:space="preserve">Von Sandy bestätigt: geschäftlich (chief-of-staff-finance-todos.md, Teil-Update 19.08.2026).</t>
  </si>
  <si>
    <t xml:space="preserve">Domain / IONOS (sofortangebot.app)</t>
  </si>
  <si>
    <t xml:space="preserve">2,50 €/Monat (IONOS Mail Basic 5, laufend) + 13,00 €/Jahr (Domain .app + Domain Guard) anteilig = 2,50 + 13/12 €/Monat.</t>
  </si>
  <si>
    <t xml:space="preserve">Resend / Sentry / GitHub (aktuell)</t>
  </si>
  <si>
    <t xml:space="preserve">Noch keine Kosten (kein Beleg / Free-Tier). Laut CoS-P-008: Resend Pro (20$/Monat) empfohlen ab ~200 Betrieben — dann hier nachtragen; bei den in dieser Analyse betrachteten Kundenzahlen (Break-even, s. u.) noch nicht relevant.</t>
  </si>
  <si>
    <t xml:space="preserve">Fixkosten gesamt (EUR/Monat)</t>
  </si>
  <si>
    <t xml:space="preserve">… davon ohne 'Anthropic — direkt' (falls einmalig statt wiederkehrend)</t>
  </si>
  <si>
    <t xml:space="preserve">Hinweis: OpenAI erscheint hier absichtlich NICHT als Fixkosten-Zeile — es wird stattdessen vollständig über 'KI-Kosten je Angebot' oben als variable Kosten erfasst, um keine Doppelzählung zu erzeugen. Matching/Plausibilitäts-Prüfung laufen lokal ohne KI-Aufruf (keine versteckten KI-Kostenblöcke, s. CoS-Rohdaten).</t>
  </si>
  <si>
    <t xml:space="preserve">3) Deckungsbeitrag je Kunde (nach KI-Kosten &amp; Stripe-Gebühr)</t>
  </si>
  <si>
    <t xml:space="preserve">Deckungsbeitrag = Preis − KI-Kosten (Angebote × Kosten/Angebot) − Stripe-Gebühr (Preis × variable Gebühr + fixe Gebühr je Zahlung).</t>
  </si>
  <si>
    <t xml:space="preserve">Angebote / Monat</t>
  </si>
  <si>
    <t xml:space="preserve">KI-Kosten gesamt</t>
  </si>
  <si>
    <t xml:space="preserve">Stripe-Gebühr @29€</t>
  </si>
  <si>
    <t xml:space="preserve">Deckungsbeitrag @29€</t>
  </si>
  <si>
    <t xml:space="preserve">Stripe-Gebühr @49€</t>
  </si>
  <si>
    <t xml:space="preserve">Deckungsbeitrag @49€</t>
  </si>
  <si>
    <t xml:space="preserve">Hinweis</t>
  </si>
  <si>
    <t xml:space="preserve">Leichtnutzer</t>
  </si>
  <si>
    <t xml:space="preserve">typischer Kunde — Basis für Break-even unten</t>
  </si>
  <si>
    <t xml:space="preserve">Vielnutzer (moderat)</t>
  </si>
  <si>
    <t xml:space="preserve">Vielnutzer-Fall (Ticket-Beispiel) — testet Tragfähigkeit von 'unbegrenzt Angebote'</t>
  </si>
  <si>
    <t xml:space="preserve">4) Break-even-Kundenzahl</t>
  </si>
  <si>
    <t xml:space="preserve">Basis: 'typischer Kunde' = 5 Angebote/Monat (Zeile oben). Ergänzend unten: Sensitivität für den Vielnutzer-Fall (40 Angebote/Monat) — testet, ob 'unbegrenzt Angebote' beim Standardpreis trägt.</t>
  </si>
  <si>
    <t xml:space="preserve">Deckungsbeitrag @29€ (typischer Kunde, 5 Angebote)</t>
  </si>
  <si>
    <t xml:space="preserve">Deckungsbeitrag @49€ (typischer Kunde, 5 Angebote)</t>
  </si>
  <si>
    <t xml:space="preserve">Deckungsbeitrag aus 25 Gründerpreis-Plätzen (voll ausgelastet)</t>
  </si>
  <si>
    <t xml:space="preserve">Reichen die 25 Gründerpreis-Plätze allein für die Fixkosten?</t>
  </si>
  <si>
    <t xml:space="preserve">Reines Minimum bei 29€ (unabhängig von der 25er-Grenze — theoretisch, s. Hinweis unten)</t>
  </si>
  <si>
    <t xml:space="preserve">Zusätzliche 49€-Kunden nötig, falls nicht (aufgerundet)</t>
  </si>
  <si>
    <t xml:space="preserve">Break-even: Kundenzahl unter tatsächlicher Preisstruktur (25 Gründerpreis + zusätzliche @49€)</t>
  </si>
  <si>
    <t xml:space="preserve">Einordnung: die reale Preisstruktur startet mit 25 fest reservierten Gründerpreis-Plätzen — deshalb ist 25 die praktisch garantierte Break-even-Zahl. Das 'reine Minimum' oben zeigt zusätzlich, wie wenige Kunden bei typischer Nutzung (5 Angebote/Monat, 29€) rein rechnerisch nötig wären, um die aktuelle Fixkosten-Baseline zu decken — nützlich, um die Größenordnung einzuschätzen, nicht als Ziel unterhalb der 25 Plätze gedacht.</t>
  </si>
  <si>
    <t xml:space="preserve">Sensitivität Vielnutzer-Fall (40 Angebote/Monat statt 5): so verändert sich der Deckungsbeitrag eines einzelnen Kunden — zeigt, ob 'unbegrenzt Angebote' beim Standardpreis trägt.</t>
  </si>
  <si>
    <t xml:space="preserve">Deckungsbeitrag @49€, Vielnutzer (40 Angebote/Monat)</t>
  </si>
  <si>
    <t xml:space="preserve">Deckungsbeitrag @29€, Vielnutzer (40 Angebote/Monat, Gründerpreis)</t>
  </si>
  <si>
    <t xml:space="preserve">Fazit: trägt 'unbegrenzt Angebote' auch für Vielnutzer?</t>
  </si>
  <si>
    <t xml:space="preserve">Scope-Hinweis: Diese Seite deckt Punkt 1–3 von CoS-F-002 ab (Kosten/Angebot, Deckungsbeitrag, Break-even). Punkt 4 (Kleinunternehmergrenze-Zeitpunkt) steht auf dem nächsten Blatt 'Kleinunternehmergrenze'. Der vollständige 24-Monats-Finanzplan (CoS-F-003) ist bewusst NICHT Teil dieser Datei — laut Chief-of-Staff-Vorgabe erst nach Abschluss von CoS-F-002.</t>
  </si>
  <si>
    <t xml:space="preserve">Kleinunternehmergrenze — CoS-F-002, Punkt 4</t>
  </si>
  <si>
    <t xml:space="preserve">Vereinfachtes 36-Monats-Wachstumsmodell ausschließlich zur Beantwortung der Frage: ab welchem Monat wird unter verschiedenen Wachstumsannahmen die Kleinunternehmergrenze (25.000€ Vorjahr / 100.000€ laufendes Jahr, §19 UStG) überschritten? Kein vollständiger Finanzplan — der 24-Monats-Finanzplan ist CoS-F-003 und bewusst separat. Preise, Gründerpreis-Plätze und die Kleinunternehmergrenzen-Werte sind Annahmezellen auf dem Blatt 'Marge &amp; Tragfähigkeit' und werden hier per Formel verlinkt (grün), nicht neu eingegeben.</t>
  </si>
  <si>
    <t xml:space="preserve">Wachstumsannahmen</t>
  </si>
  <si>
    <t xml:space="preserve">Szenario</t>
  </si>
  <si>
    <t xml:space="preserve">Neue Kunden / Monat</t>
  </si>
  <si>
    <t xml:space="preserve">Kommentar</t>
  </si>
  <si>
    <t xml:space="preserve">Vorsichtig</t>
  </si>
  <si>
    <t xml:space="preserve">Sehr langsames, organisches Wachstum ohne Marketing-Push.</t>
  </si>
  <si>
    <t xml:space="preserve">Realistisch</t>
  </si>
  <si>
    <t xml:space="preserve">Mittlere Annahme. Eigene Modellierungs-Bandbreite (Head of Finance), keine Prognose von Sandy/Chief of Staff — bitte bei Bedarf anpassen (gelbe Zelle).</t>
  </si>
  <si>
    <t xml:space="preserve">Optimistisch</t>
  </si>
  <si>
    <t xml:space="preserve">Schnelles Wachstum, z. B. durch aktive Vermarktung/Empfehlungen.</t>
  </si>
  <si>
    <t xml:space="preserve">Zur Einordnung: +3 Neukunden/Monat wurde testweise durchgerechnet, ergab aber selbst nach 12 Monaten erst rund 7.300€ Jahresumsatz (keine informative Schwellenüberschreitung im 36-Monats-Horizont) — die Bandbreite 2/4/8 wurde stattdessen gewählt, um den Übergang sichtbar zu machen.</t>
  </si>
  <si>
    <t xml:space="preserve">Ergebnis: erster Monat mit Überschreitung</t>
  </si>
  <si>
    <t xml:space="preserve">&gt; 25.000€ (Vorjahresgrenze) ab Monat</t>
  </si>
  <si>
    <t xml:space="preserve">&gt; 100.000€ (lfd. Jahr) ab Monat</t>
  </si>
  <si>
    <t xml:space="preserve">Methode: pro Szenario ein 36-Monats-Raster weiter unten. 'Kalenderjahr-Umsatz' beginnt bei Monat 1, 13 und 25 jeweils neu bei 0 (kalenderjahresgenau, nicht gleitend). Die Ergebnis-Zellen oben verwenden INDEX/MATCH auf die Raster (kein OFFSET, keine Array-Funktionen); wird die Grenze innerhalb von 36 Monaten nicht erreicht, steht dort '&gt; 36 Monate (nicht erreicht)'.</t>
  </si>
  <si>
    <t xml:space="preserve">Szenario: Vorsichtig (2 Neukunden/Monat)</t>
  </si>
  <si>
    <t xml:space="preserve">Monat</t>
  </si>
  <si>
    <t xml:space="preserve">Neue Kunden</t>
  </si>
  <si>
    <t xml:space="preserve">Kumulierte Kunden</t>
  </si>
  <si>
    <t xml:space="preserve">Kunden @29€</t>
  </si>
  <si>
    <t xml:space="preserve">Kunden @49€</t>
  </si>
  <si>
    <t xml:space="preserve">Umsatz Monat (€)</t>
  </si>
  <si>
    <t xml:space="preserve">Kalenderjahr-Umsatz (€, kumuliert)</t>
  </si>
  <si>
    <t xml:space="preserve">&gt; 25.000€ (Vorjahr)?</t>
  </si>
  <si>
    <t xml:space="preserve">&gt; 100.000€ (lfd. Jahr)?</t>
  </si>
  <si>
    <t xml:space="preserve">Szenario: Realistisch (4 Neukunden/Monat)</t>
  </si>
  <si>
    <t xml:space="preserve">Szenario: Optimistisch (8 Neukunden/Monat)</t>
  </si>
  <si>
    <t xml:space="preserve">Scope-Hinweis: Dieses Blatt beantwortet nur den Zeitpunkt der Grenzüberschreitung (CoS-F-002, Punkt 4). Es ersetzt nicht den vollständigen Finanzplan mit Vorfinanzierungsbedarf und Umsatzschwelle für den Ausstieg aus der Anstellung — das ist CoS-F-003 und wird dort, nach Abschluss dieses Tickets, im Detail modelliert.</t>
  </si>
  <si>
    <t xml:space="preserve">Legende &amp; Anleitung — Kostenübersicht Sofortangebot</t>
  </si>
  <si>
    <t xml:space="preserve">Warum diese Struktur (für Sandy, in einfach)</t>
  </si>
  <si>
    <t xml:space="preserve">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</si>
  <si>
    <t xml:space="preserve">Farben</t>
  </si>
  <si>
    <t xml:space="preserve">Blaue Schrift = Wert direkt aus einem Beleg übernommen.</t>
  </si>
  <si>
    <t xml:space="preserve">Grüne Schrift = Formel/Verweis auf ein anderes Feld oder Blatt.</t>
  </si>
  <si>
    <t xml:space="preserve">Orange Füllung = Betrag/Angabe liegt vor, aber es gibt eine Auffälligkeit, die Sandy klären muss.</t>
  </si>
  <si>
    <t xml:space="preserve">Gelbe Füllung = noch offen / noch kein Wert eingetragen (z. B. EUR-Umrechnung, fehlender Monat).</t>
  </si>
  <si>
    <t xml:space="preserve">Graue Füllung = Dienst bekannt, aber noch gar kein Beleg gefunden.</t>
  </si>
  <si>
    <t xml:space="preserve">Blätter in dieser Datei</t>
  </si>
  <si>
    <t xml:space="preserve">1) Kostenübersicht — ein Dienst pro Zeile: aktuellster Betrag, Rhythmus, USt-Behandlung, Status.</t>
  </si>
  <si>
    <t xml:space="preserve">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</si>
  <si>
    <t xml:space="preserve">3) Monatsverlauf — zieht die Beträge per Formel automatisch aus dem Rechnungsjournal (nach Monat, Dienst, Währung). Aktualisiert sich von selbst, sobald neue Journal-Zeilen dazukommen.</t>
  </si>
  <si>
    <t xml:space="preserve">4) Marge &amp; Tragfähigkeit — neu seit 03.09.2026 (CoS-F-002): Kosten pro Angebot (KI + Stripe), monatliche Fixkosten-Baseline, Deckungsbeitrag je Kunde bei 49€/29€ und Break-even-Kundenzahl.</t>
  </si>
  <si>
    <t xml:space="preserve">5) Kleinunternehmergrenze — neu seit 03.09.2026 (CoS-F-002, Punkt 4): vereinfachtes 36-Monats-Wachstumsmodell (3 Szenarien), zeigt ab welchem Monat die 25.000€-/100.000€-Grenze voraussichtlich überschritten wird.</t>
  </si>
  <si>
    <t xml:space="preserve">6) Diese Seite.</t>
  </si>
  <si>
    <t xml:space="preserve">CoS-F-002 — Marge &amp; Tragfähigkeit (03.09.2026)</t>
  </si>
  <si>
    <t xml:space="preserve">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</si>
  <si>
    <t xml:space="preserve">Stand zur Gewerbeanmeldung / USt-Status (von Sandy bestätigt, 2026-08-19)</t>
  </si>
  <si>
    <t xml:space="preserve">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Eine Detailfrage bleibt offen, die ich bewusst nicht selbst beantworte: Wie sind die Reverse-Charge-Rechnungen (Supabase) für eine Kleinunternehmerin zu behandeln — meines Wissens kann die USt-Pflicht auf im Ausland eingekaufte Leistungen (§13b UStG) auch für Kleinunternehmer bestehen bleiben, während der Vorsteuerabzug bei den anderen Diensten (Vercel, OpenAI, Anthropic, Apple) i. d. R. entfällt, weil keine Regelbesteuerung vorliegt — das ist aber keine verbindliche Auskunft von mir. Bitte mit dem Steuerberater klären, sobald einer feststeht — bis dahin im Journal bewusst vorläufig dokumentiert.</t>
  </si>
  <si>
    <t xml:space="preserve">Auffälligkeiten aus den bisherigen 17 Belegen (Stand 2026-09-02) — bitte von Sandy klären</t>
  </si>
  <si>
    <t xml:space="preserve">•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</si>
  <si>
    <t xml:space="preserve">• Zwei offenbar getrennte Claude-Positionen: direkte Anthropic-Rechnung (Geschäftsadresse) UND Claude-Pro-Abo über Apple/iTunes (22 €/Monat, andere Adresse, PayPal). Geschäftlich oder privat?</t>
  </si>
  <si>
    <t xml:space="preserve">• Claude-Pro-Apple-Abo: Belege für Juni und Juli fehlen weiterhin (nur Mai und August vorhanden) — bitte in der Apple-Kaufhistorie nachsehen und ergänzen, damit der Monatsverlauf vollständig ist.</t>
  </si>
  <si>
    <t xml:space="preserve">• Zwei unterschiedliche Adressen für Sandra Holm (Wielandstraße 11 vs. Krampasplatz 4b) — vermutlich alt/neu, bitte kurz bestätigen.</t>
  </si>
  <si>
    <t xml:space="preserve">•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</si>
  <si>
    <t xml:space="preserve">• Wie sind die Supabase-Reverse-Charge-Rechnungen für eine Kleinunternehmerin (§19 UStG) zu behandeln (siehe Absatz oben)? — mit Steuerberater klären, sobald einer feststeht.</t>
  </si>
  <si>
    <t xml:space="preserve">•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</si>
  <si>
    <t xml:space="preserve">• Noch keine Belege gefunden für: Resend, Sentry, GitHub-Plan.</t>
  </si>
  <si>
    <t xml:space="preserve">• Anthropic-Direktrechnung: einmaliger Nachkauf oder wiederkehrender Posten?</t>
  </si>
  <si>
    <t xml:space="preserve">• EUR-Umrechnung der USD-Rechnungen (Spalte 'Betrag EUR' im Journal) ist bewusst noch offen — welchen Umrechnungskurs soll ich verwenden, sobald ein Steuerberater feststeht?</t>
  </si>
  <si>
    <t xml:space="preserve">Hinweis: Diese Datei liegt unter docs/kostenuebersicht-finance.xlsx im Repo und wird von Head of Finance gepflegt. Fortschritt/Rückfragen laufen über docs/chief-of-staff-finance-todos.md (CoS-F-001). Original-Belege liegen unverändert im Ordner 'Rechnungen' auf Sandys Rechner.</t>
  </si>
</sst>
</file>

<file path=xl/styles.xml><?xml version="1.0" encoding="utf-8"?>
<styleSheet xmlns="http://schemas.openxmlformats.org/spreadsheetml/2006/main">
  <numFmts count="8">
    <numFmt numFmtId="164" formatCode="General"/>
    <numFmt numFmtId="165" formatCode="#,##0.00&quot; $&quot;;\(#,##0.00&quot; $)&quot;"/>
    <numFmt numFmtId="166" formatCode="#,##0.00&quot; €&quot;;\(#,##0.00&quot; €)&quot;"/>
    <numFmt numFmtId="167" formatCode="#,##0.00"/>
    <numFmt numFmtId="168" formatCode="dd\.mm\.yyyy"/>
    <numFmt numFmtId="169" formatCode="0%"/>
    <numFmt numFmtId="170" formatCode="General"/>
    <numFmt numFmtId="171" formatCode="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CC0000"/>
      <name val="Arial"/>
      <family val="0"/>
      <charset val="1"/>
    </font>
    <font>
      <b val="true"/>
      <sz val="11"/>
      <name val="Arial"/>
      <family val="0"/>
      <charset val="1"/>
    </font>
    <font>
      <sz val="10"/>
      <name val="Arial"/>
      <family val="2"/>
    </font>
    <font>
      <sz val="11"/>
      <color rgb="FF008000"/>
      <name val="Arial"/>
      <family val="0"/>
      <charset val="1"/>
    </font>
    <font>
      <b val="true"/>
      <sz val="14"/>
      <color rgb="FF000000"/>
      <name val="Arial"/>
      <family val="0"/>
      <charset val="1"/>
    </font>
    <font>
      <b val="true"/>
      <sz val="11"/>
      <color rgb="FF000000"/>
      <name val="Arial"/>
      <family val="0"/>
      <charset val="1"/>
    </font>
    <font>
      <i val="true"/>
      <sz val="11"/>
      <color rgb="FF000000"/>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7"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71" fontId="8" fillId="6"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6" fontId="12"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6" fontId="12"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0"/>
    <col collapsed="false" customWidth="true" hidden="false" outlineLevel="0" max="4" min="4" style="0" width="18"/>
    <col collapsed="false" customWidth="true" hidden="false" outlineLevel="0" max="5" min="5" style="0" width="30"/>
    <col collapsed="false" customWidth="true" hidden="false" outlineLevel="0" max="6" min="6" style="0" width="28"/>
    <col collapsed="false" customWidth="true" hidden="false" outlineLevel="0" max="7" min="7" style="0" width="32"/>
    <col collapsed="false" customWidth="true" hidden="false" outlineLevel="0" max="8" min="8" style="0" width="24"/>
    <col collapsed="false" customWidth="true" hidden="false" outlineLevel="0" max="9" min="9" style="0" width="55"/>
  </cols>
  <sheetData>
    <row r="1" customFormat="false" ht="17.35"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39.55" hidden="false" customHeight="false" outlineLevel="0" collapsed="false">
      <c r="A4" s="3" t="s">
        <v>2</v>
      </c>
      <c r="B4" s="3" t="s">
        <v>3</v>
      </c>
      <c r="C4" s="3" t="s">
        <v>4</v>
      </c>
      <c r="D4" s="3" t="s">
        <v>5</v>
      </c>
      <c r="E4" s="3" t="s">
        <v>6</v>
      </c>
      <c r="F4" s="3" t="s">
        <v>7</v>
      </c>
      <c r="G4" s="3" t="s">
        <v>8</v>
      </c>
      <c r="H4" s="3" t="s">
        <v>9</v>
      </c>
      <c r="I4" s="3" t="s">
        <v>10</v>
      </c>
    </row>
    <row r="5" customFormat="false" ht="90.25" hidden="false" customHeight="false" outlineLevel="0" collapsed="false">
      <c r="A5" s="4" t="s">
        <v>11</v>
      </c>
      <c r="B5" s="4" t="s">
        <v>12</v>
      </c>
      <c r="C5" s="4" t="s">
        <v>13</v>
      </c>
      <c r="D5" s="5" t="n">
        <v>53.83</v>
      </c>
      <c r="E5" s="4" t="s">
        <v>14</v>
      </c>
      <c r="F5" s="4" t="s">
        <v>15</v>
      </c>
      <c r="G5" s="4" t="s">
        <v>16</v>
      </c>
      <c r="H5" s="6" t="s">
        <v>17</v>
      </c>
      <c r="I5" s="4" t="s">
        <v>18</v>
      </c>
    </row>
    <row r="6" customFormat="false" ht="52.2" hidden="false" customHeight="false" outlineLevel="0" collapsed="false">
      <c r="A6" s="4" t="s">
        <v>19</v>
      </c>
      <c r="B6" s="4" t="s">
        <v>20</v>
      </c>
      <c r="C6" s="4" t="s">
        <v>13</v>
      </c>
      <c r="D6" s="7" t="n">
        <v>23.8</v>
      </c>
      <c r="E6" s="4" t="s">
        <v>21</v>
      </c>
      <c r="F6" s="4" t="s">
        <v>22</v>
      </c>
      <c r="G6" s="4" t="s">
        <v>23</v>
      </c>
      <c r="H6" s="4" t="s">
        <v>24</v>
      </c>
      <c r="I6" s="4" t="s">
        <v>25</v>
      </c>
    </row>
    <row r="7" customFormat="false" ht="52.2" hidden="false" customHeight="false" outlineLevel="0" collapsed="false">
      <c r="A7" s="4" t="s">
        <v>26</v>
      </c>
      <c r="B7" s="4" t="s">
        <v>27</v>
      </c>
      <c r="C7" s="4" t="s">
        <v>13</v>
      </c>
      <c r="D7" s="5" t="n">
        <v>53.55</v>
      </c>
      <c r="E7" s="4" t="s">
        <v>28</v>
      </c>
      <c r="F7" s="4" t="s">
        <v>29</v>
      </c>
      <c r="G7" s="4" t="s">
        <v>30</v>
      </c>
      <c r="H7" s="6" t="s">
        <v>31</v>
      </c>
      <c r="I7" s="4" t="s">
        <v>32</v>
      </c>
    </row>
    <row r="8" customFormat="false" ht="64.9" hidden="false" customHeight="false" outlineLevel="0" collapsed="false">
      <c r="A8" s="4" t="s">
        <v>33</v>
      </c>
      <c r="B8" s="4" t="s">
        <v>34</v>
      </c>
      <c r="C8" s="4" t="s">
        <v>35</v>
      </c>
      <c r="D8" s="8" t="n">
        <v>22</v>
      </c>
      <c r="E8" s="4" t="s">
        <v>36</v>
      </c>
      <c r="F8" s="4" t="s">
        <v>37</v>
      </c>
      <c r="G8" s="4" t="s">
        <v>38</v>
      </c>
      <c r="H8" s="6" t="s">
        <v>39</v>
      </c>
      <c r="I8" s="4" t="s">
        <v>40</v>
      </c>
    </row>
    <row r="9" customFormat="false" ht="64.9" hidden="false" customHeight="false" outlineLevel="0" collapsed="false">
      <c r="A9" s="4" t="s">
        <v>41</v>
      </c>
      <c r="B9" s="4" t="s">
        <v>27</v>
      </c>
      <c r="C9" s="4" t="s">
        <v>13</v>
      </c>
      <c r="D9" s="7" t="n">
        <v>17.85</v>
      </c>
      <c r="E9" s="4" t="s">
        <v>42</v>
      </c>
      <c r="F9" s="4" t="s">
        <v>29</v>
      </c>
      <c r="G9" s="4" t="s">
        <v>43</v>
      </c>
      <c r="H9" s="4" t="s">
        <v>24</v>
      </c>
      <c r="I9" s="4" t="s">
        <v>44</v>
      </c>
    </row>
    <row r="10" customFormat="false" ht="26.85" hidden="false" customHeight="false" outlineLevel="0" collapsed="false">
      <c r="A10" s="4" t="s">
        <v>45</v>
      </c>
      <c r="B10" s="4" t="s">
        <v>46</v>
      </c>
      <c r="C10" s="4" t="s">
        <v>47</v>
      </c>
      <c r="D10" s="9"/>
      <c r="E10" s="4" t="s">
        <v>29</v>
      </c>
      <c r="F10" s="4" t="s">
        <v>29</v>
      </c>
      <c r="G10" s="4" t="s">
        <v>29</v>
      </c>
      <c r="H10" s="10" t="s">
        <v>48</v>
      </c>
      <c r="I10" s="4" t="s">
        <v>49</v>
      </c>
    </row>
    <row r="11" customFormat="false" ht="115.65" hidden="false" customHeight="false" outlineLevel="0" collapsed="false">
      <c r="A11" s="4" t="s">
        <v>50</v>
      </c>
      <c r="B11" s="4" t="s">
        <v>51</v>
      </c>
      <c r="C11" s="4" t="s">
        <v>35</v>
      </c>
      <c r="D11" s="11" t="n">
        <v>2.5</v>
      </c>
      <c r="E11" s="4" t="s">
        <v>52</v>
      </c>
      <c r="F11" s="4" t="s">
        <v>53</v>
      </c>
      <c r="G11" s="4" t="s">
        <v>54</v>
      </c>
      <c r="H11" s="4" t="s">
        <v>24</v>
      </c>
      <c r="I11" s="4" t="s">
        <v>55</v>
      </c>
    </row>
    <row r="12" customFormat="false" ht="26.85" hidden="false" customHeight="false" outlineLevel="0" collapsed="false">
      <c r="A12" s="4" t="s">
        <v>56</v>
      </c>
      <c r="B12" s="4" t="s">
        <v>57</v>
      </c>
      <c r="C12" s="4" t="s">
        <v>47</v>
      </c>
      <c r="D12" s="9"/>
      <c r="E12" s="4" t="s">
        <v>29</v>
      </c>
      <c r="F12" s="4" t="s">
        <v>29</v>
      </c>
      <c r="G12" s="4" t="s">
        <v>29</v>
      </c>
      <c r="H12" s="10" t="s">
        <v>48</v>
      </c>
      <c r="I12" s="4" t="s">
        <v>58</v>
      </c>
    </row>
    <row r="13" customFormat="false" ht="39.55" hidden="false" customHeight="false" outlineLevel="0" collapsed="false">
      <c r="A13" s="4" t="s">
        <v>59</v>
      </c>
      <c r="B13" s="4" t="s">
        <v>60</v>
      </c>
      <c r="C13" s="4" t="s">
        <v>47</v>
      </c>
      <c r="D13" s="9"/>
      <c r="E13" s="4" t="s">
        <v>61</v>
      </c>
      <c r="F13" s="4" t="s">
        <v>29</v>
      </c>
      <c r="G13" s="4" t="s">
        <v>29</v>
      </c>
      <c r="H13" s="10" t="s">
        <v>62</v>
      </c>
      <c r="I13" s="4" t="s">
        <v>63</v>
      </c>
    </row>
    <row r="14" customFormat="false" ht="39.55" hidden="false" customHeight="false" outlineLevel="0" collapsed="false">
      <c r="A14" s="4" t="s">
        <v>64</v>
      </c>
      <c r="B14" s="4" t="s">
        <v>65</v>
      </c>
      <c r="C14" s="4" t="s">
        <v>47</v>
      </c>
      <c r="D14" s="9"/>
      <c r="E14" s="4" t="s">
        <v>66</v>
      </c>
      <c r="F14" s="4" t="s">
        <v>67</v>
      </c>
      <c r="G14" s="4" t="s">
        <v>29</v>
      </c>
      <c r="H14" s="10" t="s">
        <v>68</v>
      </c>
      <c r="I14" s="4" t="s">
        <v>69</v>
      </c>
    </row>
    <row r="15" customFormat="false" ht="15" hidden="false" customHeight="false" outlineLevel="0" collapsed="false">
      <c r="A15" s="10"/>
      <c r="B15" s="4"/>
      <c r="C15" s="4"/>
      <c r="D15" s="12"/>
      <c r="E15" s="4"/>
      <c r="F15" s="4"/>
      <c r="G15" s="4"/>
      <c r="H15" s="4"/>
      <c r="I15" s="4"/>
    </row>
    <row r="16" customFormat="false" ht="15" hidden="false" customHeight="false" outlineLevel="0" collapsed="false">
      <c r="A16" s="10"/>
      <c r="B16" s="4"/>
      <c r="C16" s="4"/>
      <c r="D16" s="12"/>
      <c r="E16" s="4"/>
      <c r="F16" s="4"/>
      <c r="G16" s="4"/>
      <c r="H16" s="4"/>
      <c r="I16" s="4"/>
    </row>
    <row r="18" customFormat="false" ht="15" hidden="false" customHeight="false" outlineLevel="0" collapsed="false">
      <c r="A18" s="13" t="s">
        <v>70</v>
      </c>
      <c r="B18" s="14"/>
      <c r="C18" s="14"/>
      <c r="D18" s="15" t="n">
        <f aca="false">SUMIF(C5:C16,"USD",D5:D16)</f>
        <v>149.03</v>
      </c>
      <c r="E18" s="14"/>
      <c r="F18" s="14"/>
      <c r="G18" s="14"/>
      <c r="H18" s="14"/>
      <c r="I18" s="14"/>
    </row>
    <row r="19" customFormat="false" ht="15" hidden="false" customHeight="false" outlineLevel="0" collapsed="false">
      <c r="A19" s="13" t="s">
        <v>71</v>
      </c>
      <c r="B19" s="14"/>
      <c r="C19" s="14"/>
      <c r="D19" s="16" t="n">
        <f aca="false">SUMIF(C5:C16,"EUR",D5:D16)</f>
        <v>24.5</v>
      </c>
      <c r="E19" s="14"/>
      <c r="F19" s="14"/>
      <c r="G19" s="14"/>
      <c r="H19" s="14"/>
      <c r="I19" s="14"/>
    </row>
    <row r="21" customFormat="false" ht="15" hidden="false" customHeight="false" outlineLevel="0" collapsed="false">
      <c r="A21" s="2" t="s">
        <v>72</v>
      </c>
      <c r="B21" s="2"/>
      <c r="C21" s="2"/>
      <c r="D21" s="2"/>
      <c r="E21" s="2"/>
      <c r="F21" s="2"/>
      <c r="G21" s="2"/>
      <c r="H21" s="2"/>
      <c r="I21" s="2"/>
    </row>
  </sheetData>
  <mergeCells count="3">
    <mergeCell ref="A1:I1"/>
    <mergeCell ref="A2:I2"/>
    <mergeCell ref="A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0"/>
    <col collapsed="false" customWidth="true" hidden="false" outlineLevel="0" max="5" min="4" style="0" width="26"/>
    <col collapsed="false" customWidth="true" hidden="false" outlineLevel="0" max="6" min="6" style="0" width="12"/>
    <col collapsed="false" customWidth="true" hidden="false" outlineLevel="0" max="7" min="7" style="0" width="22"/>
    <col collapsed="false" customWidth="true" hidden="false" outlineLevel="0" max="8" min="8" style="0" width="34"/>
    <col collapsed="false" customWidth="true" hidden="false" outlineLevel="0" max="9" min="9" style="0" width="10"/>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16"/>
    <col collapsed="false" customWidth="true" hidden="false" outlineLevel="0" max="15" min="15" style="0" width="34"/>
    <col collapsed="false" customWidth="true" hidden="false" outlineLevel="0" max="17" min="16" style="0" width="16"/>
    <col collapsed="false" customWidth="true" hidden="false" outlineLevel="0" max="18" min="18" style="0" width="30"/>
    <col collapsed="false" customWidth="true" hidden="false" outlineLevel="0" max="19" min="19" style="0" width="42"/>
  </cols>
  <sheetData>
    <row r="1" customFormat="false" ht="17.35" hidden="false" customHeight="false" outlineLevel="0" collapsed="false">
      <c r="A1" s="1" t="s">
        <v>73</v>
      </c>
      <c r="B1" s="1"/>
      <c r="C1" s="1"/>
      <c r="D1" s="1"/>
      <c r="E1" s="1"/>
      <c r="F1" s="1"/>
      <c r="G1" s="1"/>
      <c r="H1" s="1"/>
      <c r="I1" s="1"/>
      <c r="J1" s="1"/>
      <c r="K1" s="1"/>
      <c r="L1" s="1"/>
      <c r="M1" s="1"/>
      <c r="N1" s="1"/>
      <c r="O1" s="1"/>
      <c r="P1" s="1"/>
      <c r="Q1" s="1"/>
      <c r="R1" s="1"/>
      <c r="S1" s="1"/>
    </row>
    <row r="2" customFormat="false" ht="15" hidden="false" customHeight="false" outlineLevel="0" collapsed="false">
      <c r="A2" s="2" t="s">
        <v>74</v>
      </c>
      <c r="B2" s="2"/>
      <c r="C2" s="2"/>
      <c r="D2" s="2"/>
      <c r="E2" s="2"/>
      <c r="F2" s="2"/>
      <c r="G2" s="2"/>
      <c r="H2" s="2"/>
      <c r="I2" s="2"/>
      <c r="J2" s="2"/>
      <c r="K2" s="2"/>
      <c r="L2" s="2"/>
      <c r="M2" s="2"/>
      <c r="N2" s="2"/>
      <c r="O2" s="2"/>
      <c r="P2" s="2"/>
      <c r="Q2" s="2"/>
      <c r="R2" s="2"/>
      <c r="S2" s="2"/>
    </row>
    <row r="4" customFormat="false" ht="26.85" hidden="false" customHeight="false" outlineLevel="0" collapsed="false">
      <c r="A4" s="3" t="s">
        <v>75</v>
      </c>
      <c r="B4" s="3" t="s">
        <v>76</v>
      </c>
      <c r="C4" s="3" t="s">
        <v>77</v>
      </c>
      <c r="D4" s="3" t="s">
        <v>78</v>
      </c>
      <c r="E4" s="3" t="s">
        <v>79</v>
      </c>
      <c r="F4" s="3" t="s">
        <v>80</v>
      </c>
      <c r="G4" s="3" t="s">
        <v>2</v>
      </c>
      <c r="H4" s="3" t="s">
        <v>81</v>
      </c>
      <c r="I4" s="3" t="s">
        <v>4</v>
      </c>
      <c r="J4" s="3" t="s">
        <v>82</v>
      </c>
      <c r="K4" s="3" t="s">
        <v>83</v>
      </c>
      <c r="L4" s="3" t="s">
        <v>84</v>
      </c>
      <c r="M4" s="3" t="s">
        <v>85</v>
      </c>
      <c r="N4" s="3" t="s">
        <v>86</v>
      </c>
      <c r="O4" s="3" t="s">
        <v>87</v>
      </c>
      <c r="P4" s="3" t="s">
        <v>88</v>
      </c>
      <c r="Q4" s="3" t="s">
        <v>89</v>
      </c>
      <c r="R4" s="3" t="s">
        <v>90</v>
      </c>
      <c r="S4" s="3" t="s">
        <v>91</v>
      </c>
    </row>
    <row r="5" customFormat="false" ht="64.9" hidden="false" customHeight="false" outlineLevel="0" collapsed="false">
      <c r="A5" s="4" t="s">
        <v>92</v>
      </c>
      <c r="B5" s="17" t="n">
        <v>46146</v>
      </c>
      <c r="C5" s="4" t="s">
        <v>93</v>
      </c>
      <c r="D5" s="4" t="s">
        <v>94</v>
      </c>
      <c r="E5" s="4" t="s">
        <v>95</v>
      </c>
      <c r="F5" s="4" t="s">
        <v>96</v>
      </c>
      <c r="G5" s="4" t="s">
        <v>33</v>
      </c>
      <c r="H5" s="4" t="s">
        <v>97</v>
      </c>
      <c r="I5" s="4" t="s">
        <v>35</v>
      </c>
      <c r="J5" s="11" t="n">
        <v>18.49</v>
      </c>
      <c r="K5" s="18" t="n">
        <v>0.19</v>
      </c>
      <c r="L5" s="11" t="n">
        <v>3.51</v>
      </c>
      <c r="M5" s="11" t="n">
        <v>22</v>
      </c>
      <c r="N5" s="11" t="n">
        <v>22</v>
      </c>
      <c r="O5" s="4" t="s">
        <v>98</v>
      </c>
      <c r="P5" s="19" t="n">
        <f aca="false">M5</f>
        <v>22</v>
      </c>
      <c r="Q5" s="4" t="s">
        <v>99</v>
      </c>
      <c r="R5" s="4" t="s">
        <v>100</v>
      </c>
      <c r="S5" s="20" t="s">
        <v>101</v>
      </c>
    </row>
    <row r="6" customFormat="false" ht="52.2" hidden="false" customHeight="false" outlineLevel="0" collapsed="false">
      <c r="A6" s="4" t="s">
        <v>102</v>
      </c>
      <c r="B6" s="17" t="n">
        <v>46164</v>
      </c>
      <c r="C6" s="4" t="s">
        <v>103</v>
      </c>
      <c r="D6" s="4" t="s">
        <v>104</v>
      </c>
      <c r="E6" s="4" t="s">
        <v>105</v>
      </c>
      <c r="F6" s="4" t="s">
        <v>106</v>
      </c>
      <c r="G6" s="4" t="s">
        <v>19</v>
      </c>
      <c r="H6" s="4" t="s">
        <v>107</v>
      </c>
      <c r="I6" s="4" t="s">
        <v>13</v>
      </c>
      <c r="J6" s="7" t="n">
        <v>20</v>
      </c>
      <c r="K6" s="18" t="n">
        <v>0.19</v>
      </c>
      <c r="L6" s="7" t="n">
        <v>3.8</v>
      </c>
      <c r="M6" s="7" t="n">
        <v>23.8</v>
      </c>
      <c r="N6" s="7" t="n">
        <v>23.8</v>
      </c>
      <c r="O6" s="4" t="s">
        <v>108</v>
      </c>
      <c r="P6" s="21"/>
      <c r="Q6" s="4" t="s">
        <v>109</v>
      </c>
      <c r="R6" s="4" t="s">
        <v>110</v>
      </c>
      <c r="S6" s="20" t="s">
        <v>111</v>
      </c>
    </row>
    <row r="7" customFormat="false" ht="179.1" hidden="false" customHeight="false" outlineLevel="0" collapsed="false">
      <c r="A7" s="4" t="s">
        <v>112</v>
      </c>
      <c r="B7" s="17" t="n">
        <v>46165</v>
      </c>
      <c r="C7" s="4" t="s">
        <v>113</v>
      </c>
      <c r="D7" s="4" t="s">
        <v>114</v>
      </c>
      <c r="E7" s="4" t="s">
        <v>115</v>
      </c>
      <c r="F7" s="4" t="s">
        <v>116</v>
      </c>
      <c r="G7" s="4" t="s">
        <v>11</v>
      </c>
      <c r="H7" s="4" t="s">
        <v>117</v>
      </c>
      <c r="I7" s="4" t="s">
        <v>13</v>
      </c>
      <c r="J7" s="7" t="n">
        <v>25</v>
      </c>
      <c r="K7" s="4" t="s">
        <v>118</v>
      </c>
      <c r="L7" s="7" t="n">
        <v>0</v>
      </c>
      <c r="M7" s="7" t="n">
        <v>25</v>
      </c>
      <c r="N7" s="7" t="n">
        <v>25</v>
      </c>
      <c r="O7" s="4" t="s">
        <v>119</v>
      </c>
      <c r="P7" s="21"/>
      <c r="Q7" s="4" t="s">
        <v>29</v>
      </c>
      <c r="R7" s="4" t="s">
        <v>120</v>
      </c>
      <c r="S7" s="20" t="s">
        <v>121</v>
      </c>
    </row>
    <row r="8" customFormat="false" ht="90.25" hidden="false" customHeight="false" outlineLevel="0" collapsed="false">
      <c r="A8" s="4" t="s">
        <v>122</v>
      </c>
      <c r="B8" s="17" t="n">
        <v>46187</v>
      </c>
      <c r="C8" s="4" t="s">
        <v>123</v>
      </c>
      <c r="D8" s="4" t="s">
        <v>124</v>
      </c>
      <c r="E8" s="4" t="s">
        <v>125</v>
      </c>
      <c r="F8" s="4" t="s">
        <v>106</v>
      </c>
      <c r="G8" s="4" t="s">
        <v>41</v>
      </c>
      <c r="H8" s="4" t="s">
        <v>126</v>
      </c>
      <c r="I8" s="4" t="s">
        <v>13</v>
      </c>
      <c r="J8" s="7" t="n">
        <v>15</v>
      </c>
      <c r="K8" s="18" t="n">
        <v>0.19</v>
      </c>
      <c r="L8" s="7" t="n">
        <v>2.85</v>
      </c>
      <c r="M8" s="7" t="n">
        <v>17.85</v>
      </c>
      <c r="N8" s="7" t="n">
        <v>17.85</v>
      </c>
      <c r="O8" s="4" t="s">
        <v>127</v>
      </c>
      <c r="P8" s="21"/>
      <c r="Q8" s="4" t="s">
        <v>29</v>
      </c>
      <c r="R8" s="4" t="s">
        <v>128</v>
      </c>
      <c r="S8" s="20" t="s">
        <v>129</v>
      </c>
    </row>
    <row r="9" customFormat="false" ht="64.9" hidden="false" customHeight="false" outlineLevel="0" collapsed="false">
      <c r="A9" s="4" t="s">
        <v>130</v>
      </c>
      <c r="B9" s="17" t="n">
        <v>46195</v>
      </c>
      <c r="C9" s="4" t="s">
        <v>131</v>
      </c>
      <c r="D9" s="4" t="s">
        <v>132</v>
      </c>
      <c r="E9" s="4" t="s">
        <v>105</v>
      </c>
      <c r="F9" s="4" t="s">
        <v>106</v>
      </c>
      <c r="G9" s="4" t="s">
        <v>19</v>
      </c>
      <c r="H9" s="4" t="s">
        <v>107</v>
      </c>
      <c r="I9" s="4" t="s">
        <v>13</v>
      </c>
      <c r="J9" s="7" t="n">
        <v>20</v>
      </c>
      <c r="K9" s="18" t="n">
        <v>0.19</v>
      </c>
      <c r="L9" s="7" t="n">
        <v>3.8</v>
      </c>
      <c r="M9" s="7" t="n">
        <v>23.8</v>
      </c>
      <c r="N9" s="7" t="n">
        <v>23.8</v>
      </c>
      <c r="O9" s="4" t="s">
        <v>108</v>
      </c>
      <c r="P9" s="21"/>
      <c r="Q9" s="4" t="s">
        <v>109</v>
      </c>
      <c r="R9" s="4" t="s">
        <v>133</v>
      </c>
      <c r="S9" s="20" t="s">
        <v>134</v>
      </c>
    </row>
    <row r="10" customFormat="false" ht="179.1" hidden="false" customHeight="false" outlineLevel="0" collapsed="false">
      <c r="A10" s="4" t="s">
        <v>135</v>
      </c>
      <c r="B10" s="17" t="n">
        <v>46196</v>
      </c>
      <c r="C10" s="4" t="s">
        <v>136</v>
      </c>
      <c r="D10" s="4" t="s">
        <v>137</v>
      </c>
      <c r="E10" s="4" t="s">
        <v>115</v>
      </c>
      <c r="F10" s="4" t="s">
        <v>116</v>
      </c>
      <c r="G10" s="4" t="s">
        <v>11</v>
      </c>
      <c r="H10" s="4" t="s">
        <v>117</v>
      </c>
      <c r="I10" s="4" t="s">
        <v>13</v>
      </c>
      <c r="J10" s="7" t="n">
        <v>49.97</v>
      </c>
      <c r="K10" s="4" t="s">
        <v>118</v>
      </c>
      <c r="L10" s="7" t="n">
        <v>0</v>
      </c>
      <c r="M10" s="7" t="n">
        <v>49.97</v>
      </c>
      <c r="N10" s="7" t="n">
        <v>49.97</v>
      </c>
      <c r="O10" s="4" t="s">
        <v>119</v>
      </c>
      <c r="P10" s="21"/>
      <c r="Q10" s="4" t="s">
        <v>29</v>
      </c>
      <c r="R10" s="4" t="s">
        <v>138</v>
      </c>
      <c r="S10" s="20" t="s">
        <v>139</v>
      </c>
    </row>
    <row r="11" customFormat="false" ht="52.2" hidden="false" customHeight="false" outlineLevel="0" collapsed="false">
      <c r="A11" s="4" t="s">
        <v>140</v>
      </c>
      <c r="B11" s="17" t="n">
        <v>46225</v>
      </c>
      <c r="C11" s="4" t="s">
        <v>141</v>
      </c>
      <c r="D11" s="4" t="s">
        <v>142</v>
      </c>
      <c r="E11" s="4" t="s">
        <v>105</v>
      </c>
      <c r="F11" s="4" t="s">
        <v>106</v>
      </c>
      <c r="G11" s="4" t="s">
        <v>19</v>
      </c>
      <c r="H11" s="4" t="s">
        <v>107</v>
      </c>
      <c r="I11" s="4" t="s">
        <v>13</v>
      </c>
      <c r="J11" s="7" t="n">
        <v>20</v>
      </c>
      <c r="K11" s="18" t="n">
        <v>0.19</v>
      </c>
      <c r="L11" s="7" t="n">
        <v>3.8</v>
      </c>
      <c r="M11" s="7" t="n">
        <v>23.8</v>
      </c>
      <c r="N11" s="7" t="n">
        <v>23.8</v>
      </c>
      <c r="O11" s="4" t="s">
        <v>108</v>
      </c>
      <c r="P11" s="21"/>
      <c r="Q11" s="4" t="s">
        <v>109</v>
      </c>
      <c r="R11" s="4" t="s">
        <v>143</v>
      </c>
      <c r="S11" s="20" t="s">
        <v>144</v>
      </c>
    </row>
    <row r="12" customFormat="false" ht="179.1" hidden="false" customHeight="false" outlineLevel="0" collapsed="false">
      <c r="A12" s="4" t="s">
        <v>145</v>
      </c>
      <c r="B12" s="17" t="n">
        <v>46226</v>
      </c>
      <c r="C12" s="4" t="s">
        <v>146</v>
      </c>
      <c r="D12" s="4" t="s">
        <v>147</v>
      </c>
      <c r="E12" s="4" t="s">
        <v>115</v>
      </c>
      <c r="F12" s="4" t="s">
        <v>116</v>
      </c>
      <c r="G12" s="4" t="s">
        <v>11</v>
      </c>
      <c r="H12" s="4" t="s">
        <v>117</v>
      </c>
      <c r="I12" s="4" t="s">
        <v>13</v>
      </c>
      <c r="J12" s="7" t="n">
        <v>54.3</v>
      </c>
      <c r="K12" s="4" t="s">
        <v>118</v>
      </c>
      <c r="L12" s="7" t="n">
        <v>0</v>
      </c>
      <c r="M12" s="7" t="n">
        <v>54.3</v>
      </c>
      <c r="N12" s="7" t="n">
        <v>54.3</v>
      </c>
      <c r="O12" s="4" t="s">
        <v>119</v>
      </c>
      <c r="P12" s="21"/>
      <c r="Q12" s="4" t="s">
        <v>29</v>
      </c>
      <c r="R12" s="4" t="s">
        <v>148</v>
      </c>
      <c r="S12" s="20" t="s">
        <v>149</v>
      </c>
    </row>
    <row r="13" customFormat="false" ht="64.9" hidden="false" customHeight="false" outlineLevel="0" collapsed="false">
      <c r="A13" s="4" t="s">
        <v>150</v>
      </c>
      <c r="B13" s="17" t="n">
        <v>46237</v>
      </c>
      <c r="C13" s="4" t="s">
        <v>151</v>
      </c>
      <c r="D13" s="4" t="s">
        <v>152</v>
      </c>
      <c r="E13" s="4" t="s">
        <v>95</v>
      </c>
      <c r="F13" s="4" t="s">
        <v>96</v>
      </c>
      <c r="G13" s="4" t="s">
        <v>33</v>
      </c>
      <c r="H13" s="4" t="s">
        <v>97</v>
      </c>
      <c r="I13" s="4" t="s">
        <v>35</v>
      </c>
      <c r="J13" s="11" t="n">
        <v>18.49</v>
      </c>
      <c r="K13" s="18" t="n">
        <v>0.19</v>
      </c>
      <c r="L13" s="11" t="n">
        <v>3.51</v>
      </c>
      <c r="M13" s="11" t="n">
        <v>22</v>
      </c>
      <c r="N13" s="11" t="n">
        <v>22</v>
      </c>
      <c r="O13" s="4" t="s">
        <v>98</v>
      </c>
      <c r="P13" s="19" t="n">
        <f aca="false">M13</f>
        <v>22</v>
      </c>
      <c r="Q13" s="4" t="s">
        <v>99</v>
      </c>
      <c r="R13" s="4" t="s">
        <v>153</v>
      </c>
      <c r="S13" s="20" t="s">
        <v>154</v>
      </c>
    </row>
    <row r="14" customFormat="false" ht="128.35" hidden="false" customHeight="false" outlineLevel="0" collapsed="false">
      <c r="A14" s="4" t="s">
        <v>155</v>
      </c>
      <c r="B14" s="17" t="n">
        <v>46251</v>
      </c>
      <c r="C14" s="4" t="s">
        <v>156</v>
      </c>
      <c r="D14" s="4" t="s">
        <v>124</v>
      </c>
      <c r="E14" s="4" t="s">
        <v>157</v>
      </c>
      <c r="F14" s="4" t="s">
        <v>106</v>
      </c>
      <c r="G14" s="4" t="s">
        <v>26</v>
      </c>
      <c r="H14" s="4" t="s">
        <v>158</v>
      </c>
      <c r="I14" s="4" t="s">
        <v>13</v>
      </c>
      <c r="J14" s="7" t="n">
        <v>45</v>
      </c>
      <c r="K14" s="18" t="n">
        <v>0.19</v>
      </c>
      <c r="L14" s="7" t="n">
        <v>8.55</v>
      </c>
      <c r="M14" s="7" t="n">
        <v>53.55</v>
      </c>
      <c r="N14" s="7" t="n">
        <v>53.55</v>
      </c>
      <c r="O14" s="4" t="s">
        <v>159</v>
      </c>
      <c r="P14" s="21"/>
      <c r="Q14" s="4" t="s">
        <v>160</v>
      </c>
      <c r="R14" s="4" t="s">
        <v>161</v>
      </c>
      <c r="S14" s="20" t="s">
        <v>162</v>
      </c>
    </row>
    <row r="15" customFormat="false" ht="153.7" hidden="false" customHeight="false" outlineLevel="0" collapsed="false">
      <c r="A15" s="4" t="s">
        <v>163</v>
      </c>
      <c r="B15" s="17" t="n">
        <v>46138</v>
      </c>
      <c r="C15" s="4" t="s">
        <v>164</v>
      </c>
      <c r="D15" s="4" t="s">
        <v>165</v>
      </c>
      <c r="E15" s="4" t="s">
        <v>166</v>
      </c>
      <c r="F15" s="4" t="s">
        <v>167</v>
      </c>
      <c r="G15" s="4" t="s">
        <v>50</v>
      </c>
      <c r="H15" s="4" t="s">
        <v>168</v>
      </c>
      <c r="I15" s="4" t="s">
        <v>35</v>
      </c>
      <c r="J15" s="11" t="n">
        <v>0.81</v>
      </c>
      <c r="K15" s="18" t="n">
        <v>0.19</v>
      </c>
      <c r="L15" s="11" t="n">
        <v>0.15</v>
      </c>
      <c r="M15" s="11" t="n">
        <v>0.96</v>
      </c>
      <c r="N15" s="8" t="n">
        <v>0</v>
      </c>
      <c r="O15" s="4" t="s">
        <v>169</v>
      </c>
      <c r="P15" s="19" t="n">
        <f aca="false">M15</f>
        <v>0.96</v>
      </c>
      <c r="Q15" s="4" t="s">
        <v>99</v>
      </c>
      <c r="R15" s="4" t="s">
        <v>170</v>
      </c>
      <c r="S15" s="20" t="s">
        <v>171</v>
      </c>
    </row>
    <row r="16" customFormat="false" ht="102.95" hidden="false" customHeight="false" outlineLevel="0" collapsed="false">
      <c r="A16" s="4" t="s">
        <v>172</v>
      </c>
      <c r="B16" s="17" t="n">
        <v>46168</v>
      </c>
      <c r="C16" s="4" t="s">
        <v>173</v>
      </c>
      <c r="D16" s="4" t="s">
        <v>174</v>
      </c>
      <c r="E16" s="4" t="s">
        <v>166</v>
      </c>
      <c r="F16" s="4" t="s">
        <v>167</v>
      </c>
      <c r="G16" s="4" t="s">
        <v>50</v>
      </c>
      <c r="H16" s="4" t="s">
        <v>168</v>
      </c>
      <c r="I16" s="4" t="s">
        <v>35</v>
      </c>
      <c r="J16" s="11" t="n">
        <v>27.73</v>
      </c>
      <c r="K16" s="18" t="n">
        <v>0.19</v>
      </c>
      <c r="L16" s="11" t="n">
        <v>5.27</v>
      </c>
      <c r="M16" s="11" t="n">
        <v>33</v>
      </c>
      <c r="N16" s="8" t="n">
        <v>0</v>
      </c>
      <c r="O16" s="4" t="s">
        <v>169</v>
      </c>
      <c r="P16" s="19" t="n">
        <f aca="false">M16</f>
        <v>33</v>
      </c>
      <c r="Q16" s="4" t="s">
        <v>99</v>
      </c>
      <c r="R16" s="4" t="s">
        <v>175</v>
      </c>
      <c r="S16" s="20" t="s">
        <v>176</v>
      </c>
    </row>
    <row r="17" customFormat="false" ht="191.75" hidden="false" customHeight="false" outlineLevel="0" collapsed="false">
      <c r="A17" s="4" t="s">
        <v>177</v>
      </c>
      <c r="B17" s="17" t="n">
        <v>46199</v>
      </c>
      <c r="C17" s="4" t="s">
        <v>178</v>
      </c>
      <c r="D17" s="4" t="s">
        <v>179</v>
      </c>
      <c r="E17" s="4" t="s">
        <v>166</v>
      </c>
      <c r="F17" s="4" t="s">
        <v>167</v>
      </c>
      <c r="G17" s="4" t="s">
        <v>50</v>
      </c>
      <c r="H17" s="4" t="s">
        <v>168</v>
      </c>
      <c r="I17" s="4" t="s">
        <v>35</v>
      </c>
      <c r="J17" s="11" t="n">
        <v>13.03</v>
      </c>
      <c r="K17" s="18" t="n">
        <v>0.19</v>
      </c>
      <c r="L17" s="11" t="n">
        <v>2.47</v>
      </c>
      <c r="M17" s="11" t="n">
        <v>15.5</v>
      </c>
      <c r="N17" s="11" t="n">
        <v>15.5</v>
      </c>
      <c r="O17" s="4" t="s">
        <v>180</v>
      </c>
      <c r="P17" s="19" t="n">
        <f aca="false">M17</f>
        <v>15.5</v>
      </c>
      <c r="Q17" s="4" t="s">
        <v>99</v>
      </c>
      <c r="R17" s="4" t="s">
        <v>181</v>
      </c>
      <c r="S17" s="20" t="s">
        <v>182</v>
      </c>
    </row>
    <row r="18" customFormat="false" ht="77.6" hidden="false" customHeight="false" outlineLevel="0" collapsed="false">
      <c r="A18" s="4" t="s">
        <v>183</v>
      </c>
      <c r="B18" s="17" t="n">
        <v>46229</v>
      </c>
      <c r="C18" s="4" t="s">
        <v>184</v>
      </c>
      <c r="D18" s="4" t="s">
        <v>185</v>
      </c>
      <c r="E18" s="4" t="s">
        <v>166</v>
      </c>
      <c r="F18" s="4" t="s">
        <v>167</v>
      </c>
      <c r="G18" s="4" t="s">
        <v>50</v>
      </c>
      <c r="H18" s="4" t="s">
        <v>168</v>
      </c>
      <c r="I18" s="4" t="s">
        <v>35</v>
      </c>
      <c r="J18" s="11" t="n">
        <v>2.1</v>
      </c>
      <c r="K18" s="18" t="n">
        <v>0.19</v>
      </c>
      <c r="L18" s="11" t="n">
        <v>0.4</v>
      </c>
      <c r="M18" s="11" t="n">
        <v>2.5</v>
      </c>
      <c r="N18" s="11" t="n">
        <v>2.5</v>
      </c>
      <c r="O18" s="4" t="s">
        <v>186</v>
      </c>
      <c r="P18" s="19" t="n">
        <f aca="false">M18</f>
        <v>2.5</v>
      </c>
      <c r="Q18" s="4" t="s">
        <v>99</v>
      </c>
      <c r="R18" s="4" t="s">
        <v>187</v>
      </c>
      <c r="S18" s="20" t="s">
        <v>188</v>
      </c>
    </row>
    <row r="19" customFormat="false" ht="64.9" hidden="false" customHeight="false" outlineLevel="0" collapsed="false">
      <c r="A19" s="4" t="s">
        <v>189</v>
      </c>
      <c r="B19" s="17" t="n">
        <v>46256</v>
      </c>
      <c r="C19" s="4" t="s">
        <v>190</v>
      </c>
      <c r="D19" s="4" t="s">
        <v>191</v>
      </c>
      <c r="E19" s="4" t="s">
        <v>105</v>
      </c>
      <c r="F19" s="4" t="s">
        <v>106</v>
      </c>
      <c r="G19" s="4" t="s">
        <v>19</v>
      </c>
      <c r="H19" s="4" t="s">
        <v>107</v>
      </c>
      <c r="I19" s="4" t="s">
        <v>13</v>
      </c>
      <c r="J19" s="7" t="n">
        <v>20</v>
      </c>
      <c r="K19" s="18" t="n">
        <v>0.19</v>
      </c>
      <c r="L19" s="7" t="n">
        <v>3.8</v>
      </c>
      <c r="M19" s="7" t="n">
        <v>23.8</v>
      </c>
      <c r="N19" s="7" t="n">
        <v>23.8</v>
      </c>
      <c r="O19" s="4" t="s">
        <v>108</v>
      </c>
      <c r="P19" s="21"/>
      <c r="Q19" s="4" t="s">
        <v>109</v>
      </c>
      <c r="R19" s="4" t="s">
        <v>192</v>
      </c>
      <c r="S19" s="20" t="s">
        <v>193</v>
      </c>
    </row>
    <row r="20" customFormat="false" ht="179.1" hidden="false" customHeight="false" outlineLevel="0" collapsed="false">
      <c r="A20" s="4" t="s">
        <v>194</v>
      </c>
      <c r="B20" s="17" t="n">
        <v>46257</v>
      </c>
      <c r="C20" s="4" t="s">
        <v>195</v>
      </c>
      <c r="D20" s="4" t="s">
        <v>196</v>
      </c>
      <c r="E20" s="4" t="s">
        <v>115</v>
      </c>
      <c r="F20" s="4" t="s">
        <v>116</v>
      </c>
      <c r="G20" s="4" t="s">
        <v>11</v>
      </c>
      <c r="H20" s="4" t="s">
        <v>117</v>
      </c>
      <c r="I20" s="4" t="s">
        <v>13</v>
      </c>
      <c r="J20" s="7" t="n">
        <v>53.83</v>
      </c>
      <c r="K20" s="4" t="s">
        <v>118</v>
      </c>
      <c r="L20" s="7" t="n">
        <v>0</v>
      </c>
      <c r="M20" s="7" t="n">
        <v>53.83</v>
      </c>
      <c r="N20" s="7" t="n">
        <v>53.83</v>
      </c>
      <c r="O20" s="4" t="s">
        <v>119</v>
      </c>
      <c r="P20" s="21"/>
      <c r="Q20" s="4" t="s">
        <v>29</v>
      </c>
      <c r="R20" s="4" t="s">
        <v>197</v>
      </c>
      <c r="S20" s="20" t="s">
        <v>198</v>
      </c>
    </row>
    <row r="21" customFormat="false" ht="52.2" hidden="false" customHeight="false" outlineLevel="0" collapsed="false">
      <c r="A21" s="4" t="s">
        <v>199</v>
      </c>
      <c r="B21" s="17" t="n">
        <v>46260</v>
      </c>
      <c r="C21" s="4" t="s">
        <v>200</v>
      </c>
      <c r="D21" s="4" t="s">
        <v>201</v>
      </c>
      <c r="E21" s="4" t="s">
        <v>166</v>
      </c>
      <c r="F21" s="4" t="s">
        <v>167</v>
      </c>
      <c r="G21" s="4" t="s">
        <v>50</v>
      </c>
      <c r="H21" s="4" t="s">
        <v>168</v>
      </c>
      <c r="I21" s="4" t="s">
        <v>35</v>
      </c>
      <c r="J21" s="11" t="n">
        <v>2.1</v>
      </c>
      <c r="K21" s="18" t="n">
        <v>0.19</v>
      </c>
      <c r="L21" s="11" t="n">
        <v>0.4</v>
      </c>
      <c r="M21" s="11" t="n">
        <v>2.5</v>
      </c>
      <c r="N21" s="11" t="n">
        <v>2.5</v>
      </c>
      <c r="O21" s="4" t="s">
        <v>186</v>
      </c>
      <c r="P21" s="19" t="n">
        <f aca="false">M21</f>
        <v>2.5</v>
      </c>
      <c r="Q21" s="4" t="s">
        <v>99</v>
      </c>
      <c r="R21" s="4" t="s">
        <v>202</v>
      </c>
      <c r="S21" s="20" t="s">
        <v>203</v>
      </c>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c r="S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c r="S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c r="S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c r="S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c r="S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c r="S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c r="S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c r="S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c r="S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c r="S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c r="S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c r="S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c r="S34" s="22"/>
    </row>
  </sheetData>
  <mergeCells count="2">
    <mergeCell ref="A1:S1"/>
    <mergeCell ref="A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9" min="2" style="0" width="13"/>
    <col collapsed="false" customWidth="true" hidden="false" outlineLevel="0" max="10" min="10" style="0" width="16"/>
  </cols>
  <sheetData>
    <row r="1" customFormat="false" ht="17.35" hidden="false" customHeight="false" outlineLevel="0" collapsed="false">
      <c r="A1" s="1" t="s">
        <v>204</v>
      </c>
      <c r="B1" s="1"/>
      <c r="C1" s="1"/>
      <c r="D1" s="1"/>
      <c r="E1" s="1"/>
      <c r="F1" s="1"/>
      <c r="G1" s="1"/>
      <c r="H1" s="1"/>
      <c r="I1" s="1"/>
      <c r="J1" s="1"/>
    </row>
    <row r="2" customFormat="false" ht="15" hidden="false" customHeight="false" outlineLevel="0" collapsed="false">
      <c r="A2" s="2" t="s">
        <v>205</v>
      </c>
      <c r="B2" s="2"/>
      <c r="C2" s="2"/>
      <c r="D2" s="2"/>
      <c r="E2" s="2"/>
      <c r="F2" s="2"/>
      <c r="G2" s="2"/>
      <c r="H2" s="2"/>
      <c r="I2" s="2"/>
      <c r="J2" s="2"/>
    </row>
    <row r="4" customFormat="false" ht="26.85" hidden="false" customHeight="false" outlineLevel="0" collapsed="false">
      <c r="A4" s="23" t="s">
        <v>2</v>
      </c>
      <c r="B4" s="24" t="s">
        <v>206</v>
      </c>
      <c r="C4" s="24" t="s">
        <v>207</v>
      </c>
      <c r="D4" s="24" t="s">
        <v>208</v>
      </c>
      <c r="E4" s="24" t="s">
        <v>209</v>
      </c>
      <c r="F4" s="24" t="s">
        <v>210</v>
      </c>
      <c r="G4" s="24" t="s">
        <v>211</v>
      </c>
      <c r="H4" s="24" t="s">
        <v>212</v>
      </c>
      <c r="I4" s="24" t="s">
        <v>213</v>
      </c>
      <c r="J4" s="25" t="s">
        <v>214</v>
      </c>
    </row>
    <row r="5" customFormat="false" ht="15" hidden="false" customHeight="false" outlineLevel="0" collapsed="false">
      <c r="A5" s="26" t="s">
        <v>11</v>
      </c>
      <c r="B5" s="27" t="n">
        <f aca="false">IF(COUNTIFS(Rechnungsjournal!$G$5:$G$34,$A5,Rechnungsjournal!$B$5:$B$34,"&gt;="&amp;DATE(2026,5,1),Rechnungsjournal!$B$5:$B$34,"&lt;"&amp;DATE(2026,6,1))=0,"",SUMIFS(Rechnungsjournal!$N$5:$N$34,Rechnungsjournal!$G$5:$G$34,$A5,Rechnungsjournal!$B$5:$B$34,"&gt;="&amp;DATE(2026,5,1),Rechnungsjournal!$B$5:$B$34,"&lt;"&amp;DATE(2026,6,1)))</f>
        <v>25</v>
      </c>
      <c r="C5" s="27" t="n">
        <f aca="false">IF(COUNTIFS(Rechnungsjournal!$G$5:$G$34,$A5,Rechnungsjournal!$B$5:$B$34,"&gt;="&amp;DATE(2026,6,1),Rechnungsjournal!$B$5:$B$34,"&lt;"&amp;DATE(2026,7,1))=0,"",SUMIFS(Rechnungsjournal!$N$5:$N$34,Rechnungsjournal!$G$5:$G$34,$A5,Rechnungsjournal!$B$5:$B$34,"&gt;="&amp;DATE(2026,6,1),Rechnungsjournal!$B$5:$B$34,"&lt;"&amp;DATE(2026,7,1)))</f>
        <v>49.97</v>
      </c>
      <c r="D5" s="27" t="n">
        <f aca="false">IF(COUNTIFS(Rechnungsjournal!$G$5:$G$34,$A5,Rechnungsjournal!$B$5:$B$34,"&gt;="&amp;DATE(2026,7,1),Rechnungsjournal!$B$5:$B$34,"&lt;"&amp;DATE(2026,8,1))=0,"",SUMIFS(Rechnungsjournal!$N$5:$N$34,Rechnungsjournal!$G$5:$G$34,$A5,Rechnungsjournal!$B$5:$B$34,"&gt;="&amp;DATE(2026,7,1),Rechnungsjournal!$B$5:$B$34,"&lt;"&amp;DATE(2026,8,1)))</f>
        <v>54.3</v>
      </c>
      <c r="E5" s="27" t="n">
        <f aca="false">IF(COUNTIFS(Rechnungsjournal!$G$5:$G$34,$A5,Rechnungsjournal!$B$5:$B$34,"&gt;="&amp;DATE(2026,8,1),Rechnungsjournal!$B$5:$B$34,"&lt;"&amp;DATE(2026,9,1))=0,"",SUMIFS(Rechnungsjournal!$N$5:$N$34,Rechnungsjournal!$G$5:$G$34,$A5,Rechnungsjournal!$B$5:$B$34,"&gt;="&amp;DATE(2026,8,1),Rechnungsjournal!$B$5:$B$34,"&lt;"&amp;DATE(2026,9,1)))</f>
        <v>53.83</v>
      </c>
      <c r="F5" s="27" t="str">
        <f aca="false">IF(COUNTIFS(Rechnungsjournal!$G$5:$G$34,$A5,Rechnungsjournal!$B$5:$B$34,"&gt;="&amp;DATE(2026,9,1),Rechnungsjournal!$B$5:$B$34,"&lt;"&amp;DATE(2026,10,1))=0,"",SUMIFS(Rechnungsjournal!$N$5:$N$34,Rechnungsjournal!$G$5:$G$34,$A5,Rechnungsjournal!$B$5:$B$34,"&gt;="&amp;DATE(2026,9,1),Rechnungsjournal!$B$5:$B$34,"&lt;"&amp;DATE(2026,10,1)))</f>
        <v/>
      </c>
      <c r="G5" s="27" t="str">
        <f aca="false">IF(COUNTIFS(Rechnungsjournal!$G$5:$G$34,$A5,Rechnungsjournal!$B$5:$B$34,"&gt;="&amp;DATE(2026,10,1),Rechnungsjournal!$B$5:$B$34,"&lt;"&amp;DATE(2026,11,1))=0,"",SUMIFS(Rechnungsjournal!$N$5:$N$34,Rechnungsjournal!$G$5:$G$34,$A5,Rechnungsjournal!$B$5:$B$34,"&gt;="&amp;DATE(2026,10,1),Rechnungsjournal!$B$5:$B$34,"&lt;"&amp;DATE(2026,11,1)))</f>
        <v/>
      </c>
      <c r="H5" s="27" t="str">
        <f aca="false">IF(COUNTIFS(Rechnungsjournal!$G$5:$G$34,$A5,Rechnungsjournal!$B$5:$B$34,"&gt;="&amp;DATE(2026,11,1),Rechnungsjournal!$B$5:$B$34,"&lt;"&amp;DATE(2026,12,1))=0,"",SUMIFS(Rechnungsjournal!$N$5:$N$34,Rechnungsjournal!$G$5:$G$34,$A5,Rechnungsjournal!$B$5:$B$34,"&gt;="&amp;DATE(2026,11,1),Rechnungsjournal!$B$5:$B$34,"&lt;"&amp;DATE(2026,12,1)))</f>
        <v/>
      </c>
      <c r="I5" s="27" t="str">
        <f aca="false">IF(COUNTIFS(Rechnungsjournal!$G$5:$G$34,$A5,Rechnungsjournal!$B$5:$B$34,"&gt;="&amp;DATE(2026,12,1),Rechnungsjournal!$B$5:$B$34,"&lt;"&amp;DATE(2027,1,1))=0,"",SUMIFS(Rechnungsjournal!$N$5:$N$34,Rechnungsjournal!$G$5:$G$34,$A5,Rechnungsjournal!$B$5:$B$34,"&gt;="&amp;DATE(2026,12,1),Rechnungsjournal!$B$5:$B$34,"&lt;"&amp;DATE(2027,1,1)))</f>
        <v/>
      </c>
      <c r="J5" s="28" t="n">
        <f aca="false">SUM(B5:I5)</f>
        <v>183.1</v>
      </c>
    </row>
    <row r="6" customFormat="false" ht="15" hidden="false" customHeight="false" outlineLevel="0" collapsed="false">
      <c r="A6" s="26" t="s">
        <v>19</v>
      </c>
      <c r="B6" s="27" t="n">
        <f aca="false">IF(COUNTIFS(Rechnungsjournal!$G$5:$G$34,$A6,Rechnungsjournal!$B$5:$B$34,"&gt;="&amp;DATE(2026,5,1),Rechnungsjournal!$B$5:$B$34,"&lt;"&amp;DATE(2026,6,1))=0,"",SUMIFS(Rechnungsjournal!$N$5:$N$34,Rechnungsjournal!$G$5:$G$34,$A6,Rechnungsjournal!$B$5:$B$34,"&gt;="&amp;DATE(2026,5,1),Rechnungsjournal!$B$5:$B$34,"&lt;"&amp;DATE(2026,6,1)))</f>
        <v>23.8</v>
      </c>
      <c r="C6" s="27" t="n">
        <f aca="false">IF(COUNTIFS(Rechnungsjournal!$G$5:$G$34,$A6,Rechnungsjournal!$B$5:$B$34,"&gt;="&amp;DATE(2026,6,1),Rechnungsjournal!$B$5:$B$34,"&lt;"&amp;DATE(2026,7,1))=0,"",SUMIFS(Rechnungsjournal!$N$5:$N$34,Rechnungsjournal!$G$5:$G$34,$A6,Rechnungsjournal!$B$5:$B$34,"&gt;="&amp;DATE(2026,6,1),Rechnungsjournal!$B$5:$B$34,"&lt;"&amp;DATE(2026,7,1)))</f>
        <v>23.8</v>
      </c>
      <c r="D6" s="27" t="n">
        <f aca="false">IF(COUNTIFS(Rechnungsjournal!$G$5:$G$34,$A6,Rechnungsjournal!$B$5:$B$34,"&gt;="&amp;DATE(2026,7,1),Rechnungsjournal!$B$5:$B$34,"&lt;"&amp;DATE(2026,8,1))=0,"",SUMIFS(Rechnungsjournal!$N$5:$N$34,Rechnungsjournal!$G$5:$G$34,$A6,Rechnungsjournal!$B$5:$B$34,"&gt;="&amp;DATE(2026,7,1),Rechnungsjournal!$B$5:$B$34,"&lt;"&amp;DATE(2026,8,1)))</f>
        <v>23.8</v>
      </c>
      <c r="E6" s="27" t="n">
        <f aca="false">IF(COUNTIFS(Rechnungsjournal!$G$5:$G$34,$A6,Rechnungsjournal!$B$5:$B$34,"&gt;="&amp;DATE(2026,8,1),Rechnungsjournal!$B$5:$B$34,"&lt;"&amp;DATE(2026,9,1))=0,"",SUMIFS(Rechnungsjournal!$N$5:$N$34,Rechnungsjournal!$G$5:$G$34,$A6,Rechnungsjournal!$B$5:$B$34,"&gt;="&amp;DATE(2026,8,1),Rechnungsjournal!$B$5:$B$34,"&lt;"&amp;DATE(2026,9,1)))</f>
        <v>23.8</v>
      </c>
      <c r="F6" s="27" t="str">
        <f aca="false">IF(COUNTIFS(Rechnungsjournal!$G$5:$G$34,$A6,Rechnungsjournal!$B$5:$B$34,"&gt;="&amp;DATE(2026,9,1),Rechnungsjournal!$B$5:$B$34,"&lt;"&amp;DATE(2026,10,1))=0,"",SUMIFS(Rechnungsjournal!$N$5:$N$34,Rechnungsjournal!$G$5:$G$34,$A6,Rechnungsjournal!$B$5:$B$34,"&gt;="&amp;DATE(2026,9,1),Rechnungsjournal!$B$5:$B$34,"&lt;"&amp;DATE(2026,10,1)))</f>
        <v/>
      </c>
      <c r="G6" s="27" t="str">
        <f aca="false">IF(COUNTIFS(Rechnungsjournal!$G$5:$G$34,$A6,Rechnungsjournal!$B$5:$B$34,"&gt;="&amp;DATE(2026,10,1),Rechnungsjournal!$B$5:$B$34,"&lt;"&amp;DATE(2026,11,1))=0,"",SUMIFS(Rechnungsjournal!$N$5:$N$34,Rechnungsjournal!$G$5:$G$34,$A6,Rechnungsjournal!$B$5:$B$34,"&gt;="&amp;DATE(2026,10,1),Rechnungsjournal!$B$5:$B$34,"&lt;"&amp;DATE(2026,11,1)))</f>
        <v/>
      </c>
      <c r="H6" s="27" t="str">
        <f aca="false">IF(COUNTIFS(Rechnungsjournal!$G$5:$G$34,$A6,Rechnungsjournal!$B$5:$B$34,"&gt;="&amp;DATE(2026,11,1),Rechnungsjournal!$B$5:$B$34,"&lt;"&amp;DATE(2026,12,1))=0,"",SUMIFS(Rechnungsjournal!$N$5:$N$34,Rechnungsjournal!$G$5:$G$34,$A6,Rechnungsjournal!$B$5:$B$34,"&gt;="&amp;DATE(2026,11,1),Rechnungsjournal!$B$5:$B$34,"&lt;"&amp;DATE(2026,12,1)))</f>
        <v/>
      </c>
      <c r="I6" s="27" t="str">
        <f aca="false">IF(COUNTIFS(Rechnungsjournal!$G$5:$G$34,$A6,Rechnungsjournal!$B$5:$B$34,"&gt;="&amp;DATE(2026,12,1),Rechnungsjournal!$B$5:$B$34,"&lt;"&amp;DATE(2027,1,1))=0,"",SUMIFS(Rechnungsjournal!$N$5:$N$34,Rechnungsjournal!$G$5:$G$34,$A6,Rechnungsjournal!$B$5:$B$34,"&gt;="&amp;DATE(2026,12,1),Rechnungsjournal!$B$5:$B$34,"&lt;"&amp;DATE(2027,1,1)))</f>
        <v/>
      </c>
      <c r="J6" s="28" t="n">
        <f aca="false">SUM(B6:I6)</f>
        <v>95.2</v>
      </c>
    </row>
    <row r="7" customFormat="false" ht="15" hidden="false" customHeight="false" outlineLevel="0" collapsed="false">
      <c r="A7" s="26" t="s">
        <v>26</v>
      </c>
      <c r="B7" s="27" t="str">
        <f aca="false">IF(COUNTIFS(Rechnungsjournal!$G$5:$G$34,$A7,Rechnungsjournal!$B$5:$B$34,"&gt;="&amp;DATE(2026,5,1),Rechnungsjournal!$B$5:$B$34,"&lt;"&amp;DATE(2026,6,1))=0,"",SUMIFS(Rechnungsjournal!$N$5:$N$34,Rechnungsjournal!$G$5:$G$34,$A7,Rechnungsjournal!$B$5:$B$34,"&gt;="&amp;DATE(2026,5,1),Rechnungsjournal!$B$5:$B$34,"&lt;"&amp;DATE(2026,6,1)))</f>
        <v/>
      </c>
      <c r="C7" s="27" t="str">
        <f aca="false">IF(COUNTIFS(Rechnungsjournal!$G$5:$G$34,$A7,Rechnungsjournal!$B$5:$B$34,"&gt;="&amp;DATE(2026,6,1),Rechnungsjournal!$B$5:$B$34,"&lt;"&amp;DATE(2026,7,1))=0,"",SUMIFS(Rechnungsjournal!$N$5:$N$34,Rechnungsjournal!$G$5:$G$34,$A7,Rechnungsjournal!$B$5:$B$34,"&gt;="&amp;DATE(2026,6,1),Rechnungsjournal!$B$5:$B$34,"&lt;"&amp;DATE(2026,7,1)))</f>
        <v/>
      </c>
      <c r="D7" s="27" t="str">
        <f aca="false">IF(COUNTIFS(Rechnungsjournal!$G$5:$G$34,$A7,Rechnungsjournal!$B$5:$B$34,"&gt;="&amp;DATE(2026,7,1),Rechnungsjournal!$B$5:$B$34,"&lt;"&amp;DATE(2026,8,1))=0,"",SUMIFS(Rechnungsjournal!$N$5:$N$34,Rechnungsjournal!$G$5:$G$34,$A7,Rechnungsjournal!$B$5:$B$34,"&gt;="&amp;DATE(2026,7,1),Rechnungsjournal!$B$5:$B$34,"&lt;"&amp;DATE(2026,8,1)))</f>
        <v/>
      </c>
      <c r="E7" s="27" t="n">
        <f aca="false">IF(COUNTIFS(Rechnungsjournal!$G$5:$G$34,$A7,Rechnungsjournal!$B$5:$B$34,"&gt;="&amp;DATE(2026,8,1),Rechnungsjournal!$B$5:$B$34,"&lt;"&amp;DATE(2026,9,1))=0,"",SUMIFS(Rechnungsjournal!$N$5:$N$34,Rechnungsjournal!$G$5:$G$34,$A7,Rechnungsjournal!$B$5:$B$34,"&gt;="&amp;DATE(2026,8,1),Rechnungsjournal!$B$5:$B$34,"&lt;"&amp;DATE(2026,9,1)))</f>
        <v>53.55</v>
      </c>
      <c r="F7" s="27" t="str">
        <f aca="false">IF(COUNTIFS(Rechnungsjournal!$G$5:$G$34,$A7,Rechnungsjournal!$B$5:$B$34,"&gt;="&amp;DATE(2026,9,1),Rechnungsjournal!$B$5:$B$34,"&lt;"&amp;DATE(2026,10,1))=0,"",SUMIFS(Rechnungsjournal!$N$5:$N$34,Rechnungsjournal!$G$5:$G$34,$A7,Rechnungsjournal!$B$5:$B$34,"&gt;="&amp;DATE(2026,9,1),Rechnungsjournal!$B$5:$B$34,"&lt;"&amp;DATE(2026,10,1)))</f>
        <v/>
      </c>
      <c r="G7" s="27" t="str">
        <f aca="false">IF(COUNTIFS(Rechnungsjournal!$G$5:$G$34,$A7,Rechnungsjournal!$B$5:$B$34,"&gt;="&amp;DATE(2026,10,1),Rechnungsjournal!$B$5:$B$34,"&lt;"&amp;DATE(2026,11,1))=0,"",SUMIFS(Rechnungsjournal!$N$5:$N$34,Rechnungsjournal!$G$5:$G$34,$A7,Rechnungsjournal!$B$5:$B$34,"&gt;="&amp;DATE(2026,10,1),Rechnungsjournal!$B$5:$B$34,"&lt;"&amp;DATE(2026,11,1)))</f>
        <v/>
      </c>
      <c r="H7" s="27" t="str">
        <f aca="false">IF(COUNTIFS(Rechnungsjournal!$G$5:$G$34,$A7,Rechnungsjournal!$B$5:$B$34,"&gt;="&amp;DATE(2026,11,1),Rechnungsjournal!$B$5:$B$34,"&lt;"&amp;DATE(2026,12,1))=0,"",SUMIFS(Rechnungsjournal!$N$5:$N$34,Rechnungsjournal!$G$5:$G$34,$A7,Rechnungsjournal!$B$5:$B$34,"&gt;="&amp;DATE(2026,11,1),Rechnungsjournal!$B$5:$B$34,"&lt;"&amp;DATE(2026,12,1)))</f>
        <v/>
      </c>
      <c r="I7" s="27" t="str">
        <f aca="false">IF(COUNTIFS(Rechnungsjournal!$G$5:$G$34,$A7,Rechnungsjournal!$B$5:$B$34,"&gt;="&amp;DATE(2026,12,1),Rechnungsjournal!$B$5:$B$34,"&lt;"&amp;DATE(2027,1,1))=0,"",SUMIFS(Rechnungsjournal!$N$5:$N$34,Rechnungsjournal!$G$5:$G$34,$A7,Rechnungsjournal!$B$5:$B$34,"&gt;="&amp;DATE(2026,12,1),Rechnungsjournal!$B$5:$B$34,"&lt;"&amp;DATE(2027,1,1)))</f>
        <v/>
      </c>
      <c r="J7" s="28" t="n">
        <f aca="false">SUM(B7:I7)</f>
        <v>53.55</v>
      </c>
    </row>
    <row r="8" customFormat="false" ht="15" hidden="false" customHeight="false" outlineLevel="0" collapsed="false">
      <c r="A8" s="26" t="s">
        <v>33</v>
      </c>
      <c r="B8" s="29" t="n">
        <f aca="false">IF(COUNTIFS(Rechnungsjournal!$G$5:$G$34,$A8,Rechnungsjournal!$B$5:$B$34,"&gt;="&amp;DATE(2026,5,1),Rechnungsjournal!$B$5:$B$34,"&lt;"&amp;DATE(2026,6,1))=0,"",SUMIFS(Rechnungsjournal!$N$5:$N$34,Rechnungsjournal!$G$5:$G$34,$A8,Rechnungsjournal!$B$5:$B$34,"&gt;="&amp;DATE(2026,5,1),Rechnungsjournal!$B$5:$B$34,"&lt;"&amp;DATE(2026,6,1)))</f>
        <v>22</v>
      </c>
      <c r="C8" s="29" t="str">
        <f aca="false">IF(COUNTIFS(Rechnungsjournal!$G$5:$G$34,$A8,Rechnungsjournal!$B$5:$B$34,"&gt;="&amp;DATE(2026,6,1),Rechnungsjournal!$B$5:$B$34,"&lt;"&amp;DATE(2026,7,1))=0,"",SUMIFS(Rechnungsjournal!$N$5:$N$34,Rechnungsjournal!$G$5:$G$34,$A8,Rechnungsjournal!$B$5:$B$34,"&gt;="&amp;DATE(2026,6,1),Rechnungsjournal!$B$5:$B$34,"&lt;"&amp;DATE(2026,7,1)))</f>
        <v/>
      </c>
      <c r="D8" s="29" t="str">
        <f aca="false">IF(COUNTIFS(Rechnungsjournal!$G$5:$G$34,$A8,Rechnungsjournal!$B$5:$B$34,"&gt;="&amp;DATE(2026,7,1),Rechnungsjournal!$B$5:$B$34,"&lt;"&amp;DATE(2026,8,1))=0,"",SUMIFS(Rechnungsjournal!$N$5:$N$34,Rechnungsjournal!$G$5:$G$34,$A8,Rechnungsjournal!$B$5:$B$34,"&gt;="&amp;DATE(2026,7,1),Rechnungsjournal!$B$5:$B$34,"&lt;"&amp;DATE(2026,8,1)))</f>
        <v/>
      </c>
      <c r="E8" s="29" t="n">
        <f aca="false">IF(COUNTIFS(Rechnungsjournal!$G$5:$G$34,$A8,Rechnungsjournal!$B$5:$B$34,"&gt;="&amp;DATE(2026,8,1),Rechnungsjournal!$B$5:$B$34,"&lt;"&amp;DATE(2026,9,1))=0,"",SUMIFS(Rechnungsjournal!$N$5:$N$34,Rechnungsjournal!$G$5:$G$34,$A8,Rechnungsjournal!$B$5:$B$34,"&gt;="&amp;DATE(2026,8,1),Rechnungsjournal!$B$5:$B$34,"&lt;"&amp;DATE(2026,9,1)))</f>
        <v>22</v>
      </c>
      <c r="F8" s="29" t="str">
        <f aca="false">IF(COUNTIFS(Rechnungsjournal!$G$5:$G$34,$A8,Rechnungsjournal!$B$5:$B$34,"&gt;="&amp;DATE(2026,9,1),Rechnungsjournal!$B$5:$B$34,"&lt;"&amp;DATE(2026,10,1))=0,"",SUMIFS(Rechnungsjournal!$N$5:$N$34,Rechnungsjournal!$G$5:$G$34,$A8,Rechnungsjournal!$B$5:$B$34,"&gt;="&amp;DATE(2026,9,1),Rechnungsjournal!$B$5:$B$34,"&lt;"&amp;DATE(2026,10,1)))</f>
        <v/>
      </c>
      <c r="G8" s="29" t="str">
        <f aca="false">IF(COUNTIFS(Rechnungsjournal!$G$5:$G$34,$A8,Rechnungsjournal!$B$5:$B$34,"&gt;="&amp;DATE(2026,10,1),Rechnungsjournal!$B$5:$B$34,"&lt;"&amp;DATE(2026,11,1))=0,"",SUMIFS(Rechnungsjournal!$N$5:$N$34,Rechnungsjournal!$G$5:$G$34,$A8,Rechnungsjournal!$B$5:$B$34,"&gt;="&amp;DATE(2026,10,1),Rechnungsjournal!$B$5:$B$34,"&lt;"&amp;DATE(2026,11,1)))</f>
        <v/>
      </c>
      <c r="H8" s="29" t="str">
        <f aca="false">IF(COUNTIFS(Rechnungsjournal!$G$5:$G$34,$A8,Rechnungsjournal!$B$5:$B$34,"&gt;="&amp;DATE(2026,11,1),Rechnungsjournal!$B$5:$B$34,"&lt;"&amp;DATE(2026,12,1))=0,"",SUMIFS(Rechnungsjournal!$N$5:$N$34,Rechnungsjournal!$G$5:$G$34,$A8,Rechnungsjournal!$B$5:$B$34,"&gt;="&amp;DATE(2026,11,1),Rechnungsjournal!$B$5:$B$34,"&lt;"&amp;DATE(2026,12,1)))</f>
        <v/>
      </c>
      <c r="I8" s="29" t="str">
        <f aca="false">IF(COUNTIFS(Rechnungsjournal!$G$5:$G$34,$A8,Rechnungsjournal!$B$5:$B$34,"&gt;="&amp;DATE(2026,12,1),Rechnungsjournal!$B$5:$B$34,"&lt;"&amp;DATE(2027,1,1))=0,"",SUMIFS(Rechnungsjournal!$N$5:$N$34,Rechnungsjournal!$G$5:$G$34,$A8,Rechnungsjournal!$B$5:$B$34,"&gt;="&amp;DATE(2026,12,1),Rechnungsjournal!$B$5:$B$34,"&lt;"&amp;DATE(2027,1,1)))</f>
        <v/>
      </c>
      <c r="J8" s="30" t="n">
        <f aca="false">SUM(B8:I8)</f>
        <v>44</v>
      </c>
    </row>
    <row r="9" customFormat="false" ht="15" hidden="false" customHeight="false" outlineLevel="0" collapsed="false">
      <c r="A9" s="26" t="s">
        <v>41</v>
      </c>
      <c r="B9" s="27" t="str">
        <f aca="false">IF(COUNTIFS(Rechnungsjournal!$G$5:$G$34,$A9,Rechnungsjournal!$B$5:$B$34,"&gt;="&amp;DATE(2026,5,1),Rechnungsjournal!$B$5:$B$34,"&lt;"&amp;DATE(2026,6,1))=0,"",SUMIFS(Rechnungsjournal!$N$5:$N$34,Rechnungsjournal!$G$5:$G$34,$A9,Rechnungsjournal!$B$5:$B$34,"&gt;="&amp;DATE(2026,5,1),Rechnungsjournal!$B$5:$B$34,"&lt;"&amp;DATE(2026,6,1)))</f>
        <v/>
      </c>
      <c r="C9" s="27" t="n">
        <f aca="false">IF(COUNTIFS(Rechnungsjournal!$G$5:$G$34,$A9,Rechnungsjournal!$B$5:$B$34,"&gt;="&amp;DATE(2026,6,1),Rechnungsjournal!$B$5:$B$34,"&lt;"&amp;DATE(2026,7,1))=0,"",SUMIFS(Rechnungsjournal!$N$5:$N$34,Rechnungsjournal!$G$5:$G$34,$A9,Rechnungsjournal!$B$5:$B$34,"&gt;="&amp;DATE(2026,6,1),Rechnungsjournal!$B$5:$B$34,"&lt;"&amp;DATE(2026,7,1)))</f>
        <v>17.85</v>
      </c>
      <c r="D9" s="27" t="str">
        <f aca="false">IF(COUNTIFS(Rechnungsjournal!$G$5:$G$34,$A9,Rechnungsjournal!$B$5:$B$34,"&gt;="&amp;DATE(2026,7,1),Rechnungsjournal!$B$5:$B$34,"&lt;"&amp;DATE(2026,8,1))=0,"",SUMIFS(Rechnungsjournal!$N$5:$N$34,Rechnungsjournal!$G$5:$G$34,$A9,Rechnungsjournal!$B$5:$B$34,"&gt;="&amp;DATE(2026,7,1),Rechnungsjournal!$B$5:$B$34,"&lt;"&amp;DATE(2026,8,1)))</f>
        <v/>
      </c>
      <c r="E9" s="27" t="str">
        <f aca="false">IF(COUNTIFS(Rechnungsjournal!$G$5:$G$34,$A9,Rechnungsjournal!$B$5:$B$34,"&gt;="&amp;DATE(2026,8,1),Rechnungsjournal!$B$5:$B$34,"&lt;"&amp;DATE(2026,9,1))=0,"",SUMIFS(Rechnungsjournal!$N$5:$N$34,Rechnungsjournal!$G$5:$G$34,$A9,Rechnungsjournal!$B$5:$B$34,"&gt;="&amp;DATE(2026,8,1),Rechnungsjournal!$B$5:$B$34,"&lt;"&amp;DATE(2026,9,1)))</f>
        <v/>
      </c>
      <c r="F9" s="27" t="str">
        <f aca="false">IF(COUNTIFS(Rechnungsjournal!$G$5:$G$34,$A9,Rechnungsjournal!$B$5:$B$34,"&gt;="&amp;DATE(2026,9,1),Rechnungsjournal!$B$5:$B$34,"&lt;"&amp;DATE(2026,10,1))=0,"",SUMIFS(Rechnungsjournal!$N$5:$N$34,Rechnungsjournal!$G$5:$G$34,$A9,Rechnungsjournal!$B$5:$B$34,"&gt;="&amp;DATE(2026,9,1),Rechnungsjournal!$B$5:$B$34,"&lt;"&amp;DATE(2026,10,1)))</f>
        <v/>
      </c>
      <c r="G9" s="27" t="str">
        <f aca="false">IF(COUNTIFS(Rechnungsjournal!$G$5:$G$34,$A9,Rechnungsjournal!$B$5:$B$34,"&gt;="&amp;DATE(2026,10,1),Rechnungsjournal!$B$5:$B$34,"&lt;"&amp;DATE(2026,11,1))=0,"",SUMIFS(Rechnungsjournal!$N$5:$N$34,Rechnungsjournal!$G$5:$G$34,$A9,Rechnungsjournal!$B$5:$B$34,"&gt;="&amp;DATE(2026,10,1),Rechnungsjournal!$B$5:$B$34,"&lt;"&amp;DATE(2026,11,1)))</f>
        <v/>
      </c>
      <c r="H9" s="27" t="str">
        <f aca="false">IF(COUNTIFS(Rechnungsjournal!$G$5:$G$34,$A9,Rechnungsjournal!$B$5:$B$34,"&gt;="&amp;DATE(2026,11,1),Rechnungsjournal!$B$5:$B$34,"&lt;"&amp;DATE(2026,12,1))=0,"",SUMIFS(Rechnungsjournal!$N$5:$N$34,Rechnungsjournal!$G$5:$G$34,$A9,Rechnungsjournal!$B$5:$B$34,"&gt;="&amp;DATE(2026,11,1),Rechnungsjournal!$B$5:$B$34,"&lt;"&amp;DATE(2026,12,1)))</f>
        <v/>
      </c>
      <c r="I9" s="27" t="str">
        <f aca="false">IF(COUNTIFS(Rechnungsjournal!$G$5:$G$34,$A9,Rechnungsjournal!$B$5:$B$34,"&gt;="&amp;DATE(2026,12,1),Rechnungsjournal!$B$5:$B$34,"&lt;"&amp;DATE(2027,1,1))=0,"",SUMIFS(Rechnungsjournal!$N$5:$N$34,Rechnungsjournal!$G$5:$G$34,$A9,Rechnungsjournal!$B$5:$B$34,"&gt;="&amp;DATE(2026,12,1),Rechnungsjournal!$B$5:$B$34,"&lt;"&amp;DATE(2027,1,1)))</f>
        <v/>
      </c>
      <c r="J9" s="28" t="n">
        <f aca="false">SUM(B9:I9)</f>
        <v>17.85</v>
      </c>
    </row>
    <row r="10" customFormat="false" ht="15" hidden="false" customHeight="false" outlineLevel="0" collapsed="false">
      <c r="A10" s="26" t="s">
        <v>45</v>
      </c>
      <c r="B10" s="31"/>
      <c r="C10" s="31"/>
      <c r="D10" s="31"/>
      <c r="E10" s="31"/>
      <c r="F10" s="31"/>
      <c r="G10" s="31"/>
      <c r="H10" s="31"/>
      <c r="I10" s="31"/>
      <c r="J10" s="32" t="n">
        <f aca="false">SUM(B10:I10)</f>
        <v>0</v>
      </c>
    </row>
    <row r="11" customFormat="false" ht="15" hidden="false" customHeight="false" outlineLevel="0" collapsed="false">
      <c r="A11" s="26" t="s">
        <v>50</v>
      </c>
      <c r="B11" s="29" t="n">
        <f aca="false">IF(COUNTIFS(Rechnungsjournal!$G$5:$G$34,$A11,Rechnungsjournal!$B$5:$B$34,"&gt;="&amp;DATE(2026,5,1),Rechnungsjournal!$B$5:$B$34,"&lt;"&amp;DATE(2026,6,1))=0,"",SUMIFS(Rechnungsjournal!$N$5:$N$34,Rechnungsjournal!$G$5:$G$34,$A11,Rechnungsjournal!$B$5:$B$34,"&gt;="&amp;DATE(2026,5,1),Rechnungsjournal!$B$5:$B$34,"&lt;"&amp;DATE(2026,6,1)))</f>
        <v>0</v>
      </c>
      <c r="C11" s="29" t="n">
        <f aca="false">IF(COUNTIFS(Rechnungsjournal!$G$5:$G$34,$A11,Rechnungsjournal!$B$5:$B$34,"&gt;="&amp;DATE(2026,6,1),Rechnungsjournal!$B$5:$B$34,"&lt;"&amp;DATE(2026,7,1))=0,"",SUMIFS(Rechnungsjournal!$N$5:$N$34,Rechnungsjournal!$G$5:$G$34,$A11,Rechnungsjournal!$B$5:$B$34,"&gt;="&amp;DATE(2026,6,1),Rechnungsjournal!$B$5:$B$34,"&lt;"&amp;DATE(2026,7,1)))</f>
        <v>15.5</v>
      </c>
      <c r="D11" s="29" t="n">
        <f aca="false">IF(COUNTIFS(Rechnungsjournal!$G$5:$G$34,$A11,Rechnungsjournal!$B$5:$B$34,"&gt;="&amp;DATE(2026,7,1),Rechnungsjournal!$B$5:$B$34,"&lt;"&amp;DATE(2026,8,1))=0,"",SUMIFS(Rechnungsjournal!$N$5:$N$34,Rechnungsjournal!$G$5:$G$34,$A11,Rechnungsjournal!$B$5:$B$34,"&gt;="&amp;DATE(2026,7,1),Rechnungsjournal!$B$5:$B$34,"&lt;"&amp;DATE(2026,8,1)))</f>
        <v>2.5</v>
      </c>
      <c r="E11" s="29" t="n">
        <f aca="false">IF(COUNTIFS(Rechnungsjournal!$G$5:$G$34,$A11,Rechnungsjournal!$B$5:$B$34,"&gt;="&amp;DATE(2026,8,1),Rechnungsjournal!$B$5:$B$34,"&lt;"&amp;DATE(2026,9,1))=0,"",SUMIFS(Rechnungsjournal!$N$5:$N$34,Rechnungsjournal!$G$5:$G$34,$A11,Rechnungsjournal!$B$5:$B$34,"&gt;="&amp;DATE(2026,8,1),Rechnungsjournal!$B$5:$B$34,"&lt;"&amp;DATE(2026,9,1)))</f>
        <v>2.5</v>
      </c>
      <c r="F11" s="29" t="str">
        <f aca="false">IF(COUNTIFS(Rechnungsjournal!$G$5:$G$34,$A11,Rechnungsjournal!$B$5:$B$34,"&gt;="&amp;DATE(2026,9,1),Rechnungsjournal!$B$5:$B$34,"&lt;"&amp;DATE(2026,10,1))=0,"",SUMIFS(Rechnungsjournal!$N$5:$N$34,Rechnungsjournal!$G$5:$G$34,$A11,Rechnungsjournal!$B$5:$B$34,"&gt;="&amp;DATE(2026,9,1),Rechnungsjournal!$B$5:$B$34,"&lt;"&amp;DATE(2026,10,1)))</f>
        <v/>
      </c>
      <c r="G11" s="29" t="str">
        <f aca="false">IF(COUNTIFS(Rechnungsjournal!$G$5:$G$34,$A11,Rechnungsjournal!$B$5:$B$34,"&gt;="&amp;DATE(2026,10,1),Rechnungsjournal!$B$5:$B$34,"&lt;"&amp;DATE(2026,11,1))=0,"",SUMIFS(Rechnungsjournal!$N$5:$N$34,Rechnungsjournal!$G$5:$G$34,$A11,Rechnungsjournal!$B$5:$B$34,"&gt;="&amp;DATE(2026,10,1),Rechnungsjournal!$B$5:$B$34,"&lt;"&amp;DATE(2026,11,1)))</f>
        <v/>
      </c>
      <c r="H11" s="29" t="str">
        <f aca="false">IF(COUNTIFS(Rechnungsjournal!$G$5:$G$34,$A11,Rechnungsjournal!$B$5:$B$34,"&gt;="&amp;DATE(2026,11,1),Rechnungsjournal!$B$5:$B$34,"&lt;"&amp;DATE(2026,12,1))=0,"",SUMIFS(Rechnungsjournal!$N$5:$N$34,Rechnungsjournal!$G$5:$G$34,$A11,Rechnungsjournal!$B$5:$B$34,"&gt;="&amp;DATE(2026,11,1),Rechnungsjournal!$B$5:$B$34,"&lt;"&amp;DATE(2026,12,1)))</f>
        <v/>
      </c>
      <c r="I11" s="29" t="str">
        <f aca="false">IF(COUNTIFS(Rechnungsjournal!$G$5:$G$34,$A11,Rechnungsjournal!$B$5:$B$34,"&gt;="&amp;DATE(2026,12,1),Rechnungsjournal!$B$5:$B$34,"&lt;"&amp;DATE(2027,1,1))=0,"",SUMIFS(Rechnungsjournal!$N$5:$N$34,Rechnungsjournal!$G$5:$G$34,$A11,Rechnungsjournal!$B$5:$B$34,"&gt;="&amp;DATE(2026,12,1),Rechnungsjournal!$B$5:$B$34,"&lt;"&amp;DATE(2027,1,1)))</f>
        <v/>
      </c>
      <c r="J11" s="30" t="n">
        <f aca="false">SUM(B11:I11)</f>
        <v>20.5</v>
      </c>
    </row>
    <row r="12" customFormat="false" ht="15" hidden="false" customHeight="false" outlineLevel="0" collapsed="false">
      <c r="A12" s="26" t="s">
        <v>56</v>
      </c>
      <c r="B12" s="31"/>
      <c r="C12" s="31"/>
      <c r="D12" s="31"/>
      <c r="E12" s="31"/>
      <c r="F12" s="31"/>
      <c r="G12" s="31"/>
      <c r="H12" s="31"/>
      <c r="I12" s="31"/>
      <c r="J12" s="32" t="n">
        <f aca="false">SUM(B12:I12)</f>
        <v>0</v>
      </c>
    </row>
    <row r="13" customFormat="false" ht="15" hidden="false" customHeight="false" outlineLevel="0" collapsed="false">
      <c r="A13" s="26" t="s">
        <v>59</v>
      </c>
      <c r="B13" s="31"/>
      <c r="C13" s="31"/>
      <c r="D13" s="31"/>
      <c r="E13" s="31"/>
      <c r="F13" s="31"/>
      <c r="G13" s="31"/>
      <c r="H13" s="31"/>
      <c r="I13" s="31"/>
      <c r="J13" s="32" t="n">
        <f aca="false">SUM(B13:I13)</f>
        <v>0</v>
      </c>
    </row>
    <row r="14" customFormat="false" ht="15" hidden="false" customHeight="false" outlineLevel="0" collapsed="false">
      <c r="A14" s="26" t="s">
        <v>64</v>
      </c>
      <c r="B14" s="31"/>
      <c r="C14" s="31"/>
      <c r="D14" s="31"/>
      <c r="E14" s="31"/>
      <c r="F14" s="31"/>
      <c r="G14" s="31"/>
      <c r="H14" s="31"/>
      <c r="I14" s="31"/>
      <c r="J14" s="32" t="n">
        <f aca="false">SUM(B14:I14)</f>
        <v>0</v>
      </c>
    </row>
    <row r="16" customFormat="false" ht="15" hidden="false" customHeight="false" outlineLevel="0" collapsed="false">
      <c r="A16" s="13" t="s">
        <v>215</v>
      </c>
      <c r="B16" s="15" t="n">
        <f aca="false">IF(B5="",0,B5)+IF(B6="",0,B6)+IF(B7="",0,B7)+IF(B9="",0,B9)</f>
        <v>48.8</v>
      </c>
      <c r="C16" s="15" t="n">
        <f aca="false">IF(C5="",0,C5)+IF(C6="",0,C6)+IF(C7="",0,C7)+IF(C9="",0,C9)</f>
        <v>91.62</v>
      </c>
      <c r="D16" s="15" t="n">
        <f aca="false">IF(D5="",0,D5)+IF(D6="",0,D6)+IF(D7="",0,D7)+IF(D9="",0,D9)</f>
        <v>78.1</v>
      </c>
      <c r="E16" s="15" t="n">
        <f aca="false">IF(E5="",0,E5)+IF(E6="",0,E6)+IF(E7="",0,E7)+IF(E9="",0,E9)</f>
        <v>131.18</v>
      </c>
      <c r="F16" s="15" t="n">
        <f aca="false">IF(F5="",0,F5)+IF(F6="",0,F6)+IF(F7="",0,F7)+IF(F9="",0,F9)</f>
        <v>0</v>
      </c>
      <c r="G16" s="15" t="n">
        <f aca="false">IF(G5="",0,G5)+IF(G6="",0,G6)+IF(G7="",0,G7)+IF(G9="",0,G9)</f>
        <v>0</v>
      </c>
      <c r="H16" s="15" t="n">
        <f aca="false">IF(H5="",0,H5)+IF(H6="",0,H6)+IF(H7="",0,H7)+IF(H9="",0,H9)</f>
        <v>0</v>
      </c>
      <c r="I16" s="15" t="n">
        <f aca="false">IF(I5="",0,I5)+IF(I6="",0,I6)+IF(I7="",0,I7)+IF(I9="",0,I9)</f>
        <v>0</v>
      </c>
      <c r="J16" s="33"/>
    </row>
    <row r="17" customFormat="false" ht="15" hidden="false" customHeight="false" outlineLevel="0" collapsed="false">
      <c r="A17" s="13" t="s">
        <v>216</v>
      </c>
      <c r="B17" s="16" t="n">
        <f aca="false">IF(B8="",0,B8)+IF(B11="",0,B11)</f>
        <v>22</v>
      </c>
      <c r="C17" s="16" t="n">
        <f aca="false">IF(C8="",0,C8)+IF(C11="",0,C11)</f>
        <v>15.5</v>
      </c>
      <c r="D17" s="16" t="n">
        <f aca="false">IF(D8="",0,D8)+IF(D11="",0,D11)</f>
        <v>2.5</v>
      </c>
      <c r="E17" s="16" t="n">
        <f aca="false">IF(E8="",0,E8)+IF(E11="",0,E11)</f>
        <v>24.5</v>
      </c>
      <c r="F17" s="16" t="n">
        <f aca="false">IF(F8="",0,F8)+IF(F11="",0,F11)</f>
        <v>0</v>
      </c>
      <c r="G17" s="16" t="n">
        <f aca="false">IF(G8="",0,G8)+IF(G11="",0,G11)</f>
        <v>0</v>
      </c>
      <c r="H17" s="16" t="n">
        <f aca="false">IF(H8="",0,H8)+IF(H11="",0,H11)</f>
        <v>0</v>
      </c>
      <c r="I17" s="16" t="n">
        <f aca="false">IF(I8="",0,I8)+IF(I11="",0,I11)</f>
        <v>0</v>
      </c>
      <c r="J17" s="33"/>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3"/>
    <col collapsed="false" customWidth="true" hidden="false" outlineLevel="0" max="6" min="4" style="0" width="15"/>
    <col collapsed="false" customWidth="true" hidden="false" outlineLevel="0" max="7" min="7" style="0" width="30"/>
  </cols>
  <sheetData>
    <row r="1" customFormat="false" ht="17.35" hidden="false" customHeight="false" outlineLevel="0" collapsed="false">
      <c r="A1" s="34" t="s">
        <v>217</v>
      </c>
    </row>
    <row r="2" customFormat="false" ht="15" hidden="false" customHeight="true" outlineLevel="0" collapsed="false">
      <c r="A2" s="35" t="s">
        <v>218</v>
      </c>
      <c r="B2" s="35"/>
      <c r="C2" s="35"/>
      <c r="D2" s="35"/>
      <c r="E2" s="35"/>
      <c r="F2" s="35"/>
      <c r="G2" s="35"/>
    </row>
    <row r="3" customFormat="false" ht="15" hidden="false" customHeight="false" outlineLevel="0" collapsed="false">
      <c r="A3" s="35"/>
      <c r="B3" s="35"/>
      <c r="C3" s="35"/>
      <c r="D3" s="35"/>
      <c r="E3" s="35"/>
      <c r="F3" s="35"/>
      <c r="G3" s="35"/>
    </row>
    <row r="5" customFormat="false" ht="15" hidden="false" customHeight="false" outlineLevel="0" collapsed="false">
      <c r="A5" s="36" t="s">
        <v>219</v>
      </c>
    </row>
    <row r="6" customFormat="false" ht="15" hidden="false" customHeight="false" outlineLevel="0" collapsed="false">
      <c r="A6" s="23" t="s">
        <v>220</v>
      </c>
      <c r="B6" s="23" t="s">
        <v>221</v>
      </c>
      <c r="C6" s="23" t="s">
        <v>222</v>
      </c>
      <c r="D6" s="23" t="s">
        <v>223</v>
      </c>
      <c r="E6" s="23"/>
      <c r="F6" s="23"/>
      <c r="G6" s="23"/>
    </row>
    <row r="7" customFormat="false" ht="128.35" hidden="false" customHeight="true" outlineLevel="0" collapsed="false">
      <c r="A7" s="26" t="s">
        <v>224</v>
      </c>
      <c r="B7" s="37" t="n">
        <v>2.5</v>
      </c>
      <c r="C7" s="26" t="s">
        <v>225</v>
      </c>
      <c r="D7" s="38" t="s">
        <v>226</v>
      </c>
      <c r="E7" s="38"/>
      <c r="F7" s="38"/>
      <c r="G7" s="38"/>
    </row>
    <row r="8" customFormat="false" ht="26.85" hidden="false" customHeight="true" outlineLevel="0" collapsed="false">
      <c r="A8" s="26" t="s">
        <v>227</v>
      </c>
      <c r="B8" s="37" t="n">
        <v>0.86</v>
      </c>
      <c r="C8" s="26" t="s">
        <v>228</v>
      </c>
      <c r="D8" s="38" t="s">
        <v>229</v>
      </c>
      <c r="E8" s="38"/>
      <c r="F8" s="38"/>
      <c r="G8" s="38"/>
    </row>
    <row r="9" customFormat="false" ht="64.9" hidden="false" customHeight="true" outlineLevel="0" collapsed="false">
      <c r="A9" s="26" t="s">
        <v>230</v>
      </c>
      <c r="B9" s="39" t="n">
        <v>0.015</v>
      </c>
      <c r="C9" s="26" t="s">
        <v>231</v>
      </c>
      <c r="D9" s="38" t="s">
        <v>232</v>
      </c>
      <c r="E9" s="38"/>
      <c r="F9" s="38"/>
      <c r="G9" s="38"/>
    </row>
    <row r="10" customFormat="false" ht="15" hidden="false" customHeight="true" outlineLevel="0" collapsed="false">
      <c r="A10" s="26" t="s">
        <v>233</v>
      </c>
      <c r="B10" s="37" t="n">
        <v>0.25</v>
      </c>
      <c r="C10" s="26" t="s">
        <v>234</v>
      </c>
      <c r="D10" s="38" t="s">
        <v>235</v>
      </c>
      <c r="E10" s="38"/>
      <c r="F10" s="38"/>
      <c r="G10" s="38"/>
    </row>
    <row r="11" customFormat="false" ht="15" hidden="false" customHeight="true" outlineLevel="0" collapsed="false">
      <c r="A11" s="26" t="s">
        <v>236</v>
      </c>
      <c r="B11" s="40" t="n">
        <v>29</v>
      </c>
      <c r="C11" s="26" t="s">
        <v>237</v>
      </c>
      <c r="D11" s="38" t="s">
        <v>238</v>
      </c>
      <c r="E11" s="38"/>
      <c r="F11" s="38"/>
      <c r="G11" s="38"/>
    </row>
    <row r="12" customFormat="false" ht="15" hidden="false" customHeight="true" outlineLevel="0" collapsed="false">
      <c r="A12" s="26" t="s">
        <v>239</v>
      </c>
      <c r="B12" s="40" t="n">
        <v>49</v>
      </c>
      <c r="C12" s="26" t="s">
        <v>237</v>
      </c>
      <c r="D12" s="38" t="s">
        <v>238</v>
      </c>
      <c r="E12" s="38"/>
      <c r="F12" s="38"/>
      <c r="G12" s="38"/>
    </row>
    <row r="13" customFormat="false" ht="26.85" hidden="false" customHeight="true" outlineLevel="0" collapsed="false">
      <c r="A13" s="26" t="s">
        <v>240</v>
      </c>
      <c r="B13" s="40" t="n">
        <v>25</v>
      </c>
      <c r="C13" s="26" t="s">
        <v>241</v>
      </c>
      <c r="D13" s="38" t="s">
        <v>242</v>
      </c>
      <c r="E13" s="38"/>
      <c r="F13" s="38"/>
      <c r="G13" s="38"/>
    </row>
    <row r="14" customFormat="false" ht="39.55" hidden="false" customHeight="true" outlineLevel="0" collapsed="false">
      <c r="A14" s="26" t="s">
        <v>243</v>
      </c>
      <c r="B14" s="40" t="n">
        <v>25000</v>
      </c>
      <c r="C14" s="26" t="s">
        <v>244</v>
      </c>
      <c r="D14" s="38" t="s">
        <v>245</v>
      </c>
      <c r="E14" s="38"/>
      <c r="F14" s="38"/>
      <c r="G14" s="38"/>
    </row>
    <row r="15" customFormat="false" ht="15" hidden="false" customHeight="true" outlineLevel="0" collapsed="false">
      <c r="A15" s="26" t="s">
        <v>246</v>
      </c>
      <c r="B15" s="40" t="n">
        <v>100000</v>
      </c>
      <c r="C15" s="26" t="s">
        <v>244</v>
      </c>
      <c r="D15" s="38" t="s">
        <v>247</v>
      </c>
      <c r="E15" s="38"/>
      <c r="F15" s="38"/>
      <c r="G15" s="38"/>
    </row>
    <row r="17" customFormat="false" ht="15" hidden="false" customHeight="false" outlineLevel="0" collapsed="false">
      <c r="A17" s="36" t="s">
        <v>248</v>
      </c>
    </row>
    <row r="18" customFormat="false" ht="15" hidden="false" customHeight="false" outlineLevel="0" collapsed="false">
      <c r="A18" s="23" t="s">
        <v>2</v>
      </c>
      <c r="B18" s="23" t="s">
        <v>249</v>
      </c>
      <c r="C18" s="23" t="s">
        <v>4</v>
      </c>
      <c r="D18" s="23" t="s">
        <v>250</v>
      </c>
      <c r="E18" s="23" t="s">
        <v>251</v>
      </c>
      <c r="F18" s="23"/>
      <c r="G18" s="23"/>
    </row>
    <row r="19" customFormat="false" ht="77.6" hidden="false" customHeight="true" outlineLevel="0" collapsed="false">
      <c r="A19" s="26" t="s">
        <v>11</v>
      </c>
      <c r="B19" s="41" t="n">
        <v>50</v>
      </c>
      <c r="C19" s="26" t="s">
        <v>13</v>
      </c>
      <c r="D19" s="42" t="n">
        <f aca="false">IF(C19="USD",B19*$B$8,B19)</f>
        <v>43</v>
      </c>
      <c r="E19" s="35" t="s">
        <v>252</v>
      </c>
      <c r="F19" s="35"/>
      <c r="G19" s="35"/>
    </row>
    <row r="20" customFormat="false" ht="26.85" hidden="false" customHeight="true" outlineLevel="0" collapsed="false">
      <c r="A20" s="26" t="s">
        <v>19</v>
      </c>
      <c r="B20" s="41" t="n">
        <v>23.8</v>
      </c>
      <c r="C20" s="26" t="s">
        <v>13</v>
      </c>
      <c r="D20" s="42" t="n">
        <f aca="false">IF(C20="USD",B20*$B$8,B20)</f>
        <v>20.468</v>
      </c>
      <c r="E20" s="35" t="s">
        <v>253</v>
      </c>
      <c r="F20" s="35"/>
      <c r="G20" s="35"/>
    </row>
    <row r="21" customFormat="false" ht="39.55" hidden="false" customHeight="true" outlineLevel="0" collapsed="false">
      <c r="A21" s="43" t="s">
        <v>26</v>
      </c>
      <c r="B21" s="44" t="n">
        <v>53.55</v>
      </c>
      <c r="C21" s="43" t="s">
        <v>13</v>
      </c>
      <c r="D21" s="45" t="n">
        <f aca="false">IF(C21="USD",B21*$B$8,B21)</f>
        <v>46.053</v>
      </c>
      <c r="E21" s="46" t="s">
        <v>254</v>
      </c>
      <c r="F21" s="46"/>
      <c r="G21" s="46"/>
    </row>
    <row r="22" customFormat="false" ht="26.85" hidden="false" customHeight="true" outlineLevel="0" collapsed="false">
      <c r="A22" s="26" t="s">
        <v>33</v>
      </c>
      <c r="B22" s="47" t="n">
        <v>22</v>
      </c>
      <c r="C22" s="26" t="s">
        <v>35</v>
      </c>
      <c r="D22" s="42" t="n">
        <f aca="false">IF(C22="USD",B22*$B$8,B22)</f>
        <v>22</v>
      </c>
      <c r="E22" s="35" t="s">
        <v>255</v>
      </c>
      <c r="F22" s="35"/>
      <c r="G22" s="35"/>
    </row>
    <row r="23" customFormat="false" ht="26.85" hidden="false" customHeight="true" outlineLevel="0" collapsed="false">
      <c r="A23" s="26" t="s">
        <v>256</v>
      </c>
      <c r="B23" s="48" t="n">
        <f aca="false">2.5+13/12</f>
        <v>3.58333333333333</v>
      </c>
      <c r="C23" s="26" t="s">
        <v>35</v>
      </c>
      <c r="D23" s="42" t="n">
        <f aca="false">IF(C23="USD",B23*$B$8,B23)</f>
        <v>3.58333333333333</v>
      </c>
      <c r="E23" s="35" t="s">
        <v>257</v>
      </c>
      <c r="F23" s="35"/>
      <c r="G23" s="35"/>
    </row>
    <row r="24" customFormat="false" ht="52.2" hidden="false" customHeight="true" outlineLevel="0" collapsed="false">
      <c r="A24" s="49" t="s">
        <v>258</v>
      </c>
      <c r="B24" s="50" t="n">
        <v>0</v>
      </c>
      <c r="C24" s="49" t="s">
        <v>35</v>
      </c>
      <c r="D24" s="51" t="n">
        <f aca="false">IF(C24="USD",B24*$B$8,B24)</f>
        <v>0</v>
      </c>
      <c r="E24" s="52" t="s">
        <v>259</v>
      </c>
      <c r="F24" s="52"/>
      <c r="G24" s="52"/>
    </row>
    <row r="25" customFormat="false" ht="15" hidden="false" customHeight="false" outlineLevel="0" collapsed="false">
      <c r="A25" s="13" t="s">
        <v>260</v>
      </c>
      <c r="B25" s="14"/>
      <c r="C25" s="14"/>
      <c r="D25" s="16" t="n">
        <f aca="false">SUM(D19:D24)</f>
        <v>135.104333333333</v>
      </c>
      <c r="E25" s="14"/>
      <c r="F25" s="14"/>
      <c r="G25" s="14"/>
    </row>
    <row r="26" customFormat="false" ht="15" hidden="false" customHeight="false" outlineLevel="0" collapsed="false">
      <c r="A26" s="53" t="s">
        <v>261</v>
      </c>
      <c r="D26" s="54" t="n">
        <f aca="false">D25-D21</f>
        <v>89.0513333333333</v>
      </c>
    </row>
    <row r="28" customFormat="false" ht="39.55" hidden="false" customHeight="true" outlineLevel="0" collapsed="false">
      <c r="A28" s="35" t="s">
        <v>262</v>
      </c>
      <c r="B28" s="35"/>
      <c r="C28" s="35"/>
      <c r="D28" s="35"/>
      <c r="E28" s="35"/>
      <c r="F28" s="35"/>
      <c r="G28" s="35"/>
    </row>
    <row r="30" customFormat="false" ht="15" hidden="false" customHeight="false" outlineLevel="0" collapsed="false">
      <c r="A30" s="36" t="s">
        <v>263</v>
      </c>
    </row>
    <row r="31" customFormat="false" ht="15" hidden="false" customHeight="false" outlineLevel="0" collapsed="false">
      <c r="A31" s="2" t="s">
        <v>264</v>
      </c>
      <c r="B31" s="2"/>
      <c r="C31" s="2"/>
      <c r="D31" s="2"/>
      <c r="E31" s="2"/>
      <c r="F31" s="2"/>
      <c r="G31" s="2"/>
    </row>
    <row r="32" customFormat="false" ht="39.55" hidden="false" customHeight="false" outlineLevel="0" collapsed="false">
      <c r="A32" s="3" t="s">
        <v>265</v>
      </c>
      <c r="B32" s="3" t="s">
        <v>266</v>
      </c>
      <c r="C32" s="3" t="s">
        <v>267</v>
      </c>
      <c r="D32" s="3" t="s">
        <v>268</v>
      </c>
      <c r="E32" s="3" t="s">
        <v>269</v>
      </c>
      <c r="F32" s="3" t="s">
        <v>270</v>
      </c>
      <c r="G32" s="3" t="s">
        <v>271</v>
      </c>
    </row>
    <row r="33" customFormat="false" ht="15" hidden="false" customHeight="false" outlineLevel="0" collapsed="false">
      <c r="A33" s="40" t="n">
        <v>3</v>
      </c>
      <c r="B33" s="48" t="n">
        <f aca="false">A33*$B$7/100</f>
        <v>0.075</v>
      </c>
      <c r="C33" s="48" t="n">
        <f aca="false">$B$11*$B$9+$B$10</f>
        <v>0.685</v>
      </c>
      <c r="D33" s="30" t="n">
        <f aca="false">$B$11-B33-C33</f>
        <v>28.24</v>
      </c>
      <c r="E33" s="48" t="n">
        <f aca="false">$B$12*$B$9+$B$10</f>
        <v>0.985</v>
      </c>
      <c r="F33" s="30" t="n">
        <f aca="false">$B$12-B33-E33</f>
        <v>47.94</v>
      </c>
      <c r="G33" s="55" t="s">
        <v>272</v>
      </c>
    </row>
    <row r="34" customFormat="false" ht="26.85" hidden="false" customHeight="false" outlineLevel="0" collapsed="false">
      <c r="A34" s="40" t="n">
        <v>5</v>
      </c>
      <c r="B34" s="48" t="n">
        <f aca="false">A34*$B$7/100</f>
        <v>0.125</v>
      </c>
      <c r="C34" s="48" t="n">
        <f aca="false">$B$11*$B$9+$B$10</f>
        <v>0.685</v>
      </c>
      <c r="D34" s="30" t="n">
        <f aca="false">$B$11-B34-C34</f>
        <v>28.19</v>
      </c>
      <c r="E34" s="48" t="n">
        <f aca="false">$B$12*$B$9+$B$10</f>
        <v>0.985</v>
      </c>
      <c r="F34" s="30" t="n">
        <f aca="false">$B$12-B34-E34</f>
        <v>47.89</v>
      </c>
      <c r="G34" s="55" t="s">
        <v>273</v>
      </c>
    </row>
    <row r="35" customFormat="false" ht="15" hidden="false" customHeight="false" outlineLevel="0" collapsed="false">
      <c r="A35" s="40" t="n">
        <v>8</v>
      </c>
      <c r="B35" s="48" t="n">
        <f aca="false">A35*$B$7/100</f>
        <v>0.2</v>
      </c>
      <c r="C35" s="48" t="n">
        <f aca="false">$B$11*$B$9+$B$10</f>
        <v>0.685</v>
      </c>
      <c r="D35" s="30" t="n">
        <f aca="false">$B$11-B35-C35</f>
        <v>28.115</v>
      </c>
      <c r="E35" s="48" t="n">
        <f aca="false">$B$12*$B$9+$B$10</f>
        <v>0.985</v>
      </c>
      <c r="F35" s="30" t="n">
        <f aca="false">$B$12-B35-E35</f>
        <v>47.815</v>
      </c>
      <c r="G35" s="55" t="s">
        <v>274</v>
      </c>
    </row>
    <row r="36" customFormat="false" ht="39.55" hidden="false" customHeight="false" outlineLevel="0" collapsed="false">
      <c r="A36" s="40" t="n">
        <v>40</v>
      </c>
      <c r="B36" s="48" t="n">
        <f aca="false">A36*$B$7/100</f>
        <v>1</v>
      </c>
      <c r="C36" s="48" t="n">
        <f aca="false">$B$11*$B$9+$B$10</f>
        <v>0.685</v>
      </c>
      <c r="D36" s="30" t="n">
        <f aca="false">$B$11-B36-C36</f>
        <v>27.315</v>
      </c>
      <c r="E36" s="48" t="n">
        <f aca="false">$B$12*$B$9+$B$10</f>
        <v>0.985</v>
      </c>
      <c r="F36" s="30" t="n">
        <f aca="false">$B$12-B36-E36</f>
        <v>47.015</v>
      </c>
      <c r="G36" s="55" t="s">
        <v>275</v>
      </c>
    </row>
    <row r="38" customFormat="false" ht="15" hidden="false" customHeight="false" outlineLevel="0" collapsed="false">
      <c r="A38" s="36" t="s">
        <v>276</v>
      </c>
    </row>
    <row r="39" customFormat="false" ht="15" hidden="false" customHeight="false" outlineLevel="0" collapsed="false">
      <c r="A39" s="2" t="s">
        <v>277</v>
      </c>
      <c r="B39" s="2"/>
      <c r="C39" s="2"/>
      <c r="D39" s="2"/>
      <c r="E39" s="2"/>
      <c r="F39" s="2"/>
      <c r="G39" s="2"/>
    </row>
    <row r="41" customFormat="false" ht="15" hidden="false" customHeight="false" outlineLevel="0" collapsed="false">
      <c r="A41" s="56" t="s">
        <v>260</v>
      </c>
      <c r="B41" s="57" t="n">
        <f aca="false">D25</f>
        <v>135.104333333333</v>
      </c>
    </row>
    <row r="42" customFormat="false" ht="15" hidden="false" customHeight="false" outlineLevel="0" collapsed="false">
      <c r="A42" s="56" t="s">
        <v>278</v>
      </c>
      <c r="B42" s="57" t="n">
        <f aca="false">D34</f>
        <v>28.19</v>
      </c>
    </row>
    <row r="43" customFormat="false" ht="15" hidden="false" customHeight="false" outlineLevel="0" collapsed="false">
      <c r="A43" s="56" t="s">
        <v>279</v>
      </c>
      <c r="B43" s="57" t="n">
        <f aca="false">F34</f>
        <v>47.89</v>
      </c>
    </row>
    <row r="44" customFormat="false" ht="15" hidden="false" customHeight="false" outlineLevel="0" collapsed="false">
      <c r="A44" s="56" t="s">
        <v>280</v>
      </c>
      <c r="B44" s="58" t="n">
        <f aca="false">$B$13*B42</f>
        <v>704.75</v>
      </c>
    </row>
    <row r="45" customFormat="false" ht="15" hidden="false" customHeight="false" outlineLevel="0" collapsed="false">
      <c r="A45" s="56" t="s">
        <v>281</v>
      </c>
      <c r="B45" s="36" t="str">
        <f aca="false">IF(B44&gt;=B41,"Ja","Nein")</f>
        <v>Ja</v>
      </c>
    </row>
    <row r="46" customFormat="false" ht="15" hidden="false" customHeight="false" outlineLevel="0" collapsed="false">
      <c r="A46" s="56" t="s">
        <v>282</v>
      </c>
      <c r="B46" s="59" t="n">
        <f aca="false">ROUNDUP(B41/B42,0)</f>
        <v>5</v>
      </c>
    </row>
    <row r="47" customFormat="false" ht="15" hidden="false" customHeight="false" outlineLevel="0" collapsed="false">
      <c r="A47" s="56" t="s">
        <v>283</v>
      </c>
      <c r="B47" s="56" t="n">
        <f aca="false">IF(B44&gt;=B41,0,ROUNDUP((B41-B44)/B43,0))</f>
        <v>0</v>
      </c>
    </row>
    <row r="48" customFormat="false" ht="15" hidden="false" customHeight="false" outlineLevel="0" collapsed="false">
      <c r="A48" s="13" t="s">
        <v>284</v>
      </c>
      <c r="B48" s="13" t="n">
        <f aca="false">$B$13+B47</f>
        <v>25</v>
      </c>
    </row>
    <row r="49" customFormat="false" ht="39.55" hidden="false" customHeight="true" outlineLevel="0" collapsed="false">
      <c r="A49" s="35" t="s">
        <v>285</v>
      </c>
      <c r="B49" s="35"/>
      <c r="C49" s="35"/>
      <c r="D49" s="35"/>
      <c r="E49" s="35"/>
      <c r="F49" s="35"/>
      <c r="G49" s="35"/>
    </row>
    <row r="51" customFormat="false" ht="15" hidden="false" customHeight="false" outlineLevel="0" collapsed="false">
      <c r="A51" s="2" t="s">
        <v>286</v>
      </c>
      <c r="B51" s="2"/>
      <c r="C51" s="2"/>
      <c r="D51" s="2"/>
      <c r="E51" s="2"/>
      <c r="F51" s="2"/>
      <c r="G51" s="2"/>
    </row>
    <row r="52" customFormat="false" ht="15" hidden="false" customHeight="false" outlineLevel="0" collapsed="false">
      <c r="A52" s="56" t="s">
        <v>287</v>
      </c>
      <c r="B52" s="57" t="n">
        <f aca="false">F36</f>
        <v>47.015</v>
      </c>
    </row>
    <row r="53" customFormat="false" ht="15" hidden="false" customHeight="false" outlineLevel="0" collapsed="false">
      <c r="A53" s="56" t="s">
        <v>288</v>
      </c>
      <c r="B53" s="57" t="n">
        <f aca="false">D36</f>
        <v>27.315</v>
      </c>
    </row>
    <row r="54" customFormat="false" ht="15" hidden="false" customHeight="false" outlineLevel="0" collapsed="false">
      <c r="A54" s="36" t="s">
        <v>289</v>
      </c>
      <c r="B54" s="36" t="str">
        <f aca="false">IF(AND(B52&gt;0,B53&gt;0),"Ja, beide Deckungsbeiträge bleiben positiv","Nein, mind. ein Deckungsbeitrag wird negativ — bitte prüfen")</f>
        <v>Ja, beide Deckungsbeiträge bleiben positiv</v>
      </c>
    </row>
    <row r="56" customFormat="false" ht="39.55" hidden="false" customHeight="true" outlineLevel="0" collapsed="false">
      <c r="A56" s="35" t="s">
        <v>290</v>
      </c>
      <c r="B56" s="35"/>
      <c r="C56" s="35"/>
      <c r="D56" s="35"/>
      <c r="E56" s="35"/>
      <c r="F56" s="35"/>
      <c r="G56" s="35"/>
    </row>
  </sheetData>
  <mergeCells count="24">
    <mergeCell ref="A2:G3"/>
    <mergeCell ref="D6:G6"/>
    <mergeCell ref="D7:G7"/>
    <mergeCell ref="D8:G8"/>
    <mergeCell ref="D9:G9"/>
    <mergeCell ref="D10:G10"/>
    <mergeCell ref="D11:G11"/>
    <mergeCell ref="D12:G12"/>
    <mergeCell ref="D13:G13"/>
    <mergeCell ref="D14:G14"/>
    <mergeCell ref="D15:G15"/>
    <mergeCell ref="E18:G18"/>
    <mergeCell ref="E19:G19"/>
    <mergeCell ref="E20:G20"/>
    <mergeCell ref="E21:G21"/>
    <mergeCell ref="E22:G22"/>
    <mergeCell ref="E23:G23"/>
    <mergeCell ref="E24:G24"/>
    <mergeCell ref="A28:G28"/>
    <mergeCell ref="A31:G31"/>
    <mergeCell ref="A39:G39"/>
    <mergeCell ref="A49:G49"/>
    <mergeCell ref="A51:G51"/>
    <mergeCell ref="A56:G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16"/>
    <col collapsed="false" customWidth="true" hidden="false" outlineLevel="0" max="5" min="4" style="0" width="12"/>
    <col collapsed="false" customWidth="true" hidden="false" outlineLevel="0" max="6" min="6" style="0" width="16"/>
    <col collapsed="false" customWidth="true" hidden="false" outlineLevel="0" max="7" min="7" style="0" width="20"/>
    <col collapsed="false" customWidth="true" hidden="false" outlineLevel="0" max="9" min="8" style="0" width="14"/>
  </cols>
  <sheetData>
    <row r="1" customFormat="false" ht="17.35" hidden="false" customHeight="false" outlineLevel="0" collapsed="false">
      <c r="A1" s="34" t="s">
        <v>291</v>
      </c>
    </row>
    <row r="2" customFormat="false" ht="15" hidden="false" customHeight="true" outlineLevel="0" collapsed="false">
      <c r="A2" s="35" t="s">
        <v>292</v>
      </c>
      <c r="B2" s="35"/>
      <c r="C2" s="35"/>
      <c r="D2" s="35"/>
      <c r="E2" s="35"/>
      <c r="F2" s="35"/>
      <c r="G2" s="35"/>
      <c r="H2" s="35"/>
      <c r="I2" s="35"/>
    </row>
    <row r="3" customFormat="false" ht="15" hidden="false" customHeight="false" outlineLevel="0" collapsed="false">
      <c r="A3" s="35"/>
      <c r="B3" s="35"/>
      <c r="C3" s="35"/>
      <c r="D3" s="35"/>
      <c r="E3" s="35"/>
      <c r="F3" s="35"/>
      <c r="G3" s="35"/>
      <c r="H3" s="35"/>
      <c r="I3" s="35"/>
    </row>
    <row r="4" customFormat="false" ht="15" hidden="false" customHeight="false" outlineLevel="0" collapsed="false">
      <c r="A4" s="35"/>
      <c r="B4" s="35"/>
      <c r="C4" s="35"/>
      <c r="D4" s="35"/>
      <c r="E4" s="35"/>
      <c r="F4" s="35"/>
      <c r="G4" s="35"/>
      <c r="H4" s="35"/>
      <c r="I4" s="35"/>
    </row>
    <row r="6" customFormat="false" ht="15" hidden="false" customHeight="false" outlineLevel="0" collapsed="false">
      <c r="A6" s="36" t="s">
        <v>293</v>
      </c>
    </row>
    <row r="7" customFormat="false" ht="15" hidden="false" customHeight="false" outlineLevel="0" collapsed="false">
      <c r="A7" s="23" t="s">
        <v>294</v>
      </c>
      <c r="B7" s="23" t="s">
        <v>295</v>
      </c>
      <c r="C7" s="23" t="s">
        <v>296</v>
      </c>
      <c r="D7" s="23"/>
      <c r="E7" s="23"/>
      <c r="F7" s="23"/>
      <c r="G7" s="23"/>
      <c r="H7" s="23"/>
      <c r="I7" s="23"/>
    </row>
    <row r="8" customFormat="false" ht="15" hidden="false" customHeight="true" outlineLevel="0" collapsed="false">
      <c r="A8" s="26" t="s">
        <v>297</v>
      </c>
      <c r="B8" s="37" t="n">
        <v>2</v>
      </c>
      <c r="C8" s="38" t="s">
        <v>298</v>
      </c>
      <c r="D8" s="38"/>
      <c r="E8" s="38"/>
      <c r="F8" s="38"/>
      <c r="G8" s="38"/>
      <c r="H8" s="38"/>
      <c r="I8" s="38"/>
    </row>
    <row r="9" customFormat="false" ht="26.85" hidden="false" customHeight="true" outlineLevel="0" collapsed="false">
      <c r="A9" s="26" t="s">
        <v>299</v>
      </c>
      <c r="B9" s="37" t="n">
        <v>4</v>
      </c>
      <c r="C9" s="38" t="s">
        <v>300</v>
      </c>
      <c r="D9" s="38"/>
      <c r="E9" s="38"/>
      <c r="F9" s="38"/>
      <c r="G9" s="38"/>
      <c r="H9" s="38"/>
      <c r="I9" s="38"/>
    </row>
    <row r="10" customFormat="false" ht="15" hidden="false" customHeight="true" outlineLevel="0" collapsed="false">
      <c r="A10" s="26" t="s">
        <v>301</v>
      </c>
      <c r="B10" s="37" t="n">
        <v>8</v>
      </c>
      <c r="C10" s="38" t="s">
        <v>302</v>
      </c>
      <c r="D10" s="38"/>
      <c r="E10" s="38"/>
      <c r="F10" s="38"/>
      <c r="G10" s="38"/>
      <c r="H10" s="38"/>
      <c r="I10" s="38"/>
    </row>
    <row r="12" customFormat="false" ht="39.55" hidden="false" customHeight="true" outlineLevel="0" collapsed="false">
      <c r="A12" s="35" t="s">
        <v>303</v>
      </c>
      <c r="B12" s="35"/>
      <c r="C12" s="35"/>
      <c r="D12" s="35"/>
      <c r="E12" s="35"/>
      <c r="F12" s="35"/>
      <c r="G12" s="35"/>
      <c r="H12" s="35"/>
      <c r="I12" s="35"/>
    </row>
    <row r="14" customFormat="false" ht="15" hidden="false" customHeight="false" outlineLevel="0" collapsed="false">
      <c r="A14" s="36" t="s">
        <v>304</v>
      </c>
    </row>
    <row r="15" customFormat="false" ht="52.2" hidden="false" customHeight="false" outlineLevel="0" collapsed="false">
      <c r="A15" s="3" t="s">
        <v>294</v>
      </c>
      <c r="B15" s="3" t="s">
        <v>305</v>
      </c>
      <c r="C15" s="3" t="s">
        <v>306</v>
      </c>
    </row>
    <row r="16" customFormat="false" ht="15" hidden="false" customHeight="false" outlineLevel="0" collapsed="false">
      <c r="A16" s="13" t="s">
        <v>297</v>
      </c>
      <c r="B16" s="13" t="n">
        <f aca="false">IFERROR(INDEX(A25:A60,MATCH(1,H25:H60,0)),"&gt; 36 Monate (nicht erreicht)")</f>
        <v>35</v>
      </c>
      <c r="C16" s="13" t="str">
        <f aca="false">IFERROR(INDEX(A25:A60,MATCH(1,I25:I60,0)),"&gt; 36 Monate (nicht erreicht)")</f>
        <v>&gt; 36 Monate (nicht erreicht)</v>
      </c>
    </row>
    <row r="17" customFormat="false" ht="15" hidden="false" customHeight="false" outlineLevel="0" collapsed="false">
      <c r="A17" s="13" t="s">
        <v>299</v>
      </c>
      <c r="B17" s="13" t="n">
        <f aca="false">IFERROR(INDEX(A65:A100,MATCH(1,H65:H100,0)),"&gt; 36 Monate (nicht erreicht)")</f>
        <v>21</v>
      </c>
      <c r="C17" s="13" t="str">
        <f aca="false">IFERROR(INDEX(A65:A100,MATCH(1,I65:I100,0)),"&gt; 36 Monate (nicht erreicht)")</f>
        <v>&gt; 36 Monate (nicht erreicht)</v>
      </c>
    </row>
    <row r="18" customFormat="false" ht="15" hidden="false" customHeight="false" outlineLevel="0" collapsed="false">
      <c r="A18" s="13" t="s">
        <v>301</v>
      </c>
      <c r="B18" s="13" t="n">
        <f aca="false">IFERROR(INDEX(A105:A140,MATCH(1,H105:H140,0)),"&gt; 36 Monate (nicht erreicht)")</f>
        <v>12</v>
      </c>
      <c r="C18" s="13" t="n">
        <f aca="false">IFERROR(INDEX(A105:A140,MATCH(1,I105:I140,0)),"&gt; 36 Monate (nicht erreicht)")</f>
        <v>34</v>
      </c>
    </row>
    <row r="21" customFormat="false" ht="39.55" hidden="false" customHeight="true" outlineLevel="0" collapsed="false">
      <c r="A21" s="35" t="s">
        <v>307</v>
      </c>
      <c r="B21" s="35"/>
      <c r="C21" s="35"/>
      <c r="D21" s="35"/>
      <c r="E21" s="35"/>
      <c r="F21" s="35"/>
      <c r="G21" s="35"/>
      <c r="H21" s="35"/>
      <c r="I21" s="35"/>
    </row>
    <row r="23" customFormat="false" ht="15" hidden="false" customHeight="false" outlineLevel="0" collapsed="false">
      <c r="A23" s="36" t="s">
        <v>308</v>
      </c>
    </row>
    <row r="24" customFormat="false" ht="39.55" hidden="false" customHeight="false" outlineLevel="0" collapsed="false">
      <c r="A24" s="3" t="s">
        <v>309</v>
      </c>
      <c r="B24" s="3" t="s">
        <v>310</v>
      </c>
      <c r="C24" s="3" t="s">
        <v>311</v>
      </c>
      <c r="D24" s="3" t="s">
        <v>312</v>
      </c>
      <c r="E24" s="3" t="s">
        <v>313</v>
      </c>
      <c r="F24" s="3" t="s">
        <v>314</v>
      </c>
      <c r="G24" s="3" t="s">
        <v>315</v>
      </c>
      <c r="H24" s="3" t="s">
        <v>316</v>
      </c>
      <c r="I24" s="3" t="s">
        <v>317</v>
      </c>
    </row>
    <row r="25" customFormat="false" ht="15" hidden="false" customHeight="false" outlineLevel="0" collapsed="false">
      <c r="A25" s="26" t="n">
        <v>1</v>
      </c>
      <c r="B25" s="60" t="n">
        <f aca="false">$B$8</f>
        <v>2</v>
      </c>
      <c r="C25" s="60" t="n">
        <f aca="false">B25</f>
        <v>2</v>
      </c>
      <c r="D25" s="61" t="n">
        <f aca="false">MIN(C25,'Marge &amp; Tragfähigkeit'!$B$13)</f>
        <v>2</v>
      </c>
      <c r="E25" s="61" t="n">
        <f aca="false">MAX(C25-'Marge &amp; Tragfähigkeit'!$B$13,0)</f>
        <v>0</v>
      </c>
      <c r="F25" s="42" t="n">
        <f aca="false">D25*'Marge &amp; Tragfähigkeit'!$B$11+E25*'Marge &amp; Tragfähigkeit'!$B$12</f>
        <v>58</v>
      </c>
      <c r="G25" s="48" t="n">
        <f aca="false">F25</f>
        <v>58</v>
      </c>
      <c r="H25" s="61" t="n">
        <f aca="false">IF(G25&gt;'Marge &amp; Tragfähigkeit'!$B$14,1,0)</f>
        <v>0</v>
      </c>
      <c r="I25" s="61" t="n">
        <f aca="false">IF(G25&gt;'Marge &amp; Tragfähigkeit'!$B$15,1,0)</f>
        <v>0</v>
      </c>
    </row>
    <row r="26" customFormat="false" ht="15" hidden="false" customHeight="false" outlineLevel="0" collapsed="false">
      <c r="A26" s="26" t="n">
        <v>2</v>
      </c>
      <c r="B26" s="60" t="n">
        <f aca="false">$B$8</f>
        <v>2</v>
      </c>
      <c r="C26" s="60" t="n">
        <f aca="false">C25+B26</f>
        <v>4</v>
      </c>
      <c r="D26" s="61" t="n">
        <f aca="false">MIN(C26,'Marge &amp; Tragfähigkeit'!$B$13)</f>
        <v>4</v>
      </c>
      <c r="E26" s="61" t="n">
        <f aca="false">MAX(C26-'Marge &amp; Tragfähigkeit'!$B$13,0)</f>
        <v>0</v>
      </c>
      <c r="F26" s="42" t="n">
        <f aca="false">D26*'Marge &amp; Tragfähigkeit'!$B$11+E26*'Marge &amp; Tragfähigkeit'!$B$12</f>
        <v>116</v>
      </c>
      <c r="G26" s="48" t="n">
        <f aca="false">IF(MOD(A26-1,12)=0,F26,G25+F26)</f>
        <v>174</v>
      </c>
      <c r="H26" s="61" t="n">
        <f aca="false">IF(G26&gt;'Marge &amp; Tragfähigkeit'!$B$14,1,0)</f>
        <v>0</v>
      </c>
      <c r="I26" s="61" t="n">
        <f aca="false">IF(G26&gt;'Marge &amp; Tragfähigkeit'!$B$15,1,0)</f>
        <v>0</v>
      </c>
    </row>
    <row r="27" customFormat="false" ht="15" hidden="false" customHeight="false" outlineLevel="0" collapsed="false">
      <c r="A27" s="26" t="n">
        <v>3</v>
      </c>
      <c r="B27" s="60" t="n">
        <f aca="false">$B$8</f>
        <v>2</v>
      </c>
      <c r="C27" s="60" t="n">
        <f aca="false">C26+B27</f>
        <v>6</v>
      </c>
      <c r="D27" s="61" t="n">
        <f aca="false">MIN(C27,'Marge &amp; Tragfähigkeit'!$B$13)</f>
        <v>6</v>
      </c>
      <c r="E27" s="61" t="n">
        <f aca="false">MAX(C27-'Marge &amp; Tragfähigkeit'!$B$13,0)</f>
        <v>0</v>
      </c>
      <c r="F27" s="42" t="n">
        <f aca="false">D27*'Marge &amp; Tragfähigkeit'!$B$11+E27*'Marge &amp; Tragfähigkeit'!$B$12</f>
        <v>174</v>
      </c>
      <c r="G27" s="48" t="n">
        <f aca="false">IF(MOD(A27-1,12)=0,F27,G26+F27)</f>
        <v>348</v>
      </c>
      <c r="H27" s="61" t="n">
        <f aca="false">IF(G27&gt;'Marge &amp; Tragfähigkeit'!$B$14,1,0)</f>
        <v>0</v>
      </c>
      <c r="I27" s="61" t="n">
        <f aca="false">IF(G27&gt;'Marge &amp; Tragfähigkeit'!$B$15,1,0)</f>
        <v>0</v>
      </c>
    </row>
    <row r="28" customFormat="false" ht="15" hidden="false" customHeight="false" outlineLevel="0" collapsed="false">
      <c r="A28" s="26" t="n">
        <v>4</v>
      </c>
      <c r="B28" s="60" t="n">
        <f aca="false">$B$8</f>
        <v>2</v>
      </c>
      <c r="C28" s="60" t="n">
        <f aca="false">C27+B28</f>
        <v>8</v>
      </c>
      <c r="D28" s="61" t="n">
        <f aca="false">MIN(C28,'Marge &amp; Tragfähigkeit'!$B$13)</f>
        <v>8</v>
      </c>
      <c r="E28" s="61" t="n">
        <f aca="false">MAX(C28-'Marge &amp; Tragfähigkeit'!$B$13,0)</f>
        <v>0</v>
      </c>
      <c r="F28" s="42" t="n">
        <f aca="false">D28*'Marge &amp; Tragfähigkeit'!$B$11+E28*'Marge &amp; Tragfähigkeit'!$B$12</f>
        <v>232</v>
      </c>
      <c r="G28" s="48" t="n">
        <f aca="false">IF(MOD(A28-1,12)=0,F28,G27+F28)</f>
        <v>580</v>
      </c>
      <c r="H28" s="61" t="n">
        <f aca="false">IF(G28&gt;'Marge &amp; Tragfähigkeit'!$B$14,1,0)</f>
        <v>0</v>
      </c>
      <c r="I28" s="61" t="n">
        <f aca="false">IF(G28&gt;'Marge &amp; Tragfähigkeit'!$B$15,1,0)</f>
        <v>0</v>
      </c>
    </row>
    <row r="29" customFormat="false" ht="15" hidden="false" customHeight="false" outlineLevel="0" collapsed="false">
      <c r="A29" s="26" t="n">
        <v>5</v>
      </c>
      <c r="B29" s="60" t="n">
        <f aca="false">$B$8</f>
        <v>2</v>
      </c>
      <c r="C29" s="60" t="n">
        <f aca="false">C28+B29</f>
        <v>10</v>
      </c>
      <c r="D29" s="61" t="n">
        <f aca="false">MIN(C29,'Marge &amp; Tragfähigkeit'!$B$13)</f>
        <v>10</v>
      </c>
      <c r="E29" s="61" t="n">
        <f aca="false">MAX(C29-'Marge &amp; Tragfähigkeit'!$B$13,0)</f>
        <v>0</v>
      </c>
      <c r="F29" s="42" t="n">
        <f aca="false">D29*'Marge &amp; Tragfähigkeit'!$B$11+E29*'Marge &amp; Tragfähigkeit'!$B$12</f>
        <v>290</v>
      </c>
      <c r="G29" s="48" t="n">
        <f aca="false">IF(MOD(A29-1,12)=0,F29,G28+F29)</f>
        <v>870</v>
      </c>
      <c r="H29" s="61" t="n">
        <f aca="false">IF(G29&gt;'Marge &amp; Tragfähigkeit'!$B$14,1,0)</f>
        <v>0</v>
      </c>
      <c r="I29" s="61" t="n">
        <f aca="false">IF(G29&gt;'Marge &amp; Tragfähigkeit'!$B$15,1,0)</f>
        <v>0</v>
      </c>
    </row>
    <row r="30" customFormat="false" ht="15" hidden="false" customHeight="false" outlineLevel="0" collapsed="false">
      <c r="A30" s="26" t="n">
        <v>6</v>
      </c>
      <c r="B30" s="60" t="n">
        <f aca="false">$B$8</f>
        <v>2</v>
      </c>
      <c r="C30" s="60" t="n">
        <f aca="false">C29+B30</f>
        <v>12</v>
      </c>
      <c r="D30" s="61" t="n">
        <f aca="false">MIN(C30,'Marge &amp; Tragfähigkeit'!$B$13)</f>
        <v>12</v>
      </c>
      <c r="E30" s="61" t="n">
        <f aca="false">MAX(C30-'Marge &amp; Tragfähigkeit'!$B$13,0)</f>
        <v>0</v>
      </c>
      <c r="F30" s="42" t="n">
        <f aca="false">D30*'Marge &amp; Tragfähigkeit'!$B$11+E30*'Marge &amp; Tragfähigkeit'!$B$12</f>
        <v>348</v>
      </c>
      <c r="G30" s="48" t="n">
        <f aca="false">IF(MOD(A30-1,12)=0,F30,G29+F30)</f>
        <v>1218</v>
      </c>
      <c r="H30" s="61" t="n">
        <f aca="false">IF(G30&gt;'Marge &amp; Tragfähigkeit'!$B$14,1,0)</f>
        <v>0</v>
      </c>
      <c r="I30" s="61" t="n">
        <f aca="false">IF(G30&gt;'Marge &amp; Tragfähigkeit'!$B$15,1,0)</f>
        <v>0</v>
      </c>
    </row>
    <row r="31" customFormat="false" ht="15" hidden="false" customHeight="false" outlineLevel="0" collapsed="false">
      <c r="A31" s="26" t="n">
        <v>7</v>
      </c>
      <c r="B31" s="60" t="n">
        <f aca="false">$B$8</f>
        <v>2</v>
      </c>
      <c r="C31" s="60" t="n">
        <f aca="false">C30+B31</f>
        <v>14</v>
      </c>
      <c r="D31" s="61" t="n">
        <f aca="false">MIN(C31,'Marge &amp; Tragfähigkeit'!$B$13)</f>
        <v>14</v>
      </c>
      <c r="E31" s="61" t="n">
        <f aca="false">MAX(C31-'Marge &amp; Tragfähigkeit'!$B$13,0)</f>
        <v>0</v>
      </c>
      <c r="F31" s="42" t="n">
        <f aca="false">D31*'Marge &amp; Tragfähigkeit'!$B$11+E31*'Marge &amp; Tragfähigkeit'!$B$12</f>
        <v>406</v>
      </c>
      <c r="G31" s="48" t="n">
        <f aca="false">IF(MOD(A31-1,12)=0,F31,G30+F31)</f>
        <v>1624</v>
      </c>
      <c r="H31" s="61" t="n">
        <f aca="false">IF(G31&gt;'Marge &amp; Tragfähigkeit'!$B$14,1,0)</f>
        <v>0</v>
      </c>
      <c r="I31" s="61" t="n">
        <f aca="false">IF(G31&gt;'Marge &amp; Tragfähigkeit'!$B$15,1,0)</f>
        <v>0</v>
      </c>
    </row>
    <row r="32" customFormat="false" ht="15" hidden="false" customHeight="false" outlineLevel="0" collapsed="false">
      <c r="A32" s="26" t="n">
        <v>8</v>
      </c>
      <c r="B32" s="60" t="n">
        <f aca="false">$B$8</f>
        <v>2</v>
      </c>
      <c r="C32" s="60" t="n">
        <f aca="false">C31+B32</f>
        <v>16</v>
      </c>
      <c r="D32" s="61" t="n">
        <f aca="false">MIN(C32,'Marge &amp; Tragfähigkeit'!$B$13)</f>
        <v>16</v>
      </c>
      <c r="E32" s="61" t="n">
        <f aca="false">MAX(C32-'Marge &amp; Tragfähigkeit'!$B$13,0)</f>
        <v>0</v>
      </c>
      <c r="F32" s="42" t="n">
        <f aca="false">D32*'Marge &amp; Tragfähigkeit'!$B$11+E32*'Marge &amp; Tragfähigkeit'!$B$12</f>
        <v>464</v>
      </c>
      <c r="G32" s="48" t="n">
        <f aca="false">IF(MOD(A32-1,12)=0,F32,G31+F32)</f>
        <v>2088</v>
      </c>
      <c r="H32" s="61" t="n">
        <f aca="false">IF(G32&gt;'Marge &amp; Tragfähigkeit'!$B$14,1,0)</f>
        <v>0</v>
      </c>
      <c r="I32" s="61" t="n">
        <f aca="false">IF(G32&gt;'Marge &amp; Tragfähigkeit'!$B$15,1,0)</f>
        <v>0</v>
      </c>
    </row>
    <row r="33" customFormat="false" ht="15" hidden="false" customHeight="false" outlineLevel="0" collapsed="false">
      <c r="A33" s="26" t="n">
        <v>9</v>
      </c>
      <c r="B33" s="60" t="n">
        <f aca="false">$B$8</f>
        <v>2</v>
      </c>
      <c r="C33" s="60" t="n">
        <f aca="false">C32+B33</f>
        <v>18</v>
      </c>
      <c r="D33" s="61" t="n">
        <f aca="false">MIN(C33,'Marge &amp; Tragfähigkeit'!$B$13)</f>
        <v>18</v>
      </c>
      <c r="E33" s="61" t="n">
        <f aca="false">MAX(C33-'Marge &amp; Tragfähigkeit'!$B$13,0)</f>
        <v>0</v>
      </c>
      <c r="F33" s="42" t="n">
        <f aca="false">D33*'Marge &amp; Tragfähigkeit'!$B$11+E33*'Marge &amp; Tragfähigkeit'!$B$12</f>
        <v>522</v>
      </c>
      <c r="G33" s="48" t="n">
        <f aca="false">IF(MOD(A33-1,12)=0,F33,G32+F33)</f>
        <v>2610</v>
      </c>
      <c r="H33" s="61" t="n">
        <f aca="false">IF(G33&gt;'Marge &amp; Tragfähigkeit'!$B$14,1,0)</f>
        <v>0</v>
      </c>
      <c r="I33" s="61" t="n">
        <f aca="false">IF(G33&gt;'Marge &amp; Tragfähigkeit'!$B$15,1,0)</f>
        <v>0</v>
      </c>
    </row>
    <row r="34" customFormat="false" ht="15" hidden="false" customHeight="false" outlineLevel="0" collapsed="false">
      <c r="A34" s="26" t="n">
        <v>10</v>
      </c>
      <c r="B34" s="60" t="n">
        <f aca="false">$B$8</f>
        <v>2</v>
      </c>
      <c r="C34" s="60" t="n">
        <f aca="false">C33+B34</f>
        <v>20</v>
      </c>
      <c r="D34" s="61" t="n">
        <f aca="false">MIN(C34,'Marge &amp; Tragfähigkeit'!$B$13)</f>
        <v>20</v>
      </c>
      <c r="E34" s="61" t="n">
        <f aca="false">MAX(C34-'Marge &amp; Tragfähigkeit'!$B$13,0)</f>
        <v>0</v>
      </c>
      <c r="F34" s="42" t="n">
        <f aca="false">D34*'Marge &amp; Tragfähigkeit'!$B$11+E34*'Marge &amp; Tragfähigkeit'!$B$12</f>
        <v>580</v>
      </c>
      <c r="G34" s="48" t="n">
        <f aca="false">IF(MOD(A34-1,12)=0,F34,G33+F34)</f>
        <v>3190</v>
      </c>
      <c r="H34" s="61" t="n">
        <f aca="false">IF(G34&gt;'Marge &amp; Tragfähigkeit'!$B$14,1,0)</f>
        <v>0</v>
      </c>
      <c r="I34" s="61" t="n">
        <f aca="false">IF(G34&gt;'Marge &amp; Tragfähigkeit'!$B$15,1,0)</f>
        <v>0</v>
      </c>
    </row>
    <row r="35" customFormat="false" ht="15" hidden="false" customHeight="false" outlineLevel="0" collapsed="false">
      <c r="A35" s="26" t="n">
        <v>11</v>
      </c>
      <c r="B35" s="60" t="n">
        <f aca="false">$B$8</f>
        <v>2</v>
      </c>
      <c r="C35" s="60" t="n">
        <f aca="false">C34+B35</f>
        <v>22</v>
      </c>
      <c r="D35" s="61" t="n">
        <f aca="false">MIN(C35,'Marge &amp; Tragfähigkeit'!$B$13)</f>
        <v>22</v>
      </c>
      <c r="E35" s="61" t="n">
        <f aca="false">MAX(C35-'Marge &amp; Tragfähigkeit'!$B$13,0)</f>
        <v>0</v>
      </c>
      <c r="F35" s="42" t="n">
        <f aca="false">D35*'Marge &amp; Tragfähigkeit'!$B$11+E35*'Marge &amp; Tragfähigkeit'!$B$12</f>
        <v>638</v>
      </c>
      <c r="G35" s="48" t="n">
        <f aca="false">IF(MOD(A35-1,12)=0,F35,G34+F35)</f>
        <v>3828</v>
      </c>
      <c r="H35" s="61" t="n">
        <f aca="false">IF(G35&gt;'Marge &amp; Tragfähigkeit'!$B$14,1,0)</f>
        <v>0</v>
      </c>
      <c r="I35" s="61" t="n">
        <f aca="false">IF(G35&gt;'Marge &amp; Tragfähigkeit'!$B$15,1,0)</f>
        <v>0</v>
      </c>
    </row>
    <row r="36" customFormat="false" ht="15" hidden="false" customHeight="false" outlineLevel="0" collapsed="false">
      <c r="A36" s="26" t="n">
        <v>12</v>
      </c>
      <c r="B36" s="60" t="n">
        <f aca="false">$B$8</f>
        <v>2</v>
      </c>
      <c r="C36" s="60" t="n">
        <f aca="false">C35+B36</f>
        <v>24</v>
      </c>
      <c r="D36" s="61" t="n">
        <f aca="false">MIN(C36,'Marge &amp; Tragfähigkeit'!$B$13)</f>
        <v>24</v>
      </c>
      <c r="E36" s="61" t="n">
        <f aca="false">MAX(C36-'Marge &amp; Tragfähigkeit'!$B$13,0)</f>
        <v>0</v>
      </c>
      <c r="F36" s="42" t="n">
        <f aca="false">D36*'Marge &amp; Tragfähigkeit'!$B$11+E36*'Marge &amp; Tragfähigkeit'!$B$12</f>
        <v>696</v>
      </c>
      <c r="G36" s="48" t="n">
        <f aca="false">IF(MOD(A36-1,12)=0,F36,G35+F36)</f>
        <v>4524</v>
      </c>
      <c r="H36" s="61" t="n">
        <f aca="false">IF(G36&gt;'Marge &amp; Tragfähigkeit'!$B$14,1,0)</f>
        <v>0</v>
      </c>
      <c r="I36" s="61" t="n">
        <f aca="false">IF(G36&gt;'Marge &amp; Tragfähigkeit'!$B$15,1,0)</f>
        <v>0</v>
      </c>
    </row>
    <row r="37" customFormat="false" ht="15" hidden="false" customHeight="false" outlineLevel="0" collapsed="false">
      <c r="A37" s="26" t="n">
        <v>13</v>
      </c>
      <c r="B37" s="60" t="n">
        <f aca="false">$B$8</f>
        <v>2</v>
      </c>
      <c r="C37" s="60" t="n">
        <f aca="false">C36+B37</f>
        <v>26</v>
      </c>
      <c r="D37" s="61" t="n">
        <f aca="false">MIN(C37,'Marge &amp; Tragfähigkeit'!$B$13)</f>
        <v>25</v>
      </c>
      <c r="E37" s="61" t="n">
        <f aca="false">MAX(C37-'Marge &amp; Tragfähigkeit'!$B$13,0)</f>
        <v>1</v>
      </c>
      <c r="F37" s="42" t="n">
        <f aca="false">D37*'Marge &amp; Tragfähigkeit'!$B$11+E37*'Marge &amp; Tragfähigkeit'!$B$12</f>
        <v>774</v>
      </c>
      <c r="G37" s="48" t="n">
        <f aca="false">IF(MOD(A37-1,12)=0,F37,G36+F37)</f>
        <v>774</v>
      </c>
      <c r="H37" s="61" t="n">
        <f aca="false">IF(G37&gt;'Marge &amp; Tragfähigkeit'!$B$14,1,0)</f>
        <v>0</v>
      </c>
      <c r="I37" s="61" t="n">
        <f aca="false">IF(G37&gt;'Marge &amp; Tragfähigkeit'!$B$15,1,0)</f>
        <v>0</v>
      </c>
    </row>
    <row r="38" customFormat="false" ht="15" hidden="false" customHeight="false" outlineLevel="0" collapsed="false">
      <c r="A38" s="26" t="n">
        <v>14</v>
      </c>
      <c r="B38" s="60" t="n">
        <f aca="false">$B$8</f>
        <v>2</v>
      </c>
      <c r="C38" s="60" t="n">
        <f aca="false">C37+B38</f>
        <v>28</v>
      </c>
      <c r="D38" s="61" t="n">
        <f aca="false">MIN(C38,'Marge &amp; Tragfähigkeit'!$B$13)</f>
        <v>25</v>
      </c>
      <c r="E38" s="61" t="n">
        <f aca="false">MAX(C38-'Marge &amp; Tragfähigkeit'!$B$13,0)</f>
        <v>3</v>
      </c>
      <c r="F38" s="42" t="n">
        <f aca="false">D38*'Marge &amp; Tragfähigkeit'!$B$11+E38*'Marge &amp; Tragfähigkeit'!$B$12</f>
        <v>872</v>
      </c>
      <c r="G38" s="48" t="n">
        <f aca="false">IF(MOD(A38-1,12)=0,F38,G37+F38)</f>
        <v>1646</v>
      </c>
      <c r="H38" s="61" t="n">
        <f aca="false">IF(G38&gt;'Marge &amp; Tragfähigkeit'!$B$14,1,0)</f>
        <v>0</v>
      </c>
      <c r="I38" s="61" t="n">
        <f aca="false">IF(G38&gt;'Marge &amp; Tragfähigkeit'!$B$15,1,0)</f>
        <v>0</v>
      </c>
    </row>
    <row r="39" customFormat="false" ht="15" hidden="false" customHeight="false" outlineLevel="0" collapsed="false">
      <c r="A39" s="26" t="n">
        <v>15</v>
      </c>
      <c r="B39" s="60" t="n">
        <f aca="false">$B$8</f>
        <v>2</v>
      </c>
      <c r="C39" s="60" t="n">
        <f aca="false">C38+B39</f>
        <v>30</v>
      </c>
      <c r="D39" s="61" t="n">
        <f aca="false">MIN(C39,'Marge &amp; Tragfähigkeit'!$B$13)</f>
        <v>25</v>
      </c>
      <c r="E39" s="61" t="n">
        <f aca="false">MAX(C39-'Marge &amp; Tragfähigkeit'!$B$13,0)</f>
        <v>5</v>
      </c>
      <c r="F39" s="42" t="n">
        <f aca="false">D39*'Marge &amp; Tragfähigkeit'!$B$11+E39*'Marge &amp; Tragfähigkeit'!$B$12</f>
        <v>970</v>
      </c>
      <c r="G39" s="48" t="n">
        <f aca="false">IF(MOD(A39-1,12)=0,F39,G38+F39)</f>
        <v>2616</v>
      </c>
      <c r="H39" s="61" t="n">
        <f aca="false">IF(G39&gt;'Marge &amp; Tragfähigkeit'!$B$14,1,0)</f>
        <v>0</v>
      </c>
      <c r="I39" s="61" t="n">
        <f aca="false">IF(G39&gt;'Marge &amp; Tragfähigkeit'!$B$15,1,0)</f>
        <v>0</v>
      </c>
    </row>
    <row r="40" customFormat="false" ht="15" hidden="false" customHeight="false" outlineLevel="0" collapsed="false">
      <c r="A40" s="26" t="n">
        <v>16</v>
      </c>
      <c r="B40" s="60" t="n">
        <f aca="false">$B$8</f>
        <v>2</v>
      </c>
      <c r="C40" s="60" t="n">
        <f aca="false">C39+B40</f>
        <v>32</v>
      </c>
      <c r="D40" s="61" t="n">
        <f aca="false">MIN(C40,'Marge &amp; Tragfähigkeit'!$B$13)</f>
        <v>25</v>
      </c>
      <c r="E40" s="61" t="n">
        <f aca="false">MAX(C40-'Marge &amp; Tragfähigkeit'!$B$13,0)</f>
        <v>7</v>
      </c>
      <c r="F40" s="42" t="n">
        <f aca="false">D40*'Marge &amp; Tragfähigkeit'!$B$11+E40*'Marge &amp; Tragfähigkeit'!$B$12</f>
        <v>1068</v>
      </c>
      <c r="G40" s="48" t="n">
        <f aca="false">IF(MOD(A40-1,12)=0,F40,G39+F40)</f>
        <v>3684</v>
      </c>
      <c r="H40" s="61" t="n">
        <f aca="false">IF(G40&gt;'Marge &amp; Tragfähigkeit'!$B$14,1,0)</f>
        <v>0</v>
      </c>
      <c r="I40" s="61" t="n">
        <f aca="false">IF(G40&gt;'Marge &amp; Tragfähigkeit'!$B$15,1,0)</f>
        <v>0</v>
      </c>
    </row>
    <row r="41" customFormat="false" ht="15" hidden="false" customHeight="false" outlineLevel="0" collapsed="false">
      <c r="A41" s="26" t="n">
        <v>17</v>
      </c>
      <c r="B41" s="60" t="n">
        <f aca="false">$B$8</f>
        <v>2</v>
      </c>
      <c r="C41" s="60" t="n">
        <f aca="false">C40+B41</f>
        <v>34</v>
      </c>
      <c r="D41" s="61" t="n">
        <f aca="false">MIN(C41,'Marge &amp; Tragfähigkeit'!$B$13)</f>
        <v>25</v>
      </c>
      <c r="E41" s="61" t="n">
        <f aca="false">MAX(C41-'Marge &amp; Tragfähigkeit'!$B$13,0)</f>
        <v>9</v>
      </c>
      <c r="F41" s="42" t="n">
        <f aca="false">D41*'Marge &amp; Tragfähigkeit'!$B$11+E41*'Marge &amp; Tragfähigkeit'!$B$12</f>
        <v>1166</v>
      </c>
      <c r="G41" s="48" t="n">
        <f aca="false">IF(MOD(A41-1,12)=0,F41,G40+F41)</f>
        <v>4850</v>
      </c>
      <c r="H41" s="61" t="n">
        <f aca="false">IF(G41&gt;'Marge &amp; Tragfähigkeit'!$B$14,1,0)</f>
        <v>0</v>
      </c>
      <c r="I41" s="61" t="n">
        <f aca="false">IF(G41&gt;'Marge &amp; Tragfähigkeit'!$B$15,1,0)</f>
        <v>0</v>
      </c>
    </row>
    <row r="42" customFormat="false" ht="15" hidden="false" customHeight="false" outlineLevel="0" collapsed="false">
      <c r="A42" s="26" t="n">
        <v>18</v>
      </c>
      <c r="B42" s="60" t="n">
        <f aca="false">$B$8</f>
        <v>2</v>
      </c>
      <c r="C42" s="60" t="n">
        <f aca="false">C41+B42</f>
        <v>36</v>
      </c>
      <c r="D42" s="61" t="n">
        <f aca="false">MIN(C42,'Marge &amp; Tragfähigkeit'!$B$13)</f>
        <v>25</v>
      </c>
      <c r="E42" s="61" t="n">
        <f aca="false">MAX(C42-'Marge &amp; Tragfähigkeit'!$B$13,0)</f>
        <v>11</v>
      </c>
      <c r="F42" s="42" t="n">
        <f aca="false">D42*'Marge &amp; Tragfähigkeit'!$B$11+E42*'Marge &amp; Tragfähigkeit'!$B$12</f>
        <v>1264</v>
      </c>
      <c r="G42" s="48" t="n">
        <f aca="false">IF(MOD(A42-1,12)=0,F42,G41+F42)</f>
        <v>6114</v>
      </c>
      <c r="H42" s="61" t="n">
        <f aca="false">IF(G42&gt;'Marge &amp; Tragfähigkeit'!$B$14,1,0)</f>
        <v>0</v>
      </c>
      <c r="I42" s="61" t="n">
        <f aca="false">IF(G42&gt;'Marge &amp; Tragfähigkeit'!$B$15,1,0)</f>
        <v>0</v>
      </c>
    </row>
    <row r="43" customFormat="false" ht="15" hidden="false" customHeight="false" outlineLevel="0" collapsed="false">
      <c r="A43" s="26" t="n">
        <v>19</v>
      </c>
      <c r="B43" s="60" t="n">
        <f aca="false">$B$8</f>
        <v>2</v>
      </c>
      <c r="C43" s="60" t="n">
        <f aca="false">C42+B43</f>
        <v>38</v>
      </c>
      <c r="D43" s="61" t="n">
        <f aca="false">MIN(C43,'Marge &amp; Tragfähigkeit'!$B$13)</f>
        <v>25</v>
      </c>
      <c r="E43" s="61" t="n">
        <f aca="false">MAX(C43-'Marge &amp; Tragfähigkeit'!$B$13,0)</f>
        <v>13</v>
      </c>
      <c r="F43" s="42" t="n">
        <f aca="false">D43*'Marge &amp; Tragfähigkeit'!$B$11+E43*'Marge &amp; Tragfähigkeit'!$B$12</f>
        <v>1362</v>
      </c>
      <c r="G43" s="48" t="n">
        <f aca="false">IF(MOD(A43-1,12)=0,F43,G42+F43)</f>
        <v>7476</v>
      </c>
      <c r="H43" s="61" t="n">
        <f aca="false">IF(G43&gt;'Marge &amp; Tragfähigkeit'!$B$14,1,0)</f>
        <v>0</v>
      </c>
      <c r="I43" s="61" t="n">
        <f aca="false">IF(G43&gt;'Marge &amp; Tragfähigkeit'!$B$15,1,0)</f>
        <v>0</v>
      </c>
    </row>
    <row r="44" customFormat="false" ht="15" hidden="false" customHeight="false" outlineLevel="0" collapsed="false">
      <c r="A44" s="26" t="n">
        <v>20</v>
      </c>
      <c r="B44" s="60" t="n">
        <f aca="false">$B$8</f>
        <v>2</v>
      </c>
      <c r="C44" s="60" t="n">
        <f aca="false">C43+B44</f>
        <v>40</v>
      </c>
      <c r="D44" s="61" t="n">
        <f aca="false">MIN(C44,'Marge &amp; Tragfähigkeit'!$B$13)</f>
        <v>25</v>
      </c>
      <c r="E44" s="61" t="n">
        <f aca="false">MAX(C44-'Marge &amp; Tragfähigkeit'!$B$13,0)</f>
        <v>15</v>
      </c>
      <c r="F44" s="42" t="n">
        <f aca="false">D44*'Marge &amp; Tragfähigkeit'!$B$11+E44*'Marge &amp; Tragfähigkeit'!$B$12</f>
        <v>1460</v>
      </c>
      <c r="G44" s="48" t="n">
        <f aca="false">IF(MOD(A44-1,12)=0,F44,G43+F44)</f>
        <v>8936</v>
      </c>
      <c r="H44" s="61" t="n">
        <f aca="false">IF(G44&gt;'Marge &amp; Tragfähigkeit'!$B$14,1,0)</f>
        <v>0</v>
      </c>
      <c r="I44" s="61" t="n">
        <f aca="false">IF(G44&gt;'Marge &amp; Tragfähigkeit'!$B$15,1,0)</f>
        <v>0</v>
      </c>
    </row>
    <row r="45" customFormat="false" ht="15" hidden="false" customHeight="false" outlineLevel="0" collapsed="false">
      <c r="A45" s="26" t="n">
        <v>21</v>
      </c>
      <c r="B45" s="60" t="n">
        <f aca="false">$B$8</f>
        <v>2</v>
      </c>
      <c r="C45" s="60" t="n">
        <f aca="false">C44+B45</f>
        <v>42</v>
      </c>
      <c r="D45" s="61" t="n">
        <f aca="false">MIN(C45,'Marge &amp; Tragfähigkeit'!$B$13)</f>
        <v>25</v>
      </c>
      <c r="E45" s="61" t="n">
        <f aca="false">MAX(C45-'Marge &amp; Tragfähigkeit'!$B$13,0)</f>
        <v>17</v>
      </c>
      <c r="F45" s="42" t="n">
        <f aca="false">D45*'Marge &amp; Tragfähigkeit'!$B$11+E45*'Marge &amp; Tragfähigkeit'!$B$12</f>
        <v>1558</v>
      </c>
      <c r="G45" s="48" t="n">
        <f aca="false">IF(MOD(A45-1,12)=0,F45,G44+F45)</f>
        <v>10494</v>
      </c>
      <c r="H45" s="61" t="n">
        <f aca="false">IF(G45&gt;'Marge &amp; Tragfähigkeit'!$B$14,1,0)</f>
        <v>0</v>
      </c>
      <c r="I45" s="61" t="n">
        <f aca="false">IF(G45&gt;'Marge &amp; Tragfähigkeit'!$B$15,1,0)</f>
        <v>0</v>
      </c>
    </row>
    <row r="46" customFormat="false" ht="15" hidden="false" customHeight="false" outlineLevel="0" collapsed="false">
      <c r="A46" s="26" t="n">
        <v>22</v>
      </c>
      <c r="B46" s="60" t="n">
        <f aca="false">$B$8</f>
        <v>2</v>
      </c>
      <c r="C46" s="60" t="n">
        <f aca="false">C45+B46</f>
        <v>44</v>
      </c>
      <c r="D46" s="61" t="n">
        <f aca="false">MIN(C46,'Marge &amp; Tragfähigkeit'!$B$13)</f>
        <v>25</v>
      </c>
      <c r="E46" s="61" t="n">
        <f aca="false">MAX(C46-'Marge &amp; Tragfähigkeit'!$B$13,0)</f>
        <v>19</v>
      </c>
      <c r="F46" s="42" t="n">
        <f aca="false">D46*'Marge &amp; Tragfähigkeit'!$B$11+E46*'Marge &amp; Tragfähigkeit'!$B$12</f>
        <v>1656</v>
      </c>
      <c r="G46" s="48" t="n">
        <f aca="false">IF(MOD(A46-1,12)=0,F46,G45+F46)</f>
        <v>12150</v>
      </c>
      <c r="H46" s="61" t="n">
        <f aca="false">IF(G46&gt;'Marge &amp; Tragfähigkeit'!$B$14,1,0)</f>
        <v>0</v>
      </c>
      <c r="I46" s="61" t="n">
        <f aca="false">IF(G46&gt;'Marge &amp; Tragfähigkeit'!$B$15,1,0)</f>
        <v>0</v>
      </c>
    </row>
    <row r="47" customFormat="false" ht="15" hidden="false" customHeight="false" outlineLevel="0" collapsed="false">
      <c r="A47" s="26" t="n">
        <v>23</v>
      </c>
      <c r="B47" s="60" t="n">
        <f aca="false">$B$8</f>
        <v>2</v>
      </c>
      <c r="C47" s="60" t="n">
        <f aca="false">C46+B47</f>
        <v>46</v>
      </c>
      <c r="D47" s="61" t="n">
        <f aca="false">MIN(C47,'Marge &amp; Tragfähigkeit'!$B$13)</f>
        <v>25</v>
      </c>
      <c r="E47" s="61" t="n">
        <f aca="false">MAX(C47-'Marge &amp; Tragfähigkeit'!$B$13,0)</f>
        <v>21</v>
      </c>
      <c r="F47" s="42" t="n">
        <f aca="false">D47*'Marge &amp; Tragfähigkeit'!$B$11+E47*'Marge &amp; Tragfähigkeit'!$B$12</f>
        <v>1754</v>
      </c>
      <c r="G47" s="48" t="n">
        <f aca="false">IF(MOD(A47-1,12)=0,F47,G46+F47)</f>
        <v>13904</v>
      </c>
      <c r="H47" s="61" t="n">
        <f aca="false">IF(G47&gt;'Marge &amp; Tragfähigkeit'!$B$14,1,0)</f>
        <v>0</v>
      </c>
      <c r="I47" s="61" t="n">
        <f aca="false">IF(G47&gt;'Marge &amp; Tragfähigkeit'!$B$15,1,0)</f>
        <v>0</v>
      </c>
    </row>
    <row r="48" customFormat="false" ht="15" hidden="false" customHeight="false" outlineLevel="0" collapsed="false">
      <c r="A48" s="26" t="n">
        <v>24</v>
      </c>
      <c r="B48" s="60" t="n">
        <f aca="false">$B$8</f>
        <v>2</v>
      </c>
      <c r="C48" s="60" t="n">
        <f aca="false">C47+B48</f>
        <v>48</v>
      </c>
      <c r="D48" s="61" t="n">
        <f aca="false">MIN(C48,'Marge &amp; Tragfähigkeit'!$B$13)</f>
        <v>25</v>
      </c>
      <c r="E48" s="61" t="n">
        <f aca="false">MAX(C48-'Marge &amp; Tragfähigkeit'!$B$13,0)</f>
        <v>23</v>
      </c>
      <c r="F48" s="42" t="n">
        <f aca="false">D48*'Marge &amp; Tragfähigkeit'!$B$11+E48*'Marge &amp; Tragfähigkeit'!$B$12</f>
        <v>1852</v>
      </c>
      <c r="G48" s="48" t="n">
        <f aca="false">IF(MOD(A48-1,12)=0,F48,G47+F48)</f>
        <v>15756</v>
      </c>
      <c r="H48" s="61" t="n">
        <f aca="false">IF(G48&gt;'Marge &amp; Tragfähigkeit'!$B$14,1,0)</f>
        <v>0</v>
      </c>
      <c r="I48" s="61" t="n">
        <f aca="false">IF(G48&gt;'Marge &amp; Tragfähigkeit'!$B$15,1,0)</f>
        <v>0</v>
      </c>
    </row>
    <row r="49" customFormat="false" ht="15" hidden="false" customHeight="false" outlineLevel="0" collapsed="false">
      <c r="A49" s="26" t="n">
        <v>25</v>
      </c>
      <c r="B49" s="60" t="n">
        <f aca="false">$B$8</f>
        <v>2</v>
      </c>
      <c r="C49" s="60" t="n">
        <f aca="false">C48+B49</f>
        <v>50</v>
      </c>
      <c r="D49" s="61" t="n">
        <f aca="false">MIN(C49,'Marge &amp; Tragfähigkeit'!$B$13)</f>
        <v>25</v>
      </c>
      <c r="E49" s="61" t="n">
        <f aca="false">MAX(C49-'Marge &amp; Tragfähigkeit'!$B$13,0)</f>
        <v>25</v>
      </c>
      <c r="F49" s="42" t="n">
        <f aca="false">D49*'Marge &amp; Tragfähigkeit'!$B$11+E49*'Marge &amp; Tragfähigkeit'!$B$12</f>
        <v>1950</v>
      </c>
      <c r="G49" s="48" t="n">
        <f aca="false">IF(MOD(A49-1,12)=0,F49,G48+F49)</f>
        <v>1950</v>
      </c>
      <c r="H49" s="61" t="n">
        <f aca="false">IF(G49&gt;'Marge &amp; Tragfähigkeit'!$B$14,1,0)</f>
        <v>0</v>
      </c>
      <c r="I49" s="61" t="n">
        <f aca="false">IF(G49&gt;'Marge &amp; Tragfähigkeit'!$B$15,1,0)</f>
        <v>0</v>
      </c>
    </row>
    <row r="50" customFormat="false" ht="15" hidden="false" customHeight="false" outlineLevel="0" collapsed="false">
      <c r="A50" s="26" t="n">
        <v>26</v>
      </c>
      <c r="B50" s="60" t="n">
        <f aca="false">$B$8</f>
        <v>2</v>
      </c>
      <c r="C50" s="60" t="n">
        <f aca="false">C49+B50</f>
        <v>52</v>
      </c>
      <c r="D50" s="61" t="n">
        <f aca="false">MIN(C50,'Marge &amp; Tragfähigkeit'!$B$13)</f>
        <v>25</v>
      </c>
      <c r="E50" s="61" t="n">
        <f aca="false">MAX(C50-'Marge &amp; Tragfähigkeit'!$B$13,0)</f>
        <v>27</v>
      </c>
      <c r="F50" s="42" t="n">
        <f aca="false">D50*'Marge &amp; Tragfähigkeit'!$B$11+E50*'Marge &amp; Tragfähigkeit'!$B$12</f>
        <v>2048</v>
      </c>
      <c r="G50" s="48" t="n">
        <f aca="false">IF(MOD(A50-1,12)=0,F50,G49+F50)</f>
        <v>3998</v>
      </c>
      <c r="H50" s="61" t="n">
        <f aca="false">IF(G50&gt;'Marge &amp; Tragfähigkeit'!$B$14,1,0)</f>
        <v>0</v>
      </c>
      <c r="I50" s="61" t="n">
        <f aca="false">IF(G50&gt;'Marge &amp; Tragfähigkeit'!$B$15,1,0)</f>
        <v>0</v>
      </c>
    </row>
    <row r="51" customFormat="false" ht="15" hidden="false" customHeight="false" outlineLevel="0" collapsed="false">
      <c r="A51" s="26" t="n">
        <v>27</v>
      </c>
      <c r="B51" s="60" t="n">
        <f aca="false">$B$8</f>
        <v>2</v>
      </c>
      <c r="C51" s="60" t="n">
        <f aca="false">C50+B51</f>
        <v>54</v>
      </c>
      <c r="D51" s="61" t="n">
        <f aca="false">MIN(C51,'Marge &amp; Tragfähigkeit'!$B$13)</f>
        <v>25</v>
      </c>
      <c r="E51" s="61" t="n">
        <f aca="false">MAX(C51-'Marge &amp; Tragfähigkeit'!$B$13,0)</f>
        <v>29</v>
      </c>
      <c r="F51" s="42" t="n">
        <f aca="false">D51*'Marge &amp; Tragfähigkeit'!$B$11+E51*'Marge &amp; Tragfähigkeit'!$B$12</f>
        <v>2146</v>
      </c>
      <c r="G51" s="48" t="n">
        <f aca="false">IF(MOD(A51-1,12)=0,F51,G50+F51)</f>
        <v>6144</v>
      </c>
      <c r="H51" s="61" t="n">
        <f aca="false">IF(G51&gt;'Marge &amp; Tragfähigkeit'!$B$14,1,0)</f>
        <v>0</v>
      </c>
      <c r="I51" s="61" t="n">
        <f aca="false">IF(G51&gt;'Marge &amp; Tragfähigkeit'!$B$15,1,0)</f>
        <v>0</v>
      </c>
    </row>
    <row r="52" customFormat="false" ht="15" hidden="false" customHeight="false" outlineLevel="0" collapsed="false">
      <c r="A52" s="26" t="n">
        <v>28</v>
      </c>
      <c r="B52" s="60" t="n">
        <f aca="false">$B$8</f>
        <v>2</v>
      </c>
      <c r="C52" s="60" t="n">
        <f aca="false">C51+B52</f>
        <v>56</v>
      </c>
      <c r="D52" s="61" t="n">
        <f aca="false">MIN(C52,'Marge &amp; Tragfähigkeit'!$B$13)</f>
        <v>25</v>
      </c>
      <c r="E52" s="61" t="n">
        <f aca="false">MAX(C52-'Marge &amp; Tragfähigkeit'!$B$13,0)</f>
        <v>31</v>
      </c>
      <c r="F52" s="42" t="n">
        <f aca="false">D52*'Marge &amp; Tragfähigkeit'!$B$11+E52*'Marge &amp; Tragfähigkeit'!$B$12</f>
        <v>2244</v>
      </c>
      <c r="G52" s="48" t="n">
        <f aca="false">IF(MOD(A52-1,12)=0,F52,G51+F52)</f>
        <v>8388</v>
      </c>
      <c r="H52" s="61" t="n">
        <f aca="false">IF(G52&gt;'Marge &amp; Tragfähigkeit'!$B$14,1,0)</f>
        <v>0</v>
      </c>
      <c r="I52" s="61" t="n">
        <f aca="false">IF(G52&gt;'Marge &amp; Tragfähigkeit'!$B$15,1,0)</f>
        <v>0</v>
      </c>
    </row>
    <row r="53" customFormat="false" ht="15" hidden="false" customHeight="false" outlineLevel="0" collapsed="false">
      <c r="A53" s="26" t="n">
        <v>29</v>
      </c>
      <c r="B53" s="60" t="n">
        <f aca="false">$B$8</f>
        <v>2</v>
      </c>
      <c r="C53" s="60" t="n">
        <f aca="false">C52+B53</f>
        <v>58</v>
      </c>
      <c r="D53" s="61" t="n">
        <f aca="false">MIN(C53,'Marge &amp; Tragfähigkeit'!$B$13)</f>
        <v>25</v>
      </c>
      <c r="E53" s="61" t="n">
        <f aca="false">MAX(C53-'Marge &amp; Tragfähigkeit'!$B$13,0)</f>
        <v>33</v>
      </c>
      <c r="F53" s="42" t="n">
        <f aca="false">D53*'Marge &amp; Tragfähigkeit'!$B$11+E53*'Marge &amp; Tragfähigkeit'!$B$12</f>
        <v>2342</v>
      </c>
      <c r="G53" s="48" t="n">
        <f aca="false">IF(MOD(A53-1,12)=0,F53,G52+F53)</f>
        <v>10730</v>
      </c>
      <c r="H53" s="61" t="n">
        <f aca="false">IF(G53&gt;'Marge &amp; Tragfähigkeit'!$B$14,1,0)</f>
        <v>0</v>
      </c>
      <c r="I53" s="61" t="n">
        <f aca="false">IF(G53&gt;'Marge &amp; Tragfähigkeit'!$B$15,1,0)</f>
        <v>0</v>
      </c>
    </row>
    <row r="54" customFormat="false" ht="15" hidden="false" customHeight="false" outlineLevel="0" collapsed="false">
      <c r="A54" s="26" t="n">
        <v>30</v>
      </c>
      <c r="B54" s="60" t="n">
        <f aca="false">$B$8</f>
        <v>2</v>
      </c>
      <c r="C54" s="60" t="n">
        <f aca="false">C53+B54</f>
        <v>60</v>
      </c>
      <c r="D54" s="61" t="n">
        <f aca="false">MIN(C54,'Marge &amp; Tragfähigkeit'!$B$13)</f>
        <v>25</v>
      </c>
      <c r="E54" s="61" t="n">
        <f aca="false">MAX(C54-'Marge &amp; Tragfähigkeit'!$B$13,0)</f>
        <v>35</v>
      </c>
      <c r="F54" s="42" t="n">
        <f aca="false">D54*'Marge &amp; Tragfähigkeit'!$B$11+E54*'Marge &amp; Tragfähigkeit'!$B$12</f>
        <v>2440</v>
      </c>
      <c r="G54" s="48" t="n">
        <f aca="false">IF(MOD(A54-1,12)=0,F54,G53+F54)</f>
        <v>13170</v>
      </c>
      <c r="H54" s="61" t="n">
        <f aca="false">IF(G54&gt;'Marge &amp; Tragfähigkeit'!$B$14,1,0)</f>
        <v>0</v>
      </c>
      <c r="I54" s="61" t="n">
        <f aca="false">IF(G54&gt;'Marge &amp; Tragfähigkeit'!$B$15,1,0)</f>
        <v>0</v>
      </c>
    </row>
    <row r="55" customFormat="false" ht="15" hidden="false" customHeight="false" outlineLevel="0" collapsed="false">
      <c r="A55" s="26" t="n">
        <v>31</v>
      </c>
      <c r="B55" s="60" t="n">
        <f aca="false">$B$8</f>
        <v>2</v>
      </c>
      <c r="C55" s="60" t="n">
        <f aca="false">C54+B55</f>
        <v>62</v>
      </c>
      <c r="D55" s="61" t="n">
        <f aca="false">MIN(C55,'Marge &amp; Tragfähigkeit'!$B$13)</f>
        <v>25</v>
      </c>
      <c r="E55" s="61" t="n">
        <f aca="false">MAX(C55-'Marge &amp; Tragfähigkeit'!$B$13,0)</f>
        <v>37</v>
      </c>
      <c r="F55" s="42" t="n">
        <f aca="false">D55*'Marge &amp; Tragfähigkeit'!$B$11+E55*'Marge &amp; Tragfähigkeit'!$B$12</f>
        <v>2538</v>
      </c>
      <c r="G55" s="48" t="n">
        <f aca="false">IF(MOD(A55-1,12)=0,F55,G54+F55)</f>
        <v>15708</v>
      </c>
      <c r="H55" s="61" t="n">
        <f aca="false">IF(G55&gt;'Marge &amp; Tragfähigkeit'!$B$14,1,0)</f>
        <v>0</v>
      </c>
      <c r="I55" s="61" t="n">
        <f aca="false">IF(G55&gt;'Marge &amp; Tragfähigkeit'!$B$15,1,0)</f>
        <v>0</v>
      </c>
    </row>
    <row r="56" customFormat="false" ht="15" hidden="false" customHeight="false" outlineLevel="0" collapsed="false">
      <c r="A56" s="26" t="n">
        <v>32</v>
      </c>
      <c r="B56" s="60" t="n">
        <f aca="false">$B$8</f>
        <v>2</v>
      </c>
      <c r="C56" s="60" t="n">
        <f aca="false">C55+B56</f>
        <v>64</v>
      </c>
      <c r="D56" s="61" t="n">
        <f aca="false">MIN(C56,'Marge &amp; Tragfähigkeit'!$B$13)</f>
        <v>25</v>
      </c>
      <c r="E56" s="61" t="n">
        <f aca="false">MAX(C56-'Marge &amp; Tragfähigkeit'!$B$13,0)</f>
        <v>39</v>
      </c>
      <c r="F56" s="42" t="n">
        <f aca="false">D56*'Marge &amp; Tragfähigkeit'!$B$11+E56*'Marge &amp; Tragfähigkeit'!$B$12</f>
        <v>2636</v>
      </c>
      <c r="G56" s="48" t="n">
        <f aca="false">IF(MOD(A56-1,12)=0,F56,G55+F56)</f>
        <v>18344</v>
      </c>
      <c r="H56" s="61" t="n">
        <f aca="false">IF(G56&gt;'Marge &amp; Tragfähigkeit'!$B$14,1,0)</f>
        <v>0</v>
      </c>
      <c r="I56" s="61" t="n">
        <f aca="false">IF(G56&gt;'Marge &amp; Tragfähigkeit'!$B$15,1,0)</f>
        <v>0</v>
      </c>
    </row>
    <row r="57" customFormat="false" ht="15" hidden="false" customHeight="false" outlineLevel="0" collapsed="false">
      <c r="A57" s="26" t="n">
        <v>33</v>
      </c>
      <c r="B57" s="60" t="n">
        <f aca="false">$B$8</f>
        <v>2</v>
      </c>
      <c r="C57" s="60" t="n">
        <f aca="false">C56+B57</f>
        <v>66</v>
      </c>
      <c r="D57" s="61" t="n">
        <f aca="false">MIN(C57,'Marge &amp; Tragfähigkeit'!$B$13)</f>
        <v>25</v>
      </c>
      <c r="E57" s="61" t="n">
        <f aca="false">MAX(C57-'Marge &amp; Tragfähigkeit'!$B$13,0)</f>
        <v>41</v>
      </c>
      <c r="F57" s="42" t="n">
        <f aca="false">D57*'Marge &amp; Tragfähigkeit'!$B$11+E57*'Marge &amp; Tragfähigkeit'!$B$12</f>
        <v>2734</v>
      </c>
      <c r="G57" s="48" t="n">
        <f aca="false">IF(MOD(A57-1,12)=0,F57,G56+F57)</f>
        <v>21078</v>
      </c>
      <c r="H57" s="61" t="n">
        <f aca="false">IF(G57&gt;'Marge &amp; Tragfähigkeit'!$B$14,1,0)</f>
        <v>0</v>
      </c>
      <c r="I57" s="61" t="n">
        <f aca="false">IF(G57&gt;'Marge &amp; Tragfähigkeit'!$B$15,1,0)</f>
        <v>0</v>
      </c>
    </row>
    <row r="58" customFormat="false" ht="15" hidden="false" customHeight="false" outlineLevel="0" collapsed="false">
      <c r="A58" s="26" t="n">
        <v>34</v>
      </c>
      <c r="B58" s="60" t="n">
        <f aca="false">$B$8</f>
        <v>2</v>
      </c>
      <c r="C58" s="60" t="n">
        <f aca="false">C57+B58</f>
        <v>68</v>
      </c>
      <c r="D58" s="61" t="n">
        <f aca="false">MIN(C58,'Marge &amp; Tragfähigkeit'!$B$13)</f>
        <v>25</v>
      </c>
      <c r="E58" s="61" t="n">
        <f aca="false">MAX(C58-'Marge &amp; Tragfähigkeit'!$B$13,0)</f>
        <v>43</v>
      </c>
      <c r="F58" s="42" t="n">
        <f aca="false">D58*'Marge &amp; Tragfähigkeit'!$B$11+E58*'Marge &amp; Tragfähigkeit'!$B$12</f>
        <v>2832</v>
      </c>
      <c r="G58" s="48" t="n">
        <f aca="false">IF(MOD(A58-1,12)=0,F58,G57+F58)</f>
        <v>23910</v>
      </c>
      <c r="H58" s="61" t="n">
        <f aca="false">IF(G58&gt;'Marge &amp; Tragfähigkeit'!$B$14,1,0)</f>
        <v>0</v>
      </c>
      <c r="I58" s="61" t="n">
        <f aca="false">IF(G58&gt;'Marge &amp; Tragfähigkeit'!$B$15,1,0)</f>
        <v>0</v>
      </c>
    </row>
    <row r="59" customFormat="false" ht="15" hidden="false" customHeight="false" outlineLevel="0" collapsed="false">
      <c r="A59" s="26" t="n">
        <v>35</v>
      </c>
      <c r="B59" s="60" t="n">
        <f aca="false">$B$8</f>
        <v>2</v>
      </c>
      <c r="C59" s="60" t="n">
        <f aca="false">C58+B59</f>
        <v>70</v>
      </c>
      <c r="D59" s="61" t="n">
        <f aca="false">MIN(C59,'Marge &amp; Tragfähigkeit'!$B$13)</f>
        <v>25</v>
      </c>
      <c r="E59" s="61" t="n">
        <f aca="false">MAX(C59-'Marge &amp; Tragfähigkeit'!$B$13,0)</f>
        <v>45</v>
      </c>
      <c r="F59" s="42" t="n">
        <f aca="false">D59*'Marge &amp; Tragfähigkeit'!$B$11+E59*'Marge &amp; Tragfähigkeit'!$B$12</f>
        <v>2930</v>
      </c>
      <c r="G59" s="48" t="n">
        <f aca="false">IF(MOD(A59-1,12)=0,F59,G58+F59)</f>
        <v>26840</v>
      </c>
      <c r="H59" s="61" t="n">
        <f aca="false">IF(G59&gt;'Marge &amp; Tragfähigkeit'!$B$14,1,0)</f>
        <v>1</v>
      </c>
      <c r="I59" s="61" t="n">
        <f aca="false">IF(G59&gt;'Marge &amp; Tragfähigkeit'!$B$15,1,0)</f>
        <v>0</v>
      </c>
    </row>
    <row r="60" customFormat="false" ht="15" hidden="false" customHeight="false" outlineLevel="0" collapsed="false">
      <c r="A60" s="26" t="n">
        <v>36</v>
      </c>
      <c r="B60" s="60" t="n">
        <f aca="false">$B$8</f>
        <v>2</v>
      </c>
      <c r="C60" s="60" t="n">
        <f aca="false">C59+B60</f>
        <v>72</v>
      </c>
      <c r="D60" s="61" t="n">
        <f aca="false">MIN(C60,'Marge &amp; Tragfähigkeit'!$B$13)</f>
        <v>25</v>
      </c>
      <c r="E60" s="61" t="n">
        <f aca="false">MAX(C60-'Marge &amp; Tragfähigkeit'!$B$13,0)</f>
        <v>47</v>
      </c>
      <c r="F60" s="42" t="n">
        <f aca="false">D60*'Marge &amp; Tragfähigkeit'!$B$11+E60*'Marge &amp; Tragfähigkeit'!$B$12</f>
        <v>3028</v>
      </c>
      <c r="G60" s="48" t="n">
        <f aca="false">IF(MOD(A60-1,12)=0,F60,G59+F60)</f>
        <v>29868</v>
      </c>
      <c r="H60" s="61" t="n">
        <f aca="false">IF(G60&gt;'Marge &amp; Tragfähigkeit'!$B$14,1,0)</f>
        <v>1</v>
      </c>
      <c r="I60" s="61" t="n">
        <f aca="false">IF(G60&gt;'Marge &amp; Tragfähigkeit'!$B$15,1,0)</f>
        <v>0</v>
      </c>
    </row>
    <row r="63" customFormat="false" ht="15" hidden="false" customHeight="false" outlineLevel="0" collapsed="false">
      <c r="A63" s="36" t="s">
        <v>318</v>
      </c>
    </row>
    <row r="64" customFormat="false" ht="39.55" hidden="false" customHeight="false" outlineLevel="0" collapsed="false">
      <c r="A64" s="3" t="s">
        <v>309</v>
      </c>
      <c r="B64" s="3" t="s">
        <v>310</v>
      </c>
      <c r="C64" s="3" t="s">
        <v>311</v>
      </c>
      <c r="D64" s="3" t="s">
        <v>312</v>
      </c>
      <c r="E64" s="3" t="s">
        <v>313</v>
      </c>
      <c r="F64" s="3" t="s">
        <v>314</v>
      </c>
      <c r="G64" s="3" t="s">
        <v>315</v>
      </c>
      <c r="H64" s="3" t="s">
        <v>316</v>
      </c>
      <c r="I64" s="3" t="s">
        <v>317</v>
      </c>
    </row>
    <row r="65" customFormat="false" ht="15" hidden="false" customHeight="false" outlineLevel="0" collapsed="false">
      <c r="A65" s="26" t="n">
        <v>1</v>
      </c>
      <c r="B65" s="60" t="n">
        <f aca="false">$B$9</f>
        <v>4</v>
      </c>
      <c r="C65" s="60" t="n">
        <f aca="false">B65</f>
        <v>4</v>
      </c>
      <c r="D65" s="61" t="n">
        <f aca="false">MIN(C65,'Marge &amp; Tragfähigkeit'!$B$13)</f>
        <v>4</v>
      </c>
      <c r="E65" s="61" t="n">
        <f aca="false">MAX(C65-'Marge &amp; Tragfähigkeit'!$B$13,0)</f>
        <v>0</v>
      </c>
      <c r="F65" s="42" t="n">
        <f aca="false">D65*'Marge &amp; Tragfähigkeit'!$B$11+E65*'Marge &amp; Tragfähigkeit'!$B$12</f>
        <v>116</v>
      </c>
      <c r="G65" s="48" t="n">
        <f aca="false">F65</f>
        <v>116</v>
      </c>
      <c r="H65" s="61" t="n">
        <f aca="false">IF(G65&gt;'Marge &amp; Tragfähigkeit'!$B$14,1,0)</f>
        <v>0</v>
      </c>
      <c r="I65" s="61" t="n">
        <f aca="false">IF(G65&gt;'Marge &amp; Tragfähigkeit'!$B$15,1,0)</f>
        <v>0</v>
      </c>
    </row>
    <row r="66" customFormat="false" ht="15" hidden="false" customHeight="false" outlineLevel="0" collapsed="false">
      <c r="A66" s="26" t="n">
        <v>2</v>
      </c>
      <c r="B66" s="60" t="n">
        <f aca="false">$B$9</f>
        <v>4</v>
      </c>
      <c r="C66" s="60" t="n">
        <f aca="false">C65+B66</f>
        <v>8</v>
      </c>
      <c r="D66" s="61" t="n">
        <f aca="false">MIN(C66,'Marge &amp; Tragfähigkeit'!$B$13)</f>
        <v>8</v>
      </c>
      <c r="E66" s="61" t="n">
        <f aca="false">MAX(C66-'Marge &amp; Tragfähigkeit'!$B$13,0)</f>
        <v>0</v>
      </c>
      <c r="F66" s="42" t="n">
        <f aca="false">D66*'Marge &amp; Tragfähigkeit'!$B$11+E66*'Marge &amp; Tragfähigkeit'!$B$12</f>
        <v>232</v>
      </c>
      <c r="G66" s="48" t="n">
        <f aca="false">IF(MOD(A66-1,12)=0,F66,G65+F66)</f>
        <v>348</v>
      </c>
      <c r="H66" s="61" t="n">
        <f aca="false">IF(G66&gt;'Marge &amp; Tragfähigkeit'!$B$14,1,0)</f>
        <v>0</v>
      </c>
      <c r="I66" s="61" t="n">
        <f aca="false">IF(G66&gt;'Marge &amp; Tragfähigkeit'!$B$15,1,0)</f>
        <v>0</v>
      </c>
    </row>
    <row r="67" customFormat="false" ht="15" hidden="false" customHeight="false" outlineLevel="0" collapsed="false">
      <c r="A67" s="26" t="n">
        <v>3</v>
      </c>
      <c r="B67" s="60" t="n">
        <f aca="false">$B$9</f>
        <v>4</v>
      </c>
      <c r="C67" s="60" t="n">
        <f aca="false">C66+B67</f>
        <v>12</v>
      </c>
      <c r="D67" s="61" t="n">
        <f aca="false">MIN(C67,'Marge &amp; Tragfähigkeit'!$B$13)</f>
        <v>12</v>
      </c>
      <c r="E67" s="61" t="n">
        <f aca="false">MAX(C67-'Marge &amp; Tragfähigkeit'!$B$13,0)</f>
        <v>0</v>
      </c>
      <c r="F67" s="42" t="n">
        <f aca="false">D67*'Marge &amp; Tragfähigkeit'!$B$11+E67*'Marge &amp; Tragfähigkeit'!$B$12</f>
        <v>348</v>
      </c>
      <c r="G67" s="48" t="n">
        <f aca="false">IF(MOD(A67-1,12)=0,F67,G66+F67)</f>
        <v>696</v>
      </c>
      <c r="H67" s="61" t="n">
        <f aca="false">IF(G67&gt;'Marge &amp; Tragfähigkeit'!$B$14,1,0)</f>
        <v>0</v>
      </c>
      <c r="I67" s="61" t="n">
        <f aca="false">IF(G67&gt;'Marge &amp; Tragfähigkeit'!$B$15,1,0)</f>
        <v>0</v>
      </c>
    </row>
    <row r="68" customFormat="false" ht="15" hidden="false" customHeight="false" outlineLevel="0" collapsed="false">
      <c r="A68" s="26" t="n">
        <v>4</v>
      </c>
      <c r="B68" s="60" t="n">
        <f aca="false">$B$9</f>
        <v>4</v>
      </c>
      <c r="C68" s="60" t="n">
        <f aca="false">C67+B68</f>
        <v>16</v>
      </c>
      <c r="D68" s="61" t="n">
        <f aca="false">MIN(C68,'Marge &amp; Tragfähigkeit'!$B$13)</f>
        <v>16</v>
      </c>
      <c r="E68" s="61" t="n">
        <f aca="false">MAX(C68-'Marge &amp; Tragfähigkeit'!$B$13,0)</f>
        <v>0</v>
      </c>
      <c r="F68" s="42" t="n">
        <f aca="false">D68*'Marge &amp; Tragfähigkeit'!$B$11+E68*'Marge &amp; Tragfähigkeit'!$B$12</f>
        <v>464</v>
      </c>
      <c r="G68" s="48" t="n">
        <f aca="false">IF(MOD(A68-1,12)=0,F68,G67+F68)</f>
        <v>1160</v>
      </c>
      <c r="H68" s="61" t="n">
        <f aca="false">IF(G68&gt;'Marge &amp; Tragfähigkeit'!$B$14,1,0)</f>
        <v>0</v>
      </c>
      <c r="I68" s="61" t="n">
        <f aca="false">IF(G68&gt;'Marge &amp; Tragfähigkeit'!$B$15,1,0)</f>
        <v>0</v>
      </c>
    </row>
    <row r="69" customFormat="false" ht="15" hidden="false" customHeight="false" outlineLevel="0" collapsed="false">
      <c r="A69" s="26" t="n">
        <v>5</v>
      </c>
      <c r="B69" s="60" t="n">
        <f aca="false">$B$9</f>
        <v>4</v>
      </c>
      <c r="C69" s="60" t="n">
        <f aca="false">C68+B69</f>
        <v>20</v>
      </c>
      <c r="D69" s="61" t="n">
        <f aca="false">MIN(C69,'Marge &amp; Tragfähigkeit'!$B$13)</f>
        <v>20</v>
      </c>
      <c r="E69" s="61" t="n">
        <f aca="false">MAX(C69-'Marge &amp; Tragfähigkeit'!$B$13,0)</f>
        <v>0</v>
      </c>
      <c r="F69" s="42" t="n">
        <f aca="false">D69*'Marge &amp; Tragfähigkeit'!$B$11+E69*'Marge &amp; Tragfähigkeit'!$B$12</f>
        <v>580</v>
      </c>
      <c r="G69" s="48" t="n">
        <f aca="false">IF(MOD(A69-1,12)=0,F69,G68+F69)</f>
        <v>1740</v>
      </c>
      <c r="H69" s="61" t="n">
        <f aca="false">IF(G69&gt;'Marge &amp; Tragfähigkeit'!$B$14,1,0)</f>
        <v>0</v>
      </c>
      <c r="I69" s="61" t="n">
        <f aca="false">IF(G69&gt;'Marge &amp; Tragfähigkeit'!$B$15,1,0)</f>
        <v>0</v>
      </c>
    </row>
    <row r="70" customFormat="false" ht="15" hidden="false" customHeight="false" outlineLevel="0" collapsed="false">
      <c r="A70" s="26" t="n">
        <v>6</v>
      </c>
      <c r="B70" s="60" t="n">
        <f aca="false">$B$9</f>
        <v>4</v>
      </c>
      <c r="C70" s="60" t="n">
        <f aca="false">C69+B70</f>
        <v>24</v>
      </c>
      <c r="D70" s="61" t="n">
        <f aca="false">MIN(C70,'Marge &amp; Tragfähigkeit'!$B$13)</f>
        <v>24</v>
      </c>
      <c r="E70" s="61" t="n">
        <f aca="false">MAX(C70-'Marge &amp; Tragfähigkeit'!$B$13,0)</f>
        <v>0</v>
      </c>
      <c r="F70" s="42" t="n">
        <f aca="false">D70*'Marge &amp; Tragfähigkeit'!$B$11+E70*'Marge &amp; Tragfähigkeit'!$B$12</f>
        <v>696</v>
      </c>
      <c r="G70" s="48" t="n">
        <f aca="false">IF(MOD(A70-1,12)=0,F70,G69+F70)</f>
        <v>2436</v>
      </c>
      <c r="H70" s="61" t="n">
        <f aca="false">IF(G70&gt;'Marge &amp; Tragfähigkeit'!$B$14,1,0)</f>
        <v>0</v>
      </c>
      <c r="I70" s="61" t="n">
        <f aca="false">IF(G70&gt;'Marge &amp; Tragfähigkeit'!$B$15,1,0)</f>
        <v>0</v>
      </c>
    </row>
    <row r="71" customFormat="false" ht="15" hidden="false" customHeight="false" outlineLevel="0" collapsed="false">
      <c r="A71" s="26" t="n">
        <v>7</v>
      </c>
      <c r="B71" s="60" t="n">
        <f aca="false">$B$9</f>
        <v>4</v>
      </c>
      <c r="C71" s="60" t="n">
        <f aca="false">C70+B71</f>
        <v>28</v>
      </c>
      <c r="D71" s="61" t="n">
        <f aca="false">MIN(C71,'Marge &amp; Tragfähigkeit'!$B$13)</f>
        <v>25</v>
      </c>
      <c r="E71" s="61" t="n">
        <f aca="false">MAX(C71-'Marge &amp; Tragfähigkeit'!$B$13,0)</f>
        <v>3</v>
      </c>
      <c r="F71" s="42" t="n">
        <f aca="false">D71*'Marge &amp; Tragfähigkeit'!$B$11+E71*'Marge &amp; Tragfähigkeit'!$B$12</f>
        <v>872</v>
      </c>
      <c r="G71" s="48" t="n">
        <f aca="false">IF(MOD(A71-1,12)=0,F71,G70+F71)</f>
        <v>3308</v>
      </c>
      <c r="H71" s="61" t="n">
        <f aca="false">IF(G71&gt;'Marge &amp; Tragfähigkeit'!$B$14,1,0)</f>
        <v>0</v>
      </c>
      <c r="I71" s="61" t="n">
        <f aca="false">IF(G71&gt;'Marge &amp; Tragfähigkeit'!$B$15,1,0)</f>
        <v>0</v>
      </c>
    </row>
    <row r="72" customFormat="false" ht="15" hidden="false" customHeight="false" outlineLevel="0" collapsed="false">
      <c r="A72" s="26" t="n">
        <v>8</v>
      </c>
      <c r="B72" s="60" t="n">
        <f aca="false">$B$9</f>
        <v>4</v>
      </c>
      <c r="C72" s="60" t="n">
        <f aca="false">C71+B72</f>
        <v>32</v>
      </c>
      <c r="D72" s="61" t="n">
        <f aca="false">MIN(C72,'Marge &amp; Tragfähigkeit'!$B$13)</f>
        <v>25</v>
      </c>
      <c r="E72" s="61" t="n">
        <f aca="false">MAX(C72-'Marge &amp; Tragfähigkeit'!$B$13,0)</f>
        <v>7</v>
      </c>
      <c r="F72" s="42" t="n">
        <f aca="false">D72*'Marge &amp; Tragfähigkeit'!$B$11+E72*'Marge &amp; Tragfähigkeit'!$B$12</f>
        <v>1068</v>
      </c>
      <c r="G72" s="48" t="n">
        <f aca="false">IF(MOD(A72-1,12)=0,F72,G71+F72)</f>
        <v>4376</v>
      </c>
      <c r="H72" s="61" t="n">
        <f aca="false">IF(G72&gt;'Marge &amp; Tragfähigkeit'!$B$14,1,0)</f>
        <v>0</v>
      </c>
      <c r="I72" s="61" t="n">
        <f aca="false">IF(G72&gt;'Marge &amp; Tragfähigkeit'!$B$15,1,0)</f>
        <v>0</v>
      </c>
    </row>
    <row r="73" customFormat="false" ht="15" hidden="false" customHeight="false" outlineLevel="0" collapsed="false">
      <c r="A73" s="26" t="n">
        <v>9</v>
      </c>
      <c r="B73" s="60" t="n">
        <f aca="false">$B$9</f>
        <v>4</v>
      </c>
      <c r="C73" s="60" t="n">
        <f aca="false">C72+B73</f>
        <v>36</v>
      </c>
      <c r="D73" s="61" t="n">
        <f aca="false">MIN(C73,'Marge &amp; Tragfähigkeit'!$B$13)</f>
        <v>25</v>
      </c>
      <c r="E73" s="61" t="n">
        <f aca="false">MAX(C73-'Marge &amp; Tragfähigkeit'!$B$13,0)</f>
        <v>11</v>
      </c>
      <c r="F73" s="42" t="n">
        <f aca="false">D73*'Marge &amp; Tragfähigkeit'!$B$11+E73*'Marge &amp; Tragfähigkeit'!$B$12</f>
        <v>1264</v>
      </c>
      <c r="G73" s="48" t="n">
        <f aca="false">IF(MOD(A73-1,12)=0,F73,G72+F73)</f>
        <v>5640</v>
      </c>
      <c r="H73" s="61" t="n">
        <f aca="false">IF(G73&gt;'Marge &amp; Tragfähigkeit'!$B$14,1,0)</f>
        <v>0</v>
      </c>
      <c r="I73" s="61" t="n">
        <f aca="false">IF(G73&gt;'Marge &amp; Tragfähigkeit'!$B$15,1,0)</f>
        <v>0</v>
      </c>
    </row>
    <row r="74" customFormat="false" ht="15" hidden="false" customHeight="false" outlineLevel="0" collapsed="false">
      <c r="A74" s="26" t="n">
        <v>10</v>
      </c>
      <c r="B74" s="60" t="n">
        <f aca="false">$B$9</f>
        <v>4</v>
      </c>
      <c r="C74" s="60" t="n">
        <f aca="false">C73+B74</f>
        <v>40</v>
      </c>
      <c r="D74" s="61" t="n">
        <f aca="false">MIN(C74,'Marge &amp; Tragfähigkeit'!$B$13)</f>
        <v>25</v>
      </c>
      <c r="E74" s="61" t="n">
        <f aca="false">MAX(C74-'Marge &amp; Tragfähigkeit'!$B$13,0)</f>
        <v>15</v>
      </c>
      <c r="F74" s="42" t="n">
        <f aca="false">D74*'Marge &amp; Tragfähigkeit'!$B$11+E74*'Marge &amp; Tragfähigkeit'!$B$12</f>
        <v>1460</v>
      </c>
      <c r="G74" s="48" t="n">
        <f aca="false">IF(MOD(A74-1,12)=0,F74,G73+F74)</f>
        <v>7100</v>
      </c>
      <c r="H74" s="61" t="n">
        <f aca="false">IF(G74&gt;'Marge &amp; Tragfähigkeit'!$B$14,1,0)</f>
        <v>0</v>
      </c>
      <c r="I74" s="61" t="n">
        <f aca="false">IF(G74&gt;'Marge &amp; Tragfähigkeit'!$B$15,1,0)</f>
        <v>0</v>
      </c>
    </row>
    <row r="75" customFormat="false" ht="15" hidden="false" customHeight="false" outlineLevel="0" collapsed="false">
      <c r="A75" s="26" t="n">
        <v>11</v>
      </c>
      <c r="B75" s="60" t="n">
        <f aca="false">$B$9</f>
        <v>4</v>
      </c>
      <c r="C75" s="60" t="n">
        <f aca="false">C74+B75</f>
        <v>44</v>
      </c>
      <c r="D75" s="61" t="n">
        <f aca="false">MIN(C75,'Marge &amp; Tragfähigkeit'!$B$13)</f>
        <v>25</v>
      </c>
      <c r="E75" s="61" t="n">
        <f aca="false">MAX(C75-'Marge &amp; Tragfähigkeit'!$B$13,0)</f>
        <v>19</v>
      </c>
      <c r="F75" s="42" t="n">
        <f aca="false">D75*'Marge &amp; Tragfähigkeit'!$B$11+E75*'Marge &amp; Tragfähigkeit'!$B$12</f>
        <v>1656</v>
      </c>
      <c r="G75" s="48" t="n">
        <f aca="false">IF(MOD(A75-1,12)=0,F75,G74+F75)</f>
        <v>8756</v>
      </c>
      <c r="H75" s="61" t="n">
        <f aca="false">IF(G75&gt;'Marge &amp; Tragfähigkeit'!$B$14,1,0)</f>
        <v>0</v>
      </c>
      <c r="I75" s="61" t="n">
        <f aca="false">IF(G75&gt;'Marge &amp; Tragfähigkeit'!$B$15,1,0)</f>
        <v>0</v>
      </c>
    </row>
    <row r="76" customFormat="false" ht="15" hidden="false" customHeight="false" outlineLevel="0" collapsed="false">
      <c r="A76" s="26" t="n">
        <v>12</v>
      </c>
      <c r="B76" s="60" t="n">
        <f aca="false">$B$9</f>
        <v>4</v>
      </c>
      <c r="C76" s="60" t="n">
        <f aca="false">C75+B76</f>
        <v>48</v>
      </c>
      <c r="D76" s="61" t="n">
        <f aca="false">MIN(C76,'Marge &amp; Tragfähigkeit'!$B$13)</f>
        <v>25</v>
      </c>
      <c r="E76" s="61" t="n">
        <f aca="false">MAX(C76-'Marge &amp; Tragfähigkeit'!$B$13,0)</f>
        <v>23</v>
      </c>
      <c r="F76" s="42" t="n">
        <f aca="false">D76*'Marge &amp; Tragfähigkeit'!$B$11+E76*'Marge &amp; Tragfähigkeit'!$B$12</f>
        <v>1852</v>
      </c>
      <c r="G76" s="48" t="n">
        <f aca="false">IF(MOD(A76-1,12)=0,F76,G75+F76)</f>
        <v>10608</v>
      </c>
      <c r="H76" s="61" t="n">
        <f aca="false">IF(G76&gt;'Marge &amp; Tragfähigkeit'!$B$14,1,0)</f>
        <v>0</v>
      </c>
      <c r="I76" s="61" t="n">
        <f aca="false">IF(G76&gt;'Marge &amp; Tragfähigkeit'!$B$15,1,0)</f>
        <v>0</v>
      </c>
    </row>
    <row r="77" customFormat="false" ht="15" hidden="false" customHeight="false" outlineLevel="0" collapsed="false">
      <c r="A77" s="26" t="n">
        <v>13</v>
      </c>
      <c r="B77" s="60" t="n">
        <f aca="false">$B$9</f>
        <v>4</v>
      </c>
      <c r="C77" s="60" t="n">
        <f aca="false">C76+B77</f>
        <v>52</v>
      </c>
      <c r="D77" s="61" t="n">
        <f aca="false">MIN(C77,'Marge &amp; Tragfähigkeit'!$B$13)</f>
        <v>25</v>
      </c>
      <c r="E77" s="61" t="n">
        <f aca="false">MAX(C77-'Marge &amp; Tragfähigkeit'!$B$13,0)</f>
        <v>27</v>
      </c>
      <c r="F77" s="42" t="n">
        <f aca="false">D77*'Marge &amp; Tragfähigkeit'!$B$11+E77*'Marge &amp; Tragfähigkeit'!$B$12</f>
        <v>2048</v>
      </c>
      <c r="G77" s="48" t="n">
        <f aca="false">IF(MOD(A77-1,12)=0,F77,G76+F77)</f>
        <v>2048</v>
      </c>
      <c r="H77" s="61" t="n">
        <f aca="false">IF(G77&gt;'Marge &amp; Tragfähigkeit'!$B$14,1,0)</f>
        <v>0</v>
      </c>
      <c r="I77" s="61" t="n">
        <f aca="false">IF(G77&gt;'Marge &amp; Tragfähigkeit'!$B$15,1,0)</f>
        <v>0</v>
      </c>
    </row>
    <row r="78" customFormat="false" ht="15" hidden="false" customHeight="false" outlineLevel="0" collapsed="false">
      <c r="A78" s="26" t="n">
        <v>14</v>
      </c>
      <c r="B78" s="60" t="n">
        <f aca="false">$B$9</f>
        <v>4</v>
      </c>
      <c r="C78" s="60" t="n">
        <f aca="false">C77+B78</f>
        <v>56</v>
      </c>
      <c r="D78" s="61" t="n">
        <f aca="false">MIN(C78,'Marge &amp; Tragfähigkeit'!$B$13)</f>
        <v>25</v>
      </c>
      <c r="E78" s="61" t="n">
        <f aca="false">MAX(C78-'Marge &amp; Tragfähigkeit'!$B$13,0)</f>
        <v>31</v>
      </c>
      <c r="F78" s="42" t="n">
        <f aca="false">D78*'Marge &amp; Tragfähigkeit'!$B$11+E78*'Marge &amp; Tragfähigkeit'!$B$12</f>
        <v>2244</v>
      </c>
      <c r="G78" s="48" t="n">
        <f aca="false">IF(MOD(A78-1,12)=0,F78,G77+F78)</f>
        <v>4292</v>
      </c>
      <c r="H78" s="61" t="n">
        <f aca="false">IF(G78&gt;'Marge &amp; Tragfähigkeit'!$B$14,1,0)</f>
        <v>0</v>
      </c>
      <c r="I78" s="61" t="n">
        <f aca="false">IF(G78&gt;'Marge &amp; Tragfähigkeit'!$B$15,1,0)</f>
        <v>0</v>
      </c>
    </row>
    <row r="79" customFormat="false" ht="15" hidden="false" customHeight="false" outlineLevel="0" collapsed="false">
      <c r="A79" s="26" t="n">
        <v>15</v>
      </c>
      <c r="B79" s="60" t="n">
        <f aca="false">$B$9</f>
        <v>4</v>
      </c>
      <c r="C79" s="60" t="n">
        <f aca="false">C78+B79</f>
        <v>60</v>
      </c>
      <c r="D79" s="61" t="n">
        <f aca="false">MIN(C79,'Marge &amp; Tragfähigkeit'!$B$13)</f>
        <v>25</v>
      </c>
      <c r="E79" s="61" t="n">
        <f aca="false">MAX(C79-'Marge &amp; Tragfähigkeit'!$B$13,0)</f>
        <v>35</v>
      </c>
      <c r="F79" s="42" t="n">
        <f aca="false">D79*'Marge &amp; Tragfähigkeit'!$B$11+E79*'Marge &amp; Tragfähigkeit'!$B$12</f>
        <v>2440</v>
      </c>
      <c r="G79" s="48" t="n">
        <f aca="false">IF(MOD(A79-1,12)=0,F79,G78+F79)</f>
        <v>6732</v>
      </c>
      <c r="H79" s="61" t="n">
        <f aca="false">IF(G79&gt;'Marge &amp; Tragfähigkeit'!$B$14,1,0)</f>
        <v>0</v>
      </c>
      <c r="I79" s="61" t="n">
        <f aca="false">IF(G79&gt;'Marge &amp; Tragfähigkeit'!$B$15,1,0)</f>
        <v>0</v>
      </c>
    </row>
    <row r="80" customFormat="false" ht="15" hidden="false" customHeight="false" outlineLevel="0" collapsed="false">
      <c r="A80" s="26" t="n">
        <v>16</v>
      </c>
      <c r="B80" s="60" t="n">
        <f aca="false">$B$9</f>
        <v>4</v>
      </c>
      <c r="C80" s="60" t="n">
        <f aca="false">C79+B80</f>
        <v>64</v>
      </c>
      <c r="D80" s="61" t="n">
        <f aca="false">MIN(C80,'Marge &amp; Tragfähigkeit'!$B$13)</f>
        <v>25</v>
      </c>
      <c r="E80" s="61" t="n">
        <f aca="false">MAX(C80-'Marge &amp; Tragfähigkeit'!$B$13,0)</f>
        <v>39</v>
      </c>
      <c r="F80" s="42" t="n">
        <f aca="false">D80*'Marge &amp; Tragfähigkeit'!$B$11+E80*'Marge &amp; Tragfähigkeit'!$B$12</f>
        <v>2636</v>
      </c>
      <c r="G80" s="48" t="n">
        <f aca="false">IF(MOD(A80-1,12)=0,F80,G79+F80)</f>
        <v>9368</v>
      </c>
      <c r="H80" s="61" t="n">
        <f aca="false">IF(G80&gt;'Marge &amp; Tragfähigkeit'!$B$14,1,0)</f>
        <v>0</v>
      </c>
      <c r="I80" s="61" t="n">
        <f aca="false">IF(G80&gt;'Marge &amp; Tragfähigkeit'!$B$15,1,0)</f>
        <v>0</v>
      </c>
    </row>
    <row r="81" customFormat="false" ht="15" hidden="false" customHeight="false" outlineLevel="0" collapsed="false">
      <c r="A81" s="26" t="n">
        <v>17</v>
      </c>
      <c r="B81" s="60" t="n">
        <f aca="false">$B$9</f>
        <v>4</v>
      </c>
      <c r="C81" s="60" t="n">
        <f aca="false">C80+B81</f>
        <v>68</v>
      </c>
      <c r="D81" s="61" t="n">
        <f aca="false">MIN(C81,'Marge &amp; Tragfähigkeit'!$B$13)</f>
        <v>25</v>
      </c>
      <c r="E81" s="61" t="n">
        <f aca="false">MAX(C81-'Marge &amp; Tragfähigkeit'!$B$13,0)</f>
        <v>43</v>
      </c>
      <c r="F81" s="42" t="n">
        <f aca="false">D81*'Marge &amp; Tragfähigkeit'!$B$11+E81*'Marge &amp; Tragfähigkeit'!$B$12</f>
        <v>2832</v>
      </c>
      <c r="G81" s="48" t="n">
        <f aca="false">IF(MOD(A81-1,12)=0,F81,G80+F81)</f>
        <v>12200</v>
      </c>
      <c r="H81" s="61" t="n">
        <f aca="false">IF(G81&gt;'Marge &amp; Tragfähigkeit'!$B$14,1,0)</f>
        <v>0</v>
      </c>
      <c r="I81" s="61" t="n">
        <f aca="false">IF(G81&gt;'Marge &amp; Tragfähigkeit'!$B$15,1,0)</f>
        <v>0</v>
      </c>
    </row>
    <row r="82" customFormat="false" ht="15" hidden="false" customHeight="false" outlineLevel="0" collapsed="false">
      <c r="A82" s="26" t="n">
        <v>18</v>
      </c>
      <c r="B82" s="60" t="n">
        <f aca="false">$B$9</f>
        <v>4</v>
      </c>
      <c r="C82" s="60" t="n">
        <f aca="false">C81+B82</f>
        <v>72</v>
      </c>
      <c r="D82" s="61" t="n">
        <f aca="false">MIN(C82,'Marge &amp; Tragfähigkeit'!$B$13)</f>
        <v>25</v>
      </c>
      <c r="E82" s="61" t="n">
        <f aca="false">MAX(C82-'Marge &amp; Tragfähigkeit'!$B$13,0)</f>
        <v>47</v>
      </c>
      <c r="F82" s="42" t="n">
        <f aca="false">D82*'Marge &amp; Tragfähigkeit'!$B$11+E82*'Marge &amp; Tragfähigkeit'!$B$12</f>
        <v>3028</v>
      </c>
      <c r="G82" s="48" t="n">
        <f aca="false">IF(MOD(A82-1,12)=0,F82,G81+F82)</f>
        <v>15228</v>
      </c>
      <c r="H82" s="61" t="n">
        <f aca="false">IF(G82&gt;'Marge &amp; Tragfähigkeit'!$B$14,1,0)</f>
        <v>0</v>
      </c>
      <c r="I82" s="61" t="n">
        <f aca="false">IF(G82&gt;'Marge &amp; Tragfähigkeit'!$B$15,1,0)</f>
        <v>0</v>
      </c>
    </row>
    <row r="83" customFormat="false" ht="15" hidden="false" customHeight="false" outlineLevel="0" collapsed="false">
      <c r="A83" s="26" t="n">
        <v>19</v>
      </c>
      <c r="B83" s="60" t="n">
        <f aca="false">$B$9</f>
        <v>4</v>
      </c>
      <c r="C83" s="60" t="n">
        <f aca="false">C82+B83</f>
        <v>76</v>
      </c>
      <c r="D83" s="61" t="n">
        <f aca="false">MIN(C83,'Marge &amp; Tragfähigkeit'!$B$13)</f>
        <v>25</v>
      </c>
      <c r="E83" s="61" t="n">
        <f aca="false">MAX(C83-'Marge &amp; Tragfähigkeit'!$B$13,0)</f>
        <v>51</v>
      </c>
      <c r="F83" s="42" t="n">
        <f aca="false">D83*'Marge &amp; Tragfähigkeit'!$B$11+E83*'Marge &amp; Tragfähigkeit'!$B$12</f>
        <v>3224</v>
      </c>
      <c r="G83" s="48" t="n">
        <f aca="false">IF(MOD(A83-1,12)=0,F83,G82+F83)</f>
        <v>18452</v>
      </c>
      <c r="H83" s="61" t="n">
        <f aca="false">IF(G83&gt;'Marge &amp; Tragfähigkeit'!$B$14,1,0)</f>
        <v>0</v>
      </c>
      <c r="I83" s="61" t="n">
        <f aca="false">IF(G83&gt;'Marge &amp; Tragfähigkeit'!$B$15,1,0)</f>
        <v>0</v>
      </c>
    </row>
    <row r="84" customFormat="false" ht="15" hidden="false" customHeight="false" outlineLevel="0" collapsed="false">
      <c r="A84" s="26" t="n">
        <v>20</v>
      </c>
      <c r="B84" s="60" t="n">
        <f aca="false">$B$9</f>
        <v>4</v>
      </c>
      <c r="C84" s="60" t="n">
        <f aca="false">C83+B84</f>
        <v>80</v>
      </c>
      <c r="D84" s="61" t="n">
        <f aca="false">MIN(C84,'Marge &amp; Tragfähigkeit'!$B$13)</f>
        <v>25</v>
      </c>
      <c r="E84" s="61" t="n">
        <f aca="false">MAX(C84-'Marge &amp; Tragfähigkeit'!$B$13,0)</f>
        <v>55</v>
      </c>
      <c r="F84" s="42" t="n">
        <f aca="false">D84*'Marge &amp; Tragfähigkeit'!$B$11+E84*'Marge &amp; Tragfähigkeit'!$B$12</f>
        <v>3420</v>
      </c>
      <c r="G84" s="48" t="n">
        <f aca="false">IF(MOD(A84-1,12)=0,F84,G83+F84)</f>
        <v>21872</v>
      </c>
      <c r="H84" s="61" t="n">
        <f aca="false">IF(G84&gt;'Marge &amp; Tragfähigkeit'!$B$14,1,0)</f>
        <v>0</v>
      </c>
      <c r="I84" s="61" t="n">
        <f aca="false">IF(G84&gt;'Marge &amp; Tragfähigkeit'!$B$15,1,0)</f>
        <v>0</v>
      </c>
    </row>
    <row r="85" customFormat="false" ht="15" hidden="false" customHeight="false" outlineLevel="0" collapsed="false">
      <c r="A85" s="26" t="n">
        <v>21</v>
      </c>
      <c r="B85" s="60" t="n">
        <f aca="false">$B$9</f>
        <v>4</v>
      </c>
      <c r="C85" s="60" t="n">
        <f aca="false">C84+B85</f>
        <v>84</v>
      </c>
      <c r="D85" s="61" t="n">
        <f aca="false">MIN(C85,'Marge &amp; Tragfähigkeit'!$B$13)</f>
        <v>25</v>
      </c>
      <c r="E85" s="61" t="n">
        <f aca="false">MAX(C85-'Marge &amp; Tragfähigkeit'!$B$13,0)</f>
        <v>59</v>
      </c>
      <c r="F85" s="42" t="n">
        <f aca="false">D85*'Marge &amp; Tragfähigkeit'!$B$11+E85*'Marge &amp; Tragfähigkeit'!$B$12</f>
        <v>3616</v>
      </c>
      <c r="G85" s="48" t="n">
        <f aca="false">IF(MOD(A85-1,12)=0,F85,G84+F85)</f>
        <v>25488</v>
      </c>
      <c r="H85" s="61" t="n">
        <f aca="false">IF(G85&gt;'Marge &amp; Tragfähigkeit'!$B$14,1,0)</f>
        <v>1</v>
      </c>
      <c r="I85" s="61" t="n">
        <f aca="false">IF(G85&gt;'Marge &amp; Tragfähigkeit'!$B$15,1,0)</f>
        <v>0</v>
      </c>
    </row>
    <row r="86" customFormat="false" ht="15" hidden="false" customHeight="false" outlineLevel="0" collapsed="false">
      <c r="A86" s="26" t="n">
        <v>22</v>
      </c>
      <c r="B86" s="60" t="n">
        <f aca="false">$B$9</f>
        <v>4</v>
      </c>
      <c r="C86" s="60" t="n">
        <f aca="false">C85+B86</f>
        <v>88</v>
      </c>
      <c r="D86" s="61" t="n">
        <f aca="false">MIN(C86,'Marge &amp; Tragfähigkeit'!$B$13)</f>
        <v>25</v>
      </c>
      <c r="E86" s="61" t="n">
        <f aca="false">MAX(C86-'Marge &amp; Tragfähigkeit'!$B$13,0)</f>
        <v>63</v>
      </c>
      <c r="F86" s="42" t="n">
        <f aca="false">D86*'Marge &amp; Tragfähigkeit'!$B$11+E86*'Marge &amp; Tragfähigkeit'!$B$12</f>
        <v>3812</v>
      </c>
      <c r="G86" s="48" t="n">
        <f aca="false">IF(MOD(A86-1,12)=0,F86,G85+F86)</f>
        <v>29300</v>
      </c>
      <c r="H86" s="61" t="n">
        <f aca="false">IF(G86&gt;'Marge &amp; Tragfähigkeit'!$B$14,1,0)</f>
        <v>1</v>
      </c>
      <c r="I86" s="61" t="n">
        <f aca="false">IF(G86&gt;'Marge &amp; Tragfähigkeit'!$B$15,1,0)</f>
        <v>0</v>
      </c>
    </row>
    <row r="87" customFormat="false" ht="15" hidden="false" customHeight="false" outlineLevel="0" collapsed="false">
      <c r="A87" s="26" t="n">
        <v>23</v>
      </c>
      <c r="B87" s="60" t="n">
        <f aca="false">$B$9</f>
        <v>4</v>
      </c>
      <c r="C87" s="60" t="n">
        <f aca="false">C86+B87</f>
        <v>92</v>
      </c>
      <c r="D87" s="61" t="n">
        <f aca="false">MIN(C87,'Marge &amp; Tragfähigkeit'!$B$13)</f>
        <v>25</v>
      </c>
      <c r="E87" s="61" t="n">
        <f aca="false">MAX(C87-'Marge &amp; Tragfähigkeit'!$B$13,0)</f>
        <v>67</v>
      </c>
      <c r="F87" s="42" t="n">
        <f aca="false">D87*'Marge &amp; Tragfähigkeit'!$B$11+E87*'Marge &amp; Tragfähigkeit'!$B$12</f>
        <v>4008</v>
      </c>
      <c r="G87" s="48" t="n">
        <f aca="false">IF(MOD(A87-1,12)=0,F87,G86+F87)</f>
        <v>33308</v>
      </c>
      <c r="H87" s="61" t="n">
        <f aca="false">IF(G87&gt;'Marge &amp; Tragfähigkeit'!$B$14,1,0)</f>
        <v>1</v>
      </c>
      <c r="I87" s="61" t="n">
        <f aca="false">IF(G87&gt;'Marge &amp; Tragfähigkeit'!$B$15,1,0)</f>
        <v>0</v>
      </c>
    </row>
    <row r="88" customFormat="false" ht="15" hidden="false" customHeight="false" outlineLevel="0" collapsed="false">
      <c r="A88" s="26" t="n">
        <v>24</v>
      </c>
      <c r="B88" s="60" t="n">
        <f aca="false">$B$9</f>
        <v>4</v>
      </c>
      <c r="C88" s="60" t="n">
        <f aca="false">C87+B88</f>
        <v>96</v>
      </c>
      <c r="D88" s="61" t="n">
        <f aca="false">MIN(C88,'Marge &amp; Tragfähigkeit'!$B$13)</f>
        <v>25</v>
      </c>
      <c r="E88" s="61" t="n">
        <f aca="false">MAX(C88-'Marge &amp; Tragfähigkeit'!$B$13,0)</f>
        <v>71</v>
      </c>
      <c r="F88" s="42" t="n">
        <f aca="false">D88*'Marge &amp; Tragfähigkeit'!$B$11+E88*'Marge &amp; Tragfähigkeit'!$B$12</f>
        <v>4204</v>
      </c>
      <c r="G88" s="48" t="n">
        <f aca="false">IF(MOD(A88-1,12)=0,F88,G87+F88)</f>
        <v>37512</v>
      </c>
      <c r="H88" s="61" t="n">
        <f aca="false">IF(G88&gt;'Marge &amp; Tragfähigkeit'!$B$14,1,0)</f>
        <v>1</v>
      </c>
      <c r="I88" s="61" t="n">
        <f aca="false">IF(G88&gt;'Marge &amp; Tragfähigkeit'!$B$15,1,0)</f>
        <v>0</v>
      </c>
    </row>
    <row r="89" customFormat="false" ht="15" hidden="false" customHeight="false" outlineLevel="0" collapsed="false">
      <c r="A89" s="26" t="n">
        <v>25</v>
      </c>
      <c r="B89" s="60" t="n">
        <f aca="false">$B$9</f>
        <v>4</v>
      </c>
      <c r="C89" s="60" t="n">
        <f aca="false">C88+B89</f>
        <v>100</v>
      </c>
      <c r="D89" s="61" t="n">
        <f aca="false">MIN(C89,'Marge &amp; Tragfähigkeit'!$B$13)</f>
        <v>25</v>
      </c>
      <c r="E89" s="61" t="n">
        <f aca="false">MAX(C89-'Marge &amp; Tragfähigkeit'!$B$13,0)</f>
        <v>75</v>
      </c>
      <c r="F89" s="42" t="n">
        <f aca="false">D89*'Marge &amp; Tragfähigkeit'!$B$11+E89*'Marge &amp; Tragfähigkeit'!$B$12</f>
        <v>4400</v>
      </c>
      <c r="G89" s="48" t="n">
        <f aca="false">IF(MOD(A89-1,12)=0,F89,G88+F89)</f>
        <v>4400</v>
      </c>
      <c r="H89" s="61" t="n">
        <f aca="false">IF(G89&gt;'Marge &amp; Tragfähigkeit'!$B$14,1,0)</f>
        <v>0</v>
      </c>
      <c r="I89" s="61" t="n">
        <f aca="false">IF(G89&gt;'Marge &amp; Tragfähigkeit'!$B$15,1,0)</f>
        <v>0</v>
      </c>
    </row>
    <row r="90" customFormat="false" ht="15" hidden="false" customHeight="false" outlineLevel="0" collapsed="false">
      <c r="A90" s="26" t="n">
        <v>26</v>
      </c>
      <c r="B90" s="60" t="n">
        <f aca="false">$B$9</f>
        <v>4</v>
      </c>
      <c r="C90" s="60" t="n">
        <f aca="false">C89+B90</f>
        <v>104</v>
      </c>
      <c r="D90" s="61" t="n">
        <f aca="false">MIN(C90,'Marge &amp; Tragfähigkeit'!$B$13)</f>
        <v>25</v>
      </c>
      <c r="E90" s="61" t="n">
        <f aca="false">MAX(C90-'Marge &amp; Tragfähigkeit'!$B$13,0)</f>
        <v>79</v>
      </c>
      <c r="F90" s="42" t="n">
        <f aca="false">D90*'Marge &amp; Tragfähigkeit'!$B$11+E90*'Marge &amp; Tragfähigkeit'!$B$12</f>
        <v>4596</v>
      </c>
      <c r="G90" s="48" t="n">
        <f aca="false">IF(MOD(A90-1,12)=0,F90,G89+F90)</f>
        <v>8996</v>
      </c>
      <c r="H90" s="61" t="n">
        <f aca="false">IF(G90&gt;'Marge &amp; Tragfähigkeit'!$B$14,1,0)</f>
        <v>0</v>
      </c>
      <c r="I90" s="61" t="n">
        <f aca="false">IF(G90&gt;'Marge &amp; Tragfähigkeit'!$B$15,1,0)</f>
        <v>0</v>
      </c>
    </row>
    <row r="91" customFormat="false" ht="15" hidden="false" customHeight="false" outlineLevel="0" collapsed="false">
      <c r="A91" s="26" t="n">
        <v>27</v>
      </c>
      <c r="B91" s="60" t="n">
        <f aca="false">$B$9</f>
        <v>4</v>
      </c>
      <c r="C91" s="60" t="n">
        <f aca="false">C90+B91</f>
        <v>108</v>
      </c>
      <c r="D91" s="61" t="n">
        <f aca="false">MIN(C91,'Marge &amp; Tragfähigkeit'!$B$13)</f>
        <v>25</v>
      </c>
      <c r="E91" s="61" t="n">
        <f aca="false">MAX(C91-'Marge &amp; Tragfähigkeit'!$B$13,0)</f>
        <v>83</v>
      </c>
      <c r="F91" s="42" t="n">
        <f aca="false">D91*'Marge &amp; Tragfähigkeit'!$B$11+E91*'Marge &amp; Tragfähigkeit'!$B$12</f>
        <v>4792</v>
      </c>
      <c r="G91" s="48" t="n">
        <f aca="false">IF(MOD(A91-1,12)=0,F91,G90+F91)</f>
        <v>13788</v>
      </c>
      <c r="H91" s="61" t="n">
        <f aca="false">IF(G91&gt;'Marge &amp; Tragfähigkeit'!$B$14,1,0)</f>
        <v>0</v>
      </c>
      <c r="I91" s="61" t="n">
        <f aca="false">IF(G91&gt;'Marge &amp; Tragfähigkeit'!$B$15,1,0)</f>
        <v>0</v>
      </c>
    </row>
    <row r="92" customFormat="false" ht="15" hidden="false" customHeight="false" outlineLevel="0" collapsed="false">
      <c r="A92" s="26" t="n">
        <v>28</v>
      </c>
      <c r="B92" s="60" t="n">
        <f aca="false">$B$9</f>
        <v>4</v>
      </c>
      <c r="C92" s="60" t="n">
        <f aca="false">C91+B92</f>
        <v>112</v>
      </c>
      <c r="D92" s="61" t="n">
        <f aca="false">MIN(C92,'Marge &amp; Tragfähigkeit'!$B$13)</f>
        <v>25</v>
      </c>
      <c r="E92" s="61" t="n">
        <f aca="false">MAX(C92-'Marge &amp; Tragfähigkeit'!$B$13,0)</f>
        <v>87</v>
      </c>
      <c r="F92" s="42" t="n">
        <f aca="false">D92*'Marge &amp; Tragfähigkeit'!$B$11+E92*'Marge &amp; Tragfähigkeit'!$B$12</f>
        <v>4988</v>
      </c>
      <c r="G92" s="48" t="n">
        <f aca="false">IF(MOD(A92-1,12)=0,F92,G91+F92)</f>
        <v>18776</v>
      </c>
      <c r="H92" s="61" t="n">
        <f aca="false">IF(G92&gt;'Marge &amp; Tragfähigkeit'!$B$14,1,0)</f>
        <v>0</v>
      </c>
      <c r="I92" s="61" t="n">
        <f aca="false">IF(G92&gt;'Marge &amp; Tragfähigkeit'!$B$15,1,0)</f>
        <v>0</v>
      </c>
    </row>
    <row r="93" customFormat="false" ht="15" hidden="false" customHeight="false" outlineLevel="0" collapsed="false">
      <c r="A93" s="26" t="n">
        <v>29</v>
      </c>
      <c r="B93" s="60" t="n">
        <f aca="false">$B$9</f>
        <v>4</v>
      </c>
      <c r="C93" s="60" t="n">
        <f aca="false">C92+B93</f>
        <v>116</v>
      </c>
      <c r="D93" s="61" t="n">
        <f aca="false">MIN(C93,'Marge &amp; Tragfähigkeit'!$B$13)</f>
        <v>25</v>
      </c>
      <c r="E93" s="61" t="n">
        <f aca="false">MAX(C93-'Marge &amp; Tragfähigkeit'!$B$13,0)</f>
        <v>91</v>
      </c>
      <c r="F93" s="42" t="n">
        <f aca="false">D93*'Marge &amp; Tragfähigkeit'!$B$11+E93*'Marge &amp; Tragfähigkeit'!$B$12</f>
        <v>5184</v>
      </c>
      <c r="G93" s="48" t="n">
        <f aca="false">IF(MOD(A93-1,12)=0,F93,G92+F93)</f>
        <v>23960</v>
      </c>
      <c r="H93" s="61" t="n">
        <f aca="false">IF(G93&gt;'Marge &amp; Tragfähigkeit'!$B$14,1,0)</f>
        <v>0</v>
      </c>
      <c r="I93" s="61" t="n">
        <f aca="false">IF(G93&gt;'Marge &amp; Tragfähigkeit'!$B$15,1,0)</f>
        <v>0</v>
      </c>
    </row>
    <row r="94" customFormat="false" ht="15" hidden="false" customHeight="false" outlineLevel="0" collapsed="false">
      <c r="A94" s="26" t="n">
        <v>30</v>
      </c>
      <c r="B94" s="60" t="n">
        <f aca="false">$B$9</f>
        <v>4</v>
      </c>
      <c r="C94" s="60" t="n">
        <f aca="false">C93+B94</f>
        <v>120</v>
      </c>
      <c r="D94" s="61" t="n">
        <f aca="false">MIN(C94,'Marge &amp; Tragfähigkeit'!$B$13)</f>
        <v>25</v>
      </c>
      <c r="E94" s="61" t="n">
        <f aca="false">MAX(C94-'Marge &amp; Tragfähigkeit'!$B$13,0)</f>
        <v>95</v>
      </c>
      <c r="F94" s="42" t="n">
        <f aca="false">D94*'Marge &amp; Tragfähigkeit'!$B$11+E94*'Marge &amp; Tragfähigkeit'!$B$12</f>
        <v>5380</v>
      </c>
      <c r="G94" s="48" t="n">
        <f aca="false">IF(MOD(A94-1,12)=0,F94,G93+F94)</f>
        <v>29340</v>
      </c>
      <c r="H94" s="61" t="n">
        <f aca="false">IF(G94&gt;'Marge &amp; Tragfähigkeit'!$B$14,1,0)</f>
        <v>1</v>
      </c>
      <c r="I94" s="61" t="n">
        <f aca="false">IF(G94&gt;'Marge &amp; Tragfähigkeit'!$B$15,1,0)</f>
        <v>0</v>
      </c>
    </row>
    <row r="95" customFormat="false" ht="15" hidden="false" customHeight="false" outlineLevel="0" collapsed="false">
      <c r="A95" s="26" t="n">
        <v>31</v>
      </c>
      <c r="B95" s="60" t="n">
        <f aca="false">$B$9</f>
        <v>4</v>
      </c>
      <c r="C95" s="60" t="n">
        <f aca="false">C94+B95</f>
        <v>124</v>
      </c>
      <c r="D95" s="61" t="n">
        <f aca="false">MIN(C95,'Marge &amp; Tragfähigkeit'!$B$13)</f>
        <v>25</v>
      </c>
      <c r="E95" s="61" t="n">
        <f aca="false">MAX(C95-'Marge &amp; Tragfähigkeit'!$B$13,0)</f>
        <v>99</v>
      </c>
      <c r="F95" s="42" t="n">
        <f aca="false">D95*'Marge &amp; Tragfähigkeit'!$B$11+E95*'Marge &amp; Tragfähigkeit'!$B$12</f>
        <v>5576</v>
      </c>
      <c r="G95" s="48" t="n">
        <f aca="false">IF(MOD(A95-1,12)=0,F95,G94+F95)</f>
        <v>34916</v>
      </c>
      <c r="H95" s="61" t="n">
        <f aca="false">IF(G95&gt;'Marge &amp; Tragfähigkeit'!$B$14,1,0)</f>
        <v>1</v>
      </c>
      <c r="I95" s="61" t="n">
        <f aca="false">IF(G95&gt;'Marge &amp; Tragfähigkeit'!$B$15,1,0)</f>
        <v>0</v>
      </c>
    </row>
    <row r="96" customFormat="false" ht="15" hidden="false" customHeight="false" outlineLevel="0" collapsed="false">
      <c r="A96" s="26" t="n">
        <v>32</v>
      </c>
      <c r="B96" s="60" t="n">
        <f aca="false">$B$9</f>
        <v>4</v>
      </c>
      <c r="C96" s="60" t="n">
        <f aca="false">C95+B96</f>
        <v>128</v>
      </c>
      <c r="D96" s="61" t="n">
        <f aca="false">MIN(C96,'Marge &amp; Tragfähigkeit'!$B$13)</f>
        <v>25</v>
      </c>
      <c r="E96" s="61" t="n">
        <f aca="false">MAX(C96-'Marge &amp; Tragfähigkeit'!$B$13,0)</f>
        <v>103</v>
      </c>
      <c r="F96" s="42" t="n">
        <f aca="false">D96*'Marge &amp; Tragfähigkeit'!$B$11+E96*'Marge &amp; Tragfähigkeit'!$B$12</f>
        <v>5772</v>
      </c>
      <c r="G96" s="48" t="n">
        <f aca="false">IF(MOD(A96-1,12)=0,F96,G95+F96)</f>
        <v>40688</v>
      </c>
      <c r="H96" s="61" t="n">
        <f aca="false">IF(G96&gt;'Marge &amp; Tragfähigkeit'!$B$14,1,0)</f>
        <v>1</v>
      </c>
      <c r="I96" s="61" t="n">
        <f aca="false">IF(G96&gt;'Marge &amp; Tragfähigkeit'!$B$15,1,0)</f>
        <v>0</v>
      </c>
    </row>
    <row r="97" customFormat="false" ht="15" hidden="false" customHeight="false" outlineLevel="0" collapsed="false">
      <c r="A97" s="26" t="n">
        <v>33</v>
      </c>
      <c r="B97" s="60" t="n">
        <f aca="false">$B$9</f>
        <v>4</v>
      </c>
      <c r="C97" s="60" t="n">
        <f aca="false">C96+B97</f>
        <v>132</v>
      </c>
      <c r="D97" s="61" t="n">
        <f aca="false">MIN(C97,'Marge &amp; Tragfähigkeit'!$B$13)</f>
        <v>25</v>
      </c>
      <c r="E97" s="61" t="n">
        <f aca="false">MAX(C97-'Marge &amp; Tragfähigkeit'!$B$13,0)</f>
        <v>107</v>
      </c>
      <c r="F97" s="42" t="n">
        <f aca="false">D97*'Marge &amp; Tragfähigkeit'!$B$11+E97*'Marge &amp; Tragfähigkeit'!$B$12</f>
        <v>5968</v>
      </c>
      <c r="G97" s="48" t="n">
        <f aca="false">IF(MOD(A97-1,12)=0,F97,G96+F97)</f>
        <v>46656</v>
      </c>
      <c r="H97" s="61" t="n">
        <f aca="false">IF(G97&gt;'Marge &amp; Tragfähigkeit'!$B$14,1,0)</f>
        <v>1</v>
      </c>
      <c r="I97" s="61" t="n">
        <f aca="false">IF(G97&gt;'Marge &amp; Tragfähigkeit'!$B$15,1,0)</f>
        <v>0</v>
      </c>
    </row>
    <row r="98" customFormat="false" ht="15" hidden="false" customHeight="false" outlineLevel="0" collapsed="false">
      <c r="A98" s="26" t="n">
        <v>34</v>
      </c>
      <c r="B98" s="60" t="n">
        <f aca="false">$B$9</f>
        <v>4</v>
      </c>
      <c r="C98" s="60" t="n">
        <f aca="false">C97+B98</f>
        <v>136</v>
      </c>
      <c r="D98" s="61" t="n">
        <f aca="false">MIN(C98,'Marge &amp; Tragfähigkeit'!$B$13)</f>
        <v>25</v>
      </c>
      <c r="E98" s="61" t="n">
        <f aca="false">MAX(C98-'Marge &amp; Tragfähigkeit'!$B$13,0)</f>
        <v>111</v>
      </c>
      <c r="F98" s="42" t="n">
        <f aca="false">D98*'Marge &amp; Tragfähigkeit'!$B$11+E98*'Marge &amp; Tragfähigkeit'!$B$12</f>
        <v>6164</v>
      </c>
      <c r="G98" s="48" t="n">
        <f aca="false">IF(MOD(A98-1,12)=0,F98,G97+F98)</f>
        <v>52820</v>
      </c>
      <c r="H98" s="61" t="n">
        <f aca="false">IF(G98&gt;'Marge &amp; Tragfähigkeit'!$B$14,1,0)</f>
        <v>1</v>
      </c>
      <c r="I98" s="61" t="n">
        <f aca="false">IF(G98&gt;'Marge &amp; Tragfähigkeit'!$B$15,1,0)</f>
        <v>0</v>
      </c>
    </row>
    <row r="99" customFormat="false" ht="15" hidden="false" customHeight="false" outlineLevel="0" collapsed="false">
      <c r="A99" s="26" t="n">
        <v>35</v>
      </c>
      <c r="B99" s="60" t="n">
        <f aca="false">$B$9</f>
        <v>4</v>
      </c>
      <c r="C99" s="60" t="n">
        <f aca="false">C98+B99</f>
        <v>140</v>
      </c>
      <c r="D99" s="61" t="n">
        <f aca="false">MIN(C99,'Marge &amp; Tragfähigkeit'!$B$13)</f>
        <v>25</v>
      </c>
      <c r="E99" s="61" t="n">
        <f aca="false">MAX(C99-'Marge &amp; Tragfähigkeit'!$B$13,0)</f>
        <v>115</v>
      </c>
      <c r="F99" s="42" t="n">
        <f aca="false">D99*'Marge &amp; Tragfähigkeit'!$B$11+E99*'Marge &amp; Tragfähigkeit'!$B$12</f>
        <v>6360</v>
      </c>
      <c r="G99" s="48" t="n">
        <f aca="false">IF(MOD(A99-1,12)=0,F99,G98+F99)</f>
        <v>59180</v>
      </c>
      <c r="H99" s="61" t="n">
        <f aca="false">IF(G99&gt;'Marge &amp; Tragfähigkeit'!$B$14,1,0)</f>
        <v>1</v>
      </c>
      <c r="I99" s="61" t="n">
        <f aca="false">IF(G99&gt;'Marge &amp; Tragfähigkeit'!$B$15,1,0)</f>
        <v>0</v>
      </c>
    </row>
    <row r="100" customFormat="false" ht="15" hidden="false" customHeight="false" outlineLevel="0" collapsed="false">
      <c r="A100" s="26" t="n">
        <v>36</v>
      </c>
      <c r="B100" s="60" t="n">
        <f aca="false">$B$9</f>
        <v>4</v>
      </c>
      <c r="C100" s="60" t="n">
        <f aca="false">C99+B100</f>
        <v>144</v>
      </c>
      <c r="D100" s="61" t="n">
        <f aca="false">MIN(C100,'Marge &amp; Tragfähigkeit'!$B$13)</f>
        <v>25</v>
      </c>
      <c r="E100" s="61" t="n">
        <f aca="false">MAX(C100-'Marge &amp; Tragfähigkeit'!$B$13,0)</f>
        <v>119</v>
      </c>
      <c r="F100" s="42" t="n">
        <f aca="false">D100*'Marge &amp; Tragfähigkeit'!$B$11+E100*'Marge &amp; Tragfähigkeit'!$B$12</f>
        <v>6556</v>
      </c>
      <c r="G100" s="48" t="n">
        <f aca="false">IF(MOD(A100-1,12)=0,F100,G99+F100)</f>
        <v>65736</v>
      </c>
      <c r="H100" s="61" t="n">
        <f aca="false">IF(G100&gt;'Marge &amp; Tragfähigkeit'!$B$14,1,0)</f>
        <v>1</v>
      </c>
      <c r="I100" s="61" t="n">
        <f aca="false">IF(G100&gt;'Marge &amp; Tragfähigkeit'!$B$15,1,0)</f>
        <v>0</v>
      </c>
    </row>
    <row r="103" customFormat="false" ht="15" hidden="false" customHeight="false" outlineLevel="0" collapsed="false">
      <c r="A103" s="36" t="s">
        <v>319</v>
      </c>
    </row>
    <row r="104" customFormat="false" ht="39.55" hidden="false" customHeight="false" outlineLevel="0" collapsed="false">
      <c r="A104" s="3" t="s">
        <v>309</v>
      </c>
      <c r="B104" s="3" t="s">
        <v>310</v>
      </c>
      <c r="C104" s="3" t="s">
        <v>311</v>
      </c>
      <c r="D104" s="3" t="s">
        <v>312</v>
      </c>
      <c r="E104" s="3" t="s">
        <v>313</v>
      </c>
      <c r="F104" s="3" t="s">
        <v>314</v>
      </c>
      <c r="G104" s="3" t="s">
        <v>315</v>
      </c>
      <c r="H104" s="3" t="s">
        <v>316</v>
      </c>
      <c r="I104" s="3" t="s">
        <v>317</v>
      </c>
    </row>
    <row r="105" customFormat="false" ht="15" hidden="false" customHeight="false" outlineLevel="0" collapsed="false">
      <c r="A105" s="26" t="n">
        <v>1</v>
      </c>
      <c r="B105" s="60" t="n">
        <f aca="false">$B$10</f>
        <v>8</v>
      </c>
      <c r="C105" s="60" t="n">
        <f aca="false">B105</f>
        <v>8</v>
      </c>
      <c r="D105" s="61" t="n">
        <f aca="false">MIN(C105,'Marge &amp; Tragfähigkeit'!$B$13)</f>
        <v>8</v>
      </c>
      <c r="E105" s="61" t="n">
        <f aca="false">MAX(C105-'Marge &amp; Tragfähigkeit'!$B$13,0)</f>
        <v>0</v>
      </c>
      <c r="F105" s="42" t="n">
        <f aca="false">D105*'Marge &amp; Tragfähigkeit'!$B$11+E105*'Marge &amp; Tragfähigkeit'!$B$12</f>
        <v>232</v>
      </c>
      <c r="G105" s="48" t="n">
        <f aca="false">F105</f>
        <v>232</v>
      </c>
      <c r="H105" s="61" t="n">
        <f aca="false">IF(G105&gt;'Marge &amp; Tragfähigkeit'!$B$14,1,0)</f>
        <v>0</v>
      </c>
      <c r="I105" s="61" t="n">
        <f aca="false">IF(G105&gt;'Marge &amp; Tragfähigkeit'!$B$15,1,0)</f>
        <v>0</v>
      </c>
    </row>
    <row r="106" customFormat="false" ht="15" hidden="false" customHeight="false" outlineLevel="0" collapsed="false">
      <c r="A106" s="26" t="n">
        <v>2</v>
      </c>
      <c r="B106" s="60" t="n">
        <f aca="false">$B$10</f>
        <v>8</v>
      </c>
      <c r="C106" s="60" t="n">
        <f aca="false">C105+B106</f>
        <v>16</v>
      </c>
      <c r="D106" s="61" t="n">
        <f aca="false">MIN(C106,'Marge &amp; Tragfähigkeit'!$B$13)</f>
        <v>16</v>
      </c>
      <c r="E106" s="61" t="n">
        <f aca="false">MAX(C106-'Marge &amp; Tragfähigkeit'!$B$13,0)</f>
        <v>0</v>
      </c>
      <c r="F106" s="42" t="n">
        <f aca="false">D106*'Marge &amp; Tragfähigkeit'!$B$11+E106*'Marge &amp; Tragfähigkeit'!$B$12</f>
        <v>464</v>
      </c>
      <c r="G106" s="48" t="n">
        <f aca="false">IF(MOD(A106-1,12)=0,F106,G105+F106)</f>
        <v>696</v>
      </c>
      <c r="H106" s="61" t="n">
        <f aca="false">IF(G106&gt;'Marge &amp; Tragfähigkeit'!$B$14,1,0)</f>
        <v>0</v>
      </c>
      <c r="I106" s="61" t="n">
        <f aca="false">IF(G106&gt;'Marge &amp; Tragfähigkeit'!$B$15,1,0)</f>
        <v>0</v>
      </c>
    </row>
    <row r="107" customFormat="false" ht="15" hidden="false" customHeight="false" outlineLevel="0" collapsed="false">
      <c r="A107" s="26" t="n">
        <v>3</v>
      </c>
      <c r="B107" s="60" t="n">
        <f aca="false">$B$10</f>
        <v>8</v>
      </c>
      <c r="C107" s="60" t="n">
        <f aca="false">C106+B107</f>
        <v>24</v>
      </c>
      <c r="D107" s="61" t="n">
        <f aca="false">MIN(C107,'Marge &amp; Tragfähigkeit'!$B$13)</f>
        <v>24</v>
      </c>
      <c r="E107" s="61" t="n">
        <f aca="false">MAX(C107-'Marge &amp; Tragfähigkeit'!$B$13,0)</f>
        <v>0</v>
      </c>
      <c r="F107" s="42" t="n">
        <f aca="false">D107*'Marge &amp; Tragfähigkeit'!$B$11+E107*'Marge &amp; Tragfähigkeit'!$B$12</f>
        <v>696</v>
      </c>
      <c r="G107" s="48" t="n">
        <f aca="false">IF(MOD(A107-1,12)=0,F107,G106+F107)</f>
        <v>1392</v>
      </c>
      <c r="H107" s="61" t="n">
        <f aca="false">IF(G107&gt;'Marge &amp; Tragfähigkeit'!$B$14,1,0)</f>
        <v>0</v>
      </c>
      <c r="I107" s="61" t="n">
        <f aca="false">IF(G107&gt;'Marge &amp; Tragfähigkeit'!$B$15,1,0)</f>
        <v>0</v>
      </c>
    </row>
    <row r="108" customFormat="false" ht="15" hidden="false" customHeight="false" outlineLevel="0" collapsed="false">
      <c r="A108" s="26" t="n">
        <v>4</v>
      </c>
      <c r="B108" s="60" t="n">
        <f aca="false">$B$10</f>
        <v>8</v>
      </c>
      <c r="C108" s="60" t="n">
        <f aca="false">C107+B108</f>
        <v>32</v>
      </c>
      <c r="D108" s="61" t="n">
        <f aca="false">MIN(C108,'Marge &amp; Tragfähigkeit'!$B$13)</f>
        <v>25</v>
      </c>
      <c r="E108" s="61" t="n">
        <f aca="false">MAX(C108-'Marge &amp; Tragfähigkeit'!$B$13,0)</f>
        <v>7</v>
      </c>
      <c r="F108" s="42" t="n">
        <f aca="false">D108*'Marge &amp; Tragfähigkeit'!$B$11+E108*'Marge &amp; Tragfähigkeit'!$B$12</f>
        <v>1068</v>
      </c>
      <c r="G108" s="48" t="n">
        <f aca="false">IF(MOD(A108-1,12)=0,F108,G107+F108)</f>
        <v>2460</v>
      </c>
      <c r="H108" s="61" t="n">
        <f aca="false">IF(G108&gt;'Marge &amp; Tragfähigkeit'!$B$14,1,0)</f>
        <v>0</v>
      </c>
      <c r="I108" s="61" t="n">
        <f aca="false">IF(G108&gt;'Marge &amp; Tragfähigkeit'!$B$15,1,0)</f>
        <v>0</v>
      </c>
    </row>
    <row r="109" customFormat="false" ht="15" hidden="false" customHeight="false" outlineLevel="0" collapsed="false">
      <c r="A109" s="26" t="n">
        <v>5</v>
      </c>
      <c r="B109" s="60" t="n">
        <f aca="false">$B$10</f>
        <v>8</v>
      </c>
      <c r="C109" s="60" t="n">
        <f aca="false">C108+B109</f>
        <v>40</v>
      </c>
      <c r="D109" s="61" t="n">
        <f aca="false">MIN(C109,'Marge &amp; Tragfähigkeit'!$B$13)</f>
        <v>25</v>
      </c>
      <c r="E109" s="61" t="n">
        <f aca="false">MAX(C109-'Marge &amp; Tragfähigkeit'!$B$13,0)</f>
        <v>15</v>
      </c>
      <c r="F109" s="42" t="n">
        <f aca="false">D109*'Marge &amp; Tragfähigkeit'!$B$11+E109*'Marge &amp; Tragfähigkeit'!$B$12</f>
        <v>1460</v>
      </c>
      <c r="G109" s="48" t="n">
        <f aca="false">IF(MOD(A109-1,12)=0,F109,G108+F109)</f>
        <v>3920</v>
      </c>
      <c r="H109" s="61" t="n">
        <f aca="false">IF(G109&gt;'Marge &amp; Tragfähigkeit'!$B$14,1,0)</f>
        <v>0</v>
      </c>
      <c r="I109" s="61" t="n">
        <f aca="false">IF(G109&gt;'Marge &amp; Tragfähigkeit'!$B$15,1,0)</f>
        <v>0</v>
      </c>
    </row>
    <row r="110" customFormat="false" ht="15" hidden="false" customHeight="false" outlineLevel="0" collapsed="false">
      <c r="A110" s="26" t="n">
        <v>6</v>
      </c>
      <c r="B110" s="60" t="n">
        <f aca="false">$B$10</f>
        <v>8</v>
      </c>
      <c r="C110" s="60" t="n">
        <f aca="false">C109+B110</f>
        <v>48</v>
      </c>
      <c r="D110" s="61" t="n">
        <f aca="false">MIN(C110,'Marge &amp; Tragfähigkeit'!$B$13)</f>
        <v>25</v>
      </c>
      <c r="E110" s="61" t="n">
        <f aca="false">MAX(C110-'Marge &amp; Tragfähigkeit'!$B$13,0)</f>
        <v>23</v>
      </c>
      <c r="F110" s="42" t="n">
        <f aca="false">D110*'Marge &amp; Tragfähigkeit'!$B$11+E110*'Marge &amp; Tragfähigkeit'!$B$12</f>
        <v>1852</v>
      </c>
      <c r="G110" s="48" t="n">
        <f aca="false">IF(MOD(A110-1,12)=0,F110,G109+F110)</f>
        <v>5772</v>
      </c>
      <c r="H110" s="61" t="n">
        <f aca="false">IF(G110&gt;'Marge &amp; Tragfähigkeit'!$B$14,1,0)</f>
        <v>0</v>
      </c>
      <c r="I110" s="61" t="n">
        <f aca="false">IF(G110&gt;'Marge &amp; Tragfähigkeit'!$B$15,1,0)</f>
        <v>0</v>
      </c>
    </row>
    <row r="111" customFormat="false" ht="15" hidden="false" customHeight="false" outlineLevel="0" collapsed="false">
      <c r="A111" s="26" t="n">
        <v>7</v>
      </c>
      <c r="B111" s="60" t="n">
        <f aca="false">$B$10</f>
        <v>8</v>
      </c>
      <c r="C111" s="60" t="n">
        <f aca="false">C110+B111</f>
        <v>56</v>
      </c>
      <c r="D111" s="61" t="n">
        <f aca="false">MIN(C111,'Marge &amp; Tragfähigkeit'!$B$13)</f>
        <v>25</v>
      </c>
      <c r="E111" s="61" t="n">
        <f aca="false">MAX(C111-'Marge &amp; Tragfähigkeit'!$B$13,0)</f>
        <v>31</v>
      </c>
      <c r="F111" s="42" t="n">
        <f aca="false">D111*'Marge &amp; Tragfähigkeit'!$B$11+E111*'Marge &amp; Tragfähigkeit'!$B$12</f>
        <v>2244</v>
      </c>
      <c r="G111" s="48" t="n">
        <f aca="false">IF(MOD(A111-1,12)=0,F111,G110+F111)</f>
        <v>8016</v>
      </c>
      <c r="H111" s="61" t="n">
        <f aca="false">IF(G111&gt;'Marge &amp; Tragfähigkeit'!$B$14,1,0)</f>
        <v>0</v>
      </c>
      <c r="I111" s="61" t="n">
        <f aca="false">IF(G111&gt;'Marge &amp; Tragfähigkeit'!$B$15,1,0)</f>
        <v>0</v>
      </c>
    </row>
    <row r="112" customFormat="false" ht="15" hidden="false" customHeight="false" outlineLevel="0" collapsed="false">
      <c r="A112" s="26" t="n">
        <v>8</v>
      </c>
      <c r="B112" s="60" t="n">
        <f aca="false">$B$10</f>
        <v>8</v>
      </c>
      <c r="C112" s="60" t="n">
        <f aca="false">C111+B112</f>
        <v>64</v>
      </c>
      <c r="D112" s="61" t="n">
        <f aca="false">MIN(C112,'Marge &amp; Tragfähigkeit'!$B$13)</f>
        <v>25</v>
      </c>
      <c r="E112" s="61" t="n">
        <f aca="false">MAX(C112-'Marge &amp; Tragfähigkeit'!$B$13,0)</f>
        <v>39</v>
      </c>
      <c r="F112" s="42" t="n">
        <f aca="false">D112*'Marge &amp; Tragfähigkeit'!$B$11+E112*'Marge &amp; Tragfähigkeit'!$B$12</f>
        <v>2636</v>
      </c>
      <c r="G112" s="48" t="n">
        <f aca="false">IF(MOD(A112-1,12)=0,F112,G111+F112)</f>
        <v>10652</v>
      </c>
      <c r="H112" s="61" t="n">
        <f aca="false">IF(G112&gt;'Marge &amp; Tragfähigkeit'!$B$14,1,0)</f>
        <v>0</v>
      </c>
      <c r="I112" s="61" t="n">
        <f aca="false">IF(G112&gt;'Marge &amp; Tragfähigkeit'!$B$15,1,0)</f>
        <v>0</v>
      </c>
    </row>
    <row r="113" customFormat="false" ht="15" hidden="false" customHeight="false" outlineLevel="0" collapsed="false">
      <c r="A113" s="26" t="n">
        <v>9</v>
      </c>
      <c r="B113" s="60" t="n">
        <f aca="false">$B$10</f>
        <v>8</v>
      </c>
      <c r="C113" s="60" t="n">
        <f aca="false">C112+B113</f>
        <v>72</v>
      </c>
      <c r="D113" s="61" t="n">
        <f aca="false">MIN(C113,'Marge &amp; Tragfähigkeit'!$B$13)</f>
        <v>25</v>
      </c>
      <c r="E113" s="61" t="n">
        <f aca="false">MAX(C113-'Marge &amp; Tragfähigkeit'!$B$13,0)</f>
        <v>47</v>
      </c>
      <c r="F113" s="42" t="n">
        <f aca="false">D113*'Marge &amp; Tragfähigkeit'!$B$11+E113*'Marge &amp; Tragfähigkeit'!$B$12</f>
        <v>3028</v>
      </c>
      <c r="G113" s="48" t="n">
        <f aca="false">IF(MOD(A113-1,12)=0,F113,G112+F113)</f>
        <v>13680</v>
      </c>
      <c r="H113" s="61" t="n">
        <f aca="false">IF(G113&gt;'Marge &amp; Tragfähigkeit'!$B$14,1,0)</f>
        <v>0</v>
      </c>
      <c r="I113" s="61" t="n">
        <f aca="false">IF(G113&gt;'Marge &amp; Tragfähigkeit'!$B$15,1,0)</f>
        <v>0</v>
      </c>
    </row>
    <row r="114" customFormat="false" ht="15" hidden="false" customHeight="false" outlineLevel="0" collapsed="false">
      <c r="A114" s="26" t="n">
        <v>10</v>
      </c>
      <c r="B114" s="60" t="n">
        <f aca="false">$B$10</f>
        <v>8</v>
      </c>
      <c r="C114" s="60" t="n">
        <f aca="false">C113+B114</f>
        <v>80</v>
      </c>
      <c r="D114" s="61" t="n">
        <f aca="false">MIN(C114,'Marge &amp; Tragfähigkeit'!$B$13)</f>
        <v>25</v>
      </c>
      <c r="E114" s="61" t="n">
        <f aca="false">MAX(C114-'Marge &amp; Tragfähigkeit'!$B$13,0)</f>
        <v>55</v>
      </c>
      <c r="F114" s="42" t="n">
        <f aca="false">D114*'Marge &amp; Tragfähigkeit'!$B$11+E114*'Marge &amp; Tragfähigkeit'!$B$12</f>
        <v>3420</v>
      </c>
      <c r="G114" s="48" t="n">
        <f aca="false">IF(MOD(A114-1,12)=0,F114,G113+F114)</f>
        <v>17100</v>
      </c>
      <c r="H114" s="61" t="n">
        <f aca="false">IF(G114&gt;'Marge &amp; Tragfähigkeit'!$B$14,1,0)</f>
        <v>0</v>
      </c>
      <c r="I114" s="61" t="n">
        <f aca="false">IF(G114&gt;'Marge &amp; Tragfähigkeit'!$B$15,1,0)</f>
        <v>0</v>
      </c>
    </row>
    <row r="115" customFormat="false" ht="15" hidden="false" customHeight="false" outlineLevel="0" collapsed="false">
      <c r="A115" s="26" t="n">
        <v>11</v>
      </c>
      <c r="B115" s="60" t="n">
        <f aca="false">$B$10</f>
        <v>8</v>
      </c>
      <c r="C115" s="60" t="n">
        <f aca="false">C114+B115</f>
        <v>88</v>
      </c>
      <c r="D115" s="61" t="n">
        <f aca="false">MIN(C115,'Marge &amp; Tragfähigkeit'!$B$13)</f>
        <v>25</v>
      </c>
      <c r="E115" s="61" t="n">
        <f aca="false">MAX(C115-'Marge &amp; Tragfähigkeit'!$B$13,0)</f>
        <v>63</v>
      </c>
      <c r="F115" s="42" t="n">
        <f aca="false">D115*'Marge &amp; Tragfähigkeit'!$B$11+E115*'Marge &amp; Tragfähigkeit'!$B$12</f>
        <v>3812</v>
      </c>
      <c r="G115" s="48" t="n">
        <f aca="false">IF(MOD(A115-1,12)=0,F115,G114+F115)</f>
        <v>20912</v>
      </c>
      <c r="H115" s="61" t="n">
        <f aca="false">IF(G115&gt;'Marge &amp; Tragfähigkeit'!$B$14,1,0)</f>
        <v>0</v>
      </c>
      <c r="I115" s="61" t="n">
        <f aca="false">IF(G115&gt;'Marge &amp; Tragfähigkeit'!$B$15,1,0)</f>
        <v>0</v>
      </c>
    </row>
    <row r="116" customFormat="false" ht="15" hidden="false" customHeight="false" outlineLevel="0" collapsed="false">
      <c r="A116" s="26" t="n">
        <v>12</v>
      </c>
      <c r="B116" s="60" t="n">
        <f aca="false">$B$10</f>
        <v>8</v>
      </c>
      <c r="C116" s="60" t="n">
        <f aca="false">C115+B116</f>
        <v>96</v>
      </c>
      <c r="D116" s="61" t="n">
        <f aca="false">MIN(C116,'Marge &amp; Tragfähigkeit'!$B$13)</f>
        <v>25</v>
      </c>
      <c r="E116" s="61" t="n">
        <f aca="false">MAX(C116-'Marge &amp; Tragfähigkeit'!$B$13,0)</f>
        <v>71</v>
      </c>
      <c r="F116" s="42" t="n">
        <f aca="false">D116*'Marge &amp; Tragfähigkeit'!$B$11+E116*'Marge &amp; Tragfähigkeit'!$B$12</f>
        <v>4204</v>
      </c>
      <c r="G116" s="48" t="n">
        <f aca="false">IF(MOD(A116-1,12)=0,F116,G115+F116)</f>
        <v>25116</v>
      </c>
      <c r="H116" s="61" t="n">
        <f aca="false">IF(G116&gt;'Marge &amp; Tragfähigkeit'!$B$14,1,0)</f>
        <v>1</v>
      </c>
      <c r="I116" s="61" t="n">
        <f aca="false">IF(G116&gt;'Marge &amp; Tragfähigkeit'!$B$15,1,0)</f>
        <v>0</v>
      </c>
    </row>
    <row r="117" customFormat="false" ht="15" hidden="false" customHeight="false" outlineLevel="0" collapsed="false">
      <c r="A117" s="26" t="n">
        <v>13</v>
      </c>
      <c r="B117" s="60" t="n">
        <f aca="false">$B$10</f>
        <v>8</v>
      </c>
      <c r="C117" s="60" t="n">
        <f aca="false">C116+B117</f>
        <v>104</v>
      </c>
      <c r="D117" s="61" t="n">
        <f aca="false">MIN(C117,'Marge &amp; Tragfähigkeit'!$B$13)</f>
        <v>25</v>
      </c>
      <c r="E117" s="61" t="n">
        <f aca="false">MAX(C117-'Marge &amp; Tragfähigkeit'!$B$13,0)</f>
        <v>79</v>
      </c>
      <c r="F117" s="42" t="n">
        <f aca="false">D117*'Marge &amp; Tragfähigkeit'!$B$11+E117*'Marge &amp; Tragfähigkeit'!$B$12</f>
        <v>4596</v>
      </c>
      <c r="G117" s="48" t="n">
        <f aca="false">IF(MOD(A117-1,12)=0,F117,G116+F117)</f>
        <v>4596</v>
      </c>
      <c r="H117" s="61" t="n">
        <f aca="false">IF(G117&gt;'Marge &amp; Tragfähigkeit'!$B$14,1,0)</f>
        <v>0</v>
      </c>
      <c r="I117" s="61" t="n">
        <f aca="false">IF(G117&gt;'Marge &amp; Tragfähigkeit'!$B$15,1,0)</f>
        <v>0</v>
      </c>
    </row>
    <row r="118" customFormat="false" ht="15" hidden="false" customHeight="false" outlineLevel="0" collapsed="false">
      <c r="A118" s="26" t="n">
        <v>14</v>
      </c>
      <c r="B118" s="60" t="n">
        <f aca="false">$B$10</f>
        <v>8</v>
      </c>
      <c r="C118" s="60" t="n">
        <f aca="false">C117+B118</f>
        <v>112</v>
      </c>
      <c r="D118" s="61" t="n">
        <f aca="false">MIN(C118,'Marge &amp; Tragfähigkeit'!$B$13)</f>
        <v>25</v>
      </c>
      <c r="E118" s="61" t="n">
        <f aca="false">MAX(C118-'Marge &amp; Tragfähigkeit'!$B$13,0)</f>
        <v>87</v>
      </c>
      <c r="F118" s="42" t="n">
        <f aca="false">D118*'Marge &amp; Tragfähigkeit'!$B$11+E118*'Marge &amp; Tragfähigkeit'!$B$12</f>
        <v>4988</v>
      </c>
      <c r="G118" s="48" t="n">
        <f aca="false">IF(MOD(A118-1,12)=0,F118,G117+F118)</f>
        <v>9584</v>
      </c>
      <c r="H118" s="61" t="n">
        <f aca="false">IF(G118&gt;'Marge &amp; Tragfähigkeit'!$B$14,1,0)</f>
        <v>0</v>
      </c>
      <c r="I118" s="61" t="n">
        <f aca="false">IF(G118&gt;'Marge &amp; Tragfähigkeit'!$B$15,1,0)</f>
        <v>0</v>
      </c>
    </row>
    <row r="119" customFormat="false" ht="15" hidden="false" customHeight="false" outlineLevel="0" collapsed="false">
      <c r="A119" s="26" t="n">
        <v>15</v>
      </c>
      <c r="B119" s="60" t="n">
        <f aca="false">$B$10</f>
        <v>8</v>
      </c>
      <c r="C119" s="60" t="n">
        <f aca="false">C118+B119</f>
        <v>120</v>
      </c>
      <c r="D119" s="61" t="n">
        <f aca="false">MIN(C119,'Marge &amp; Tragfähigkeit'!$B$13)</f>
        <v>25</v>
      </c>
      <c r="E119" s="61" t="n">
        <f aca="false">MAX(C119-'Marge &amp; Tragfähigkeit'!$B$13,0)</f>
        <v>95</v>
      </c>
      <c r="F119" s="42" t="n">
        <f aca="false">D119*'Marge &amp; Tragfähigkeit'!$B$11+E119*'Marge &amp; Tragfähigkeit'!$B$12</f>
        <v>5380</v>
      </c>
      <c r="G119" s="48" t="n">
        <f aca="false">IF(MOD(A119-1,12)=0,F119,G118+F119)</f>
        <v>14964</v>
      </c>
      <c r="H119" s="61" t="n">
        <f aca="false">IF(G119&gt;'Marge &amp; Tragfähigkeit'!$B$14,1,0)</f>
        <v>0</v>
      </c>
      <c r="I119" s="61" t="n">
        <f aca="false">IF(G119&gt;'Marge &amp; Tragfähigkeit'!$B$15,1,0)</f>
        <v>0</v>
      </c>
    </row>
    <row r="120" customFormat="false" ht="15" hidden="false" customHeight="false" outlineLevel="0" collapsed="false">
      <c r="A120" s="26" t="n">
        <v>16</v>
      </c>
      <c r="B120" s="60" t="n">
        <f aca="false">$B$10</f>
        <v>8</v>
      </c>
      <c r="C120" s="60" t="n">
        <f aca="false">C119+B120</f>
        <v>128</v>
      </c>
      <c r="D120" s="61" t="n">
        <f aca="false">MIN(C120,'Marge &amp; Tragfähigkeit'!$B$13)</f>
        <v>25</v>
      </c>
      <c r="E120" s="61" t="n">
        <f aca="false">MAX(C120-'Marge &amp; Tragfähigkeit'!$B$13,0)</f>
        <v>103</v>
      </c>
      <c r="F120" s="42" t="n">
        <f aca="false">D120*'Marge &amp; Tragfähigkeit'!$B$11+E120*'Marge &amp; Tragfähigkeit'!$B$12</f>
        <v>5772</v>
      </c>
      <c r="G120" s="48" t="n">
        <f aca="false">IF(MOD(A120-1,12)=0,F120,G119+F120)</f>
        <v>20736</v>
      </c>
      <c r="H120" s="61" t="n">
        <f aca="false">IF(G120&gt;'Marge &amp; Tragfähigkeit'!$B$14,1,0)</f>
        <v>0</v>
      </c>
      <c r="I120" s="61" t="n">
        <f aca="false">IF(G120&gt;'Marge &amp; Tragfähigkeit'!$B$15,1,0)</f>
        <v>0</v>
      </c>
    </row>
    <row r="121" customFormat="false" ht="15" hidden="false" customHeight="false" outlineLevel="0" collapsed="false">
      <c r="A121" s="26" t="n">
        <v>17</v>
      </c>
      <c r="B121" s="60" t="n">
        <f aca="false">$B$10</f>
        <v>8</v>
      </c>
      <c r="C121" s="60" t="n">
        <f aca="false">C120+B121</f>
        <v>136</v>
      </c>
      <c r="D121" s="61" t="n">
        <f aca="false">MIN(C121,'Marge &amp; Tragfähigkeit'!$B$13)</f>
        <v>25</v>
      </c>
      <c r="E121" s="61" t="n">
        <f aca="false">MAX(C121-'Marge &amp; Tragfähigkeit'!$B$13,0)</f>
        <v>111</v>
      </c>
      <c r="F121" s="42" t="n">
        <f aca="false">D121*'Marge &amp; Tragfähigkeit'!$B$11+E121*'Marge &amp; Tragfähigkeit'!$B$12</f>
        <v>6164</v>
      </c>
      <c r="G121" s="48" t="n">
        <f aca="false">IF(MOD(A121-1,12)=0,F121,G120+F121)</f>
        <v>26900</v>
      </c>
      <c r="H121" s="61" t="n">
        <f aca="false">IF(G121&gt;'Marge &amp; Tragfähigkeit'!$B$14,1,0)</f>
        <v>1</v>
      </c>
      <c r="I121" s="61" t="n">
        <f aca="false">IF(G121&gt;'Marge &amp; Tragfähigkeit'!$B$15,1,0)</f>
        <v>0</v>
      </c>
    </row>
    <row r="122" customFormat="false" ht="15" hidden="false" customHeight="false" outlineLevel="0" collapsed="false">
      <c r="A122" s="26" t="n">
        <v>18</v>
      </c>
      <c r="B122" s="60" t="n">
        <f aca="false">$B$10</f>
        <v>8</v>
      </c>
      <c r="C122" s="60" t="n">
        <f aca="false">C121+B122</f>
        <v>144</v>
      </c>
      <c r="D122" s="61" t="n">
        <f aca="false">MIN(C122,'Marge &amp; Tragfähigkeit'!$B$13)</f>
        <v>25</v>
      </c>
      <c r="E122" s="61" t="n">
        <f aca="false">MAX(C122-'Marge &amp; Tragfähigkeit'!$B$13,0)</f>
        <v>119</v>
      </c>
      <c r="F122" s="42" t="n">
        <f aca="false">D122*'Marge &amp; Tragfähigkeit'!$B$11+E122*'Marge &amp; Tragfähigkeit'!$B$12</f>
        <v>6556</v>
      </c>
      <c r="G122" s="48" t="n">
        <f aca="false">IF(MOD(A122-1,12)=0,F122,G121+F122)</f>
        <v>33456</v>
      </c>
      <c r="H122" s="61" t="n">
        <f aca="false">IF(G122&gt;'Marge &amp; Tragfähigkeit'!$B$14,1,0)</f>
        <v>1</v>
      </c>
      <c r="I122" s="61" t="n">
        <f aca="false">IF(G122&gt;'Marge &amp; Tragfähigkeit'!$B$15,1,0)</f>
        <v>0</v>
      </c>
    </row>
    <row r="123" customFormat="false" ht="15" hidden="false" customHeight="false" outlineLevel="0" collapsed="false">
      <c r="A123" s="26" t="n">
        <v>19</v>
      </c>
      <c r="B123" s="60" t="n">
        <f aca="false">$B$10</f>
        <v>8</v>
      </c>
      <c r="C123" s="60" t="n">
        <f aca="false">C122+B123</f>
        <v>152</v>
      </c>
      <c r="D123" s="61" t="n">
        <f aca="false">MIN(C123,'Marge &amp; Tragfähigkeit'!$B$13)</f>
        <v>25</v>
      </c>
      <c r="E123" s="61" t="n">
        <f aca="false">MAX(C123-'Marge &amp; Tragfähigkeit'!$B$13,0)</f>
        <v>127</v>
      </c>
      <c r="F123" s="42" t="n">
        <f aca="false">D123*'Marge &amp; Tragfähigkeit'!$B$11+E123*'Marge &amp; Tragfähigkeit'!$B$12</f>
        <v>6948</v>
      </c>
      <c r="G123" s="48" t="n">
        <f aca="false">IF(MOD(A123-1,12)=0,F123,G122+F123)</f>
        <v>40404</v>
      </c>
      <c r="H123" s="61" t="n">
        <f aca="false">IF(G123&gt;'Marge &amp; Tragfähigkeit'!$B$14,1,0)</f>
        <v>1</v>
      </c>
      <c r="I123" s="61" t="n">
        <f aca="false">IF(G123&gt;'Marge &amp; Tragfähigkeit'!$B$15,1,0)</f>
        <v>0</v>
      </c>
    </row>
    <row r="124" customFormat="false" ht="15" hidden="false" customHeight="false" outlineLevel="0" collapsed="false">
      <c r="A124" s="26" t="n">
        <v>20</v>
      </c>
      <c r="B124" s="60" t="n">
        <f aca="false">$B$10</f>
        <v>8</v>
      </c>
      <c r="C124" s="60" t="n">
        <f aca="false">C123+B124</f>
        <v>160</v>
      </c>
      <c r="D124" s="61" t="n">
        <f aca="false">MIN(C124,'Marge &amp; Tragfähigkeit'!$B$13)</f>
        <v>25</v>
      </c>
      <c r="E124" s="61" t="n">
        <f aca="false">MAX(C124-'Marge &amp; Tragfähigkeit'!$B$13,0)</f>
        <v>135</v>
      </c>
      <c r="F124" s="42" t="n">
        <f aca="false">D124*'Marge &amp; Tragfähigkeit'!$B$11+E124*'Marge &amp; Tragfähigkeit'!$B$12</f>
        <v>7340</v>
      </c>
      <c r="G124" s="48" t="n">
        <f aca="false">IF(MOD(A124-1,12)=0,F124,G123+F124)</f>
        <v>47744</v>
      </c>
      <c r="H124" s="61" t="n">
        <f aca="false">IF(G124&gt;'Marge &amp; Tragfähigkeit'!$B$14,1,0)</f>
        <v>1</v>
      </c>
      <c r="I124" s="61" t="n">
        <f aca="false">IF(G124&gt;'Marge &amp; Tragfähigkeit'!$B$15,1,0)</f>
        <v>0</v>
      </c>
    </row>
    <row r="125" customFormat="false" ht="15" hidden="false" customHeight="false" outlineLevel="0" collapsed="false">
      <c r="A125" s="26" t="n">
        <v>21</v>
      </c>
      <c r="B125" s="60" t="n">
        <f aca="false">$B$10</f>
        <v>8</v>
      </c>
      <c r="C125" s="60" t="n">
        <f aca="false">C124+B125</f>
        <v>168</v>
      </c>
      <c r="D125" s="61" t="n">
        <f aca="false">MIN(C125,'Marge &amp; Tragfähigkeit'!$B$13)</f>
        <v>25</v>
      </c>
      <c r="E125" s="61" t="n">
        <f aca="false">MAX(C125-'Marge &amp; Tragfähigkeit'!$B$13,0)</f>
        <v>143</v>
      </c>
      <c r="F125" s="42" t="n">
        <f aca="false">D125*'Marge &amp; Tragfähigkeit'!$B$11+E125*'Marge &amp; Tragfähigkeit'!$B$12</f>
        <v>7732</v>
      </c>
      <c r="G125" s="48" t="n">
        <f aca="false">IF(MOD(A125-1,12)=0,F125,G124+F125)</f>
        <v>55476</v>
      </c>
      <c r="H125" s="61" t="n">
        <f aca="false">IF(G125&gt;'Marge &amp; Tragfähigkeit'!$B$14,1,0)</f>
        <v>1</v>
      </c>
      <c r="I125" s="61" t="n">
        <f aca="false">IF(G125&gt;'Marge &amp; Tragfähigkeit'!$B$15,1,0)</f>
        <v>0</v>
      </c>
    </row>
    <row r="126" customFormat="false" ht="15" hidden="false" customHeight="false" outlineLevel="0" collapsed="false">
      <c r="A126" s="26" t="n">
        <v>22</v>
      </c>
      <c r="B126" s="60" t="n">
        <f aca="false">$B$10</f>
        <v>8</v>
      </c>
      <c r="C126" s="60" t="n">
        <f aca="false">C125+B126</f>
        <v>176</v>
      </c>
      <c r="D126" s="61" t="n">
        <f aca="false">MIN(C126,'Marge &amp; Tragfähigkeit'!$B$13)</f>
        <v>25</v>
      </c>
      <c r="E126" s="61" t="n">
        <f aca="false">MAX(C126-'Marge &amp; Tragfähigkeit'!$B$13,0)</f>
        <v>151</v>
      </c>
      <c r="F126" s="42" t="n">
        <f aca="false">D126*'Marge &amp; Tragfähigkeit'!$B$11+E126*'Marge &amp; Tragfähigkeit'!$B$12</f>
        <v>8124</v>
      </c>
      <c r="G126" s="48" t="n">
        <f aca="false">IF(MOD(A126-1,12)=0,F126,G125+F126)</f>
        <v>63600</v>
      </c>
      <c r="H126" s="61" t="n">
        <f aca="false">IF(G126&gt;'Marge &amp; Tragfähigkeit'!$B$14,1,0)</f>
        <v>1</v>
      </c>
      <c r="I126" s="61" t="n">
        <f aca="false">IF(G126&gt;'Marge &amp; Tragfähigkeit'!$B$15,1,0)</f>
        <v>0</v>
      </c>
    </row>
    <row r="127" customFormat="false" ht="15" hidden="false" customHeight="false" outlineLevel="0" collapsed="false">
      <c r="A127" s="26" t="n">
        <v>23</v>
      </c>
      <c r="B127" s="60" t="n">
        <f aca="false">$B$10</f>
        <v>8</v>
      </c>
      <c r="C127" s="60" t="n">
        <f aca="false">C126+B127</f>
        <v>184</v>
      </c>
      <c r="D127" s="61" t="n">
        <f aca="false">MIN(C127,'Marge &amp; Tragfähigkeit'!$B$13)</f>
        <v>25</v>
      </c>
      <c r="E127" s="61" t="n">
        <f aca="false">MAX(C127-'Marge &amp; Tragfähigkeit'!$B$13,0)</f>
        <v>159</v>
      </c>
      <c r="F127" s="42" t="n">
        <f aca="false">D127*'Marge &amp; Tragfähigkeit'!$B$11+E127*'Marge &amp; Tragfähigkeit'!$B$12</f>
        <v>8516</v>
      </c>
      <c r="G127" s="48" t="n">
        <f aca="false">IF(MOD(A127-1,12)=0,F127,G126+F127)</f>
        <v>72116</v>
      </c>
      <c r="H127" s="61" t="n">
        <f aca="false">IF(G127&gt;'Marge &amp; Tragfähigkeit'!$B$14,1,0)</f>
        <v>1</v>
      </c>
      <c r="I127" s="61" t="n">
        <f aca="false">IF(G127&gt;'Marge &amp; Tragfähigkeit'!$B$15,1,0)</f>
        <v>0</v>
      </c>
    </row>
    <row r="128" customFormat="false" ht="15" hidden="false" customHeight="false" outlineLevel="0" collapsed="false">
      <c r="A128" s="26" t="n">
        <v>24</v>
      </c>
      <c r="B128" s="60" t="n">
        <f aca="false">$B$10</f>
        <v>8</v>
      </c>
      <c r="C128" s="60" t="n">
        <f aca="false">C127+B128</f>
        <v>192</v>
      </c>
      <c r="D128" s="61" t="n">
        <f aca="false">MIN(C128,'Marge &amp; Tragfähigkeit'!$B$13)</f>
        <v>25</v>
      </c>
      <c r="E128" s="61" t="n">
        <f aca="false">MAX(C128-'Marge &amp; Tragfähigkeit'!$B$13,0)</f>
        <v>167</v>
      </c>
      <c r="F128" s="42" t="n">
        <f aca="false">D128*'Marge &amp; Tragfähigkeit'!$B$11+E128*'Marge &amp; Tragfähigkeit'!$B$12</f>
        <v>8908</v>
      </c>
      <c r="G128" s="48" t="n">
        <f aca="false">IF(MOD(A128-1,12)=0,F128,G127+F128)</f>
        <v>81024</v>
      </c>
      <c r="H128" s="61" t="n">
        <f aca="false">IF(G128&gt;'Marge &amp; Tragfähigkeit'!$B$14,1,0)</f>
        <v>1</v>
      </c>
      <c r="I128" s="61" t="n">
        <f aca="false">IF(G128&gt;'Marge &amp; Tragfähigkeit'!$B$15,1,0)</f>
        <v>0</v>
      </c>
    </row>
    <row r="129" customFormat="false" ht="15" hidden="false" customHeight="false" outlineLevel="0" collapsed="false">
      <c r="A129" s="26" t="n">
        <v>25</v>
      </c>
      <c r="B129" s="60" t="n">
        <f aca="false">$B$10</f>
        <v>8</v>
      </c>
      <c r="C129" s="60" t="n">
        <f aca="false">C128+B129</f>
        <v>200</v>
      </c>
      <c r="D129" s="61" t="n">
        <f aca="false">MIN(C129,'Marge &amp; Tragfähigkeit'!$B$13)</f>
        <v>25</v>
      </c>
      <c r="E129" s="61" t="n">
        <f aca="false">MAX(C129-'Marge &amp; Tragfähigkeit'!$B$13,0)</f>
        <v>175</v>
      </c>
      <c r="F129" s="42" t="n">
        <f aca="false">D129*'Marge &amp; Tragfähigkeit'!$B$11+E129*'Marge &amp; Tragfähigkeit'!$B$12</f>
        <v>9300</v>
      </c>
      <c r="G129" s="48" t="n">
        <f aca="false">IF(MOD(A129-1,12)=0,F129,G128+F129)</f>
        <v>9300</v>
      </c>
      <c r="H129" s="61" t="n">
        <f aca="false">IF(G129&gt;'Marge &amp; Tragfähigkeit'!$B$14,1,0)</f>
        <v>0</v>
      </c>
      <c r="I129" s="61" t="n">
        <f aca="false">IF(G129&gt;'Marge &amp; Tragfähigkeit'!$B$15,1,0)</f>
        <v>0</v>
      </c>
    </row>
    <row r="130" customFormat="false" ht="15" hidden="false" customHeight="false" outlineLevel="0" collapsed="false">
      <c r="A130" s="26" t="n">
        <v>26</v>
      </c>
      <c r="B130" s="60" t="n">
        <f aca="false">$B$10</f>
        <v>8</v>
      </c>
      <c r="C130" s="60" t="n">
        <f aca="false">C129+B130</f>
        <v>208</v>
      </c>
      <c r="D130" s="61" t="n">
        <f aca="false">MIN(C130,'Marge &amp; Tragfähigkeit'!$B$13)</f>
        <v>25</v>
      </c>
      <c r="E130" s="61" t="n">
        <f aca="false">MAX(C130-'Marge &amp; Tragfähigkeit'!$B$13,0)</f>
        <v>183</v>
      </c>
      <c r="F130" s="42" t="n">
        <f aca="false">D130*'Marge &amp; Tragfähigkeit'!$B$11+E130*'Marge &amp; Tragfähigkeit'!$B$12</f>
        <v>9692</v>
      </c>
      <c r="G130" s="48" t="n">
        <f aca="false">IF(MOD(A130-1,12)=0,F130,G129+F130)</f>
        <v>18992</v>
      </c>
      <c r="H130" s="61" t="n">
        <f aca="false">IF(G130&gt;'Marge &amp; Tragfähigkeit'!$B$14,1,0)</f>
        <v>0</v>
      </c>
      <c r="I130" s="61" t="n">
        <f aca="false">IF(G130&gt;'Marge &amp; Tragfähigkeit'!$B$15,1,0)</f>
        <v>0</v>
      </c>
    </row>
    <row r="131" customFormat="false" ht="15" hidden="false" customHeight="false" outlineLevel="0" collapsed="false">
      <c r="A131" s="26" t="n">
        <v>27</v>
      </c>
      <c r="B131" s="60" t="n">
        <f aca="false">$B$10</f>
        <v>8</v>
      </c>
      <c r="C131" s="60" t="n">
        <f aca="false">C130+B131</f>
        <v>216</v>
      </c>
      <c r="D131" s="61" t="n">
        <f aca="false">MIN(C131,'Marge &amp; Tragfähigkeit'!$B$13)</f>
        <v>25</v>
      </c>
      <c r="E131" s="61" t="n">
        <f aca="false">MAX(C131-'Marge &amp; Tragfähigkeit'!$B$13,0)</f>
        <v>191</v>
      </c>
      <c r="F131" s="42" t="n">
        <f aca="false">D131*'Marge &amp; Tragfähigkeit'!$B$11+E131*'Marge &amp; Tragfähigkeit'!$B$12</f>
        <v>10084</v>
      </c>
      <c r="G131" s="48" t="n">
        <f aca="false">IF(MOD(A131-1,12)=0,F131,G130+F131)</f>
        <v>29076</v>
      </c>
      <c r="H131" s="61" t="n">
        <f aca="false">IF(G131&gt;'Marge &amp; Tragfähigkeit'!$B$14,1,0)</f>
        <v>1</v>
      </c>
      <c r="I131" s="61" t="n">
        <f aca="false">IF(G131&gt;'Marge &amp; Tragfähigkeit'!$B$15,1,0)</f>
        <v>0</v>
      </c>
    </row>
    <row r="132" customFormat="false" ht="15" hidden="false" customHeight="false" outlineLevel="0" collapsed="false">
      <c r="A132" s="26" t="n">
        <v>28</v>
      </c>
      <c r="B132" s="60" t="n">
        <f aca="false">$B$10</f>
        <v>8</v>
      </c>
      <c r="C132" s="60" t="n">
        <f aca="false">C131+B132</f>
        <v>224</v>
      </c>
      <c r="D132" s="61" t="n">
        <f aca="false">MIN(C132,'Marge &amp; Tragfähigkeit'!$B$13)</f>
        <v>25</v>
      </c>
      <c r="E132" s="61" t="n">
        <f aca="false">MAX(C132-'Marge &amp; Tragfähigkeit'!$B$13,0)</f>
        <v>199</v>
      </c>
      <c r="F132" s="42" t="n">
        <f aca="false">D132*'Marge &amp; Tragfähigkeit'!$B$11+E132*'Marge &amp; Tragfähigkeit'!$B$12</f>
        <v>10476</v>
      </c>
      <c r="G132" s="48" t="n">
        <f aca="false">IF(MOD(A132-1,12)=0,F132,G131+F132)</f>
        <v>39552</v>
      </c>
      <c r="H132" s="61" t="n">
        <f aca="false">IF(G132&gt;'Marge &amp; Tragfähigkeit'!$B$14,1,0)</f>
        <v>1</v>
      </c>
      <c r="I132" s="61" t="n">
        <f aca="false">IF(G132&gt;'Marge &amp; Tragfähigkeit'!$B$15,1,0)</f>
        <v>0</v>
      </c>
    </row>
    <row r="133" customFormat="false" ht="15" hidden="false" customHeight="false" outlineLevel="0" collapsed="false">
      <c r="A133" s="26" t="n">
        <v>29</v>
      </c>
      <c r="B133" s="60" t="n">
        <f aca="false">$B$10</f>
        <v>8</v>
      </c>
      <c r="C133" s="60" t="n">
        <f aca="false">C132+B133</f>
        <v>232</v>
      </c>
      <c r="D133" s="61" t="n">
        <f aca="false">MIN(C133,'Marge &amp; Tragfähigkeit'!$B$13)</f>
        <v>25</v>
      </c>
      <c r="E133" s="61" t="n">
        <f aca="false">MAX(C133-'Marge &amp; Tragfähigkeit'!$B$13,0)</f>
        <v>207</v>
      </c>
      <c r="F133" s="42" t="n">
        <f aca="false">D133*'Marge &amp; Tragfähigkeit'!$B$11+E133*'Marge &amp; Tragfähigkeit'!$B$12</f>
        <v>10868</v>
      </c>
      <c r="G133" s="48" t="n">
        <f aca="false">IF(MOD(A133-1,12)=0,F133,G132+F133)</f>
        <v>50420</v>
      </c>
      <c r="H133" s="61" t="n">
        <f aca="false">IF(G133&gt;'Marge &amp; Tragfähigkeit'!$B$14,1,0)</f>
        <v>1</v>
      </c>
      <c r="I133" s="61" t="n">
        <f aca="false">IF(G133&gt;'Marge &amp; Tragfähigkeit'!$B$15,1,0)</f>
        <v>0</v>
      </c>
    </row>
    <row r="134" customFormat="false" ht="15" hidden="false" customHeight="false" outlineLevel="0" collapsed="false">
      <c r="A134" s="26" t="n">
        <v>30</v>
      </c>
      <c r="B134" s="60" t="n">
        <f aca="false">$B$10</f>
        <v>8</v>
      </c>
      <c r="C134" s="60" t="n">
        <f aca="false">C133+B134</f>
        <v>240</v>
      </c>
      <c r="D134" s="61" t="n">
        <f aca="false">MIN(C134,'Marge &amp; Tragfähigkeit'!$B$13)</f>
        <v>25</v>
      </c>
      <c r="E134" s="61" t="n">
        <f aca="false">MAX(C134-'Marge &amp; Tragfähigkeit'!$B$13,0)</f>
        <v>215</v>
      </c>
      <c r="F134" s="42" t="n">
        <f aca="false">D134*'Marge &amp; Tragfähigkeit'!$B$11+E134*'Marge &amp; Tragfähigkeit'!$B$12</f>
        <v>11260</v>
      </c>
      <c r="G134" s="48" t="n">
        <f aca="false">IF(MOD(A134-1,12)=0,F134,G133+F134)</f>
        <v>61680</v>
      </c>
      <c r="H134" s="61" t="n">
        <f aca="false">IF(G134&gt;'Marge &amp; Tragfähigkeit'!$B$14,1,0)</f>
        <v>1</v>
      </c>
      <c r="I134" s="61" t="n">
        <f aca="false">IF(G134&gt;'Marge &amp; Tragfähigkeit'!$B$15,1,0)</f>
        <v>0</v>
      </c>
    </row>
    <row r="135" customFormat="false" ht="15" hidden="false" customHeight="false" outlineLevel="0" collapsed="false">
      <c r="A135" s="26" t="n">
        <v>31</v>
      </c>
      <c r="B135" s="60" t="n">
        <f aca="false">$B$10</f>
        <v>8</v>
      </c>
      <c r="C135" s="60" t="n">
        <f aca="false">C134+B135</f>
        <v>248</v>
      </c>
      <c r="D135" s="61" t="n">
        <f aca="false">MIN(C135,'Marge &amp; Tragfähigkeit'!$B$13)</f>
        <v>25</v>
      </c>
      <c r="E135" s="61" t="n">
        <f aca="false">MAX(C135-'Marge &amp; Tragfähigkeit'!$B$13,0)</f>
        <v>223</v>
      </c>
      <c r="F135" s="42" t="n">
        <f aca="false">D135*'Marge &amp; Tragfähigkeit'!$B$11+E135*'Marge &amp; Tragfähigkeit'!$B$12</f>
        <v>11652</v>
      </c>
      <c r="G135" s="48" t="n">
        <f aca="false">IF(MOD(A135-1,12)=0,F135,G134+F135)</f>
        <v>73332</v>
      </c>
      <c r="H135" s="61" t="n">
        <f aca="false">IF(G135&gt;'Marge &amp; Tragfähigkeit'!$B$14,1,0)</f>
        <v>1</v>
      </c>
      <c r="I135" s="61" t="n">
        <f aca="false">IF(G135&gt;'Marge &amp; Tragfähigkeit'!$B$15,1,0)</f>
        <v>0</v>
      </c>
    </row>
    <row r="136" customFormat="false" ht="15" hidden="false" customHeight="false" outlineLevel="0" collapsed="false">
      <c r="A136" s="26" t="n">
        <v>32</v>
      </c>
      <c r="B136" s="60" t="n">
        <f aca="false">$B$10</f>
        <v>8</v>
      </c>
      <c r="C136" s="60" t="n">
        <f aca="false">C135+B136</f>
        <v>256</v>
      </c>
      <c r="D136" s="61" t="n">
        <f aca="false">MIN(C136,'Marge &amp; Tragfähigkeit'!$B$13)</f>
        <v>25</v>
      </c>
      <c r="E136" s="61" t="n">
        <f aca="false">MAX(C136-'Marge &amp; Tragfähigkeit'!$B$13,0)</f>
        <v>231</v>
      </c>
      <c r="F136" s="42" t="n">
        <f aca="false">D136*'Marge &amp; Tragfähigkeit'!$B$11+E136*'Marge &amp; Tragfähigkeit'!$B$12</f>
        <v>12044</v>
      </c>
      <c r="G136" s="48" t="n">
        <f aca="false">IF(MOD(A136-1,12)=0,F136,G135+F136)</f>
        <v>85376</v>
      </c>
      <c r="H136" s="61" t="n">
        <f aca="false">IF(G136&gt;'Marge &amp; Tragfähigkeit'!$B$14,1,0)</f>
        <v>1</v>
      </c>
      <c r="I136" s="61" t="n">
        <f aca="false">IF(G136&gt;'Marge &amp; Tragfähigkeit'!$B$15,1,0)</f>
        <v>0</v>
      </c>
    </row>
    <row r="137" customFormat="false" ht="15" hidden="false" customHeight="false" outlineLevel="0" collapsed="false">
      <c r="A137" s="26" t="n">
        <v>33</v>
      </c>
      <c r="B137" s="60" t="n">
        <f aca="false">$B$10</f>
        <v>8</v>
      </c>
      <c r="C137" s="60" t="n">
        <f aca="false">C136+B137</f>
        <v>264</v>
      </c>
      <c r="D137" s="61" t="n">
        <f aca="false">MIN(C137,'Marge &amp; Tragfähigkeit'!$B$13)</f>
        <v>25</v>
      </c>
      <c r="E137" s="61" t="n">
        <f aca="false">MAX(C137-'Marge &amp; Tragfähigkeit'!$B$13,0)</f>
        <v>239</v>
      </c>
      <c r="F137" s="42" t="n">
        <f aca="false">D137*'Marge &amp; Tragfähigkeit'!$B$11+E137*'Marge &amp; Tragfähigkeit'!$B$12</f>
        <v>12436</v>
      </c>
      <c r="G137" s="48" t="n">
        <f aca="false">IF(MOD(A137-1,12)=0,F137,G136+F137)</f>
        <v>97812</v>
      </c>
      <c r="H137" s="61" t="n">
        <f aca="false">IF(G137&gt;'Marge &amp; Tragfähigkeit'!$B$14,1,0)</f>
        <v>1</v>
      </c>
      <c r="I137" s="61" t="n">
        <f aca="false">IF(G137&gt;'Marge &amp; Tragfähigkeit'!$B$15,1,0)</f>
        <v>0</v>
      </c>
    </row>
    <row r="138" customFormat="false" ht="15" hidden="false" customHeight="false" outlineLevel="0" collapsed="false">
      <c r="A138" s="26" t="n">
        <v>34</v>
      </c>
      <c r="B138" s="60" t="n">
        <f aca="false">$B$10</f>
        <v>8</v>
      </c>
      <c r="C138" s="60" t="n">
        <f aca="false">C137+B138</f>
        <v>272</v>
      </c>
      <c r="D138" s="61" t="n">
        <f aca="false">MIN(C138,'Marge &amp; Tragfähigkeit'!$B$13)</f>
        <v>25</v>
      </c>
      <c r="E138" s="61" t="n">
        <f aca="false">MAX(C138-'Marge &amp; Tragfähigkeit'!$B$13,0)</f>
        <v>247</v>
      </c>
      <c r="F138" s="42" t="n">
        <f aca="false">D138*'Marge &amp; Tragfähigkeit'!$B$11+E138*'Marge &amp; Tragfähigkeit'!$B$12</f>
        <v>12828</v>
      </c>
      <c r="G138" s="48" t="n">
        <f aca="false">IF(MOD(A138-1,12)=0,F138,G137+F138)</f>
        <v>110640</v>
      </c>
      <c r="H138" s="61" t="n">
        <f aca="false">IF(G138&gt;'Marge &amp; Tragfähigkeit'!$B$14,1,0)</f>
        <v>1</v>
      </c>
      <c r="I138" s="61" t="n">
        <f aca="false">IF(G138&gt;'Marge &amp; Tragfähigkeit'!$B$15,1,0)</f>
        <v>1</v>
      </c>
    </row>
    <row r="139" customFormat="false" ht="15" hidden="false" customHeight="false" outlineLevel="0" collapsed="false">
      <c r="A139" s="26" t="n">
        <v>35</v>
      </c>
      <c r="B139" s="60" t="n">
        <f aca="false">$B$10</f>
        <v>8</v>
      </c>
      <c r="C139" s="60" t="n">
        <f aca="false">C138+B139</f>
        <v>280</v>
      </c>
      <c r="D139" s="61" t="n">
        <f aca="false">MIN(C139,'Marge &amp; Tragfähigkeit'!$B$13)</f>
        <v>25</v>
      </c>
      <c r="E139" s="61" t="n">
        <f aca="false">MAX(C139-'Marge &amp; Tragfähigkeit'!$B$13,0)</f>
        <v>255</v>
      </c>
      <c r="F139" s="42" t="n">
        <f aca="false">D139*'Marge &amp; Tragfähigkeit'!$B$11+E139*'Marge &amp; Tragfähigkeit'!$B$12</f>
        <v>13220</v>
      </c>
      <c r="G139" s="48" t="n">
        <f aca="false">IF(MOD(A139-1,12)=0,F139,G138+F139)</f>
        <v>123860</v>
      </c>
      <c r="H139" s="61" t="n">
        <f aca="false">IF(G139&gt;'Marge &amp; Tragfähigkeit'!$B$14,1,0)</f>
        <v>1</v>
      </c>
      <c r="I139" s="61" t="n">
        <f aca="false">IF(G139&gt;'Marge &amp; Tragfähigkeit'!$B$15,1,0)</f>
        <v>1</v>
      </c>
    </row>
    <row r="140" customFormat="false" ht="15" hidden="false" customHeight="false" outlineLevel="0" collapsed="false">
      <c r="A140" s="26" t="n">
        <v>36</v>
      </c>
      <c r="B140" s="60" t="n">
        <f aca="false">$B$10</f>
        <v>8</v>
      </c>
      <c r="C140" s="60" t="n">
        <f aca="false">C139+B140</f>
        <v>288</v>
      </c>
      <c r="D140" s="61" t="n">
        <f aca="false">MIN(C140,'Marge &amp; Tragfähigkeit'!$B$13)</f>
        <v>25</v>
      </c>
      <c r="E140" s="61" t="n">
        <f aca="false">MAX(C140-'Marge &amp; Tragfähigkeit'!$B$13,0)</f>
        <v>263</v>
      </c>
      <c r="F140" s="42" t="n">
        <f aca="false">D140*'Marge &amp; Tragfähigkeit'!$B$11+E140*'Marge &amp; Tragfähigkeit'!$B$12</f>
        <v>13612</v>
      </c>
      <c r="G140" s="48" t="n">
        <f aca="false">IF(MOD(A140-1,12)=0,F140,G139+F140)</f>
        <v>137472</v>
      </c>
      <c r="H140" s="61" t="n">
        <f aca="false">IF(G140&gt;'Marge &amp; Tragfähigkeit'!$B$14,1,0)</f>
        <v>1</v>
      </c>
      <c r="I140" s="61" t="n">
        <f aca="false">IF(G140&gt;'Marge &amp; Tragfähigkeit'!$B$15,1,0)</f>
        <v>1</v>
      </c>
    </row>
    <row r="143" customFormat="false" ht="39.55" hidden="false" customHeight="true" outlineLevel="0" collapsed="false">
      <c r="A143" s="35" t="s">
        <v>320</v>
      </c>
      <c r="B143" s="35"/>
      <c r="C143" s="35"/>
      <c r="D143" s="35"/>
      <c r="E143" s="35"/>
      <c r="F143" s="35"/>
      <c r="G143" s="35"/>
      <c r="H143" s="35"/>
      <c r="I143" s="35"/>
    </row>
  </sheetData>
  <mergeCells count="8">
    <mergeCell ref="A2:I4"/>
    <mergeCell ref="C7:I7"/>
    <mergeCell ref="C8:I8"/>
    <mergeCell ref="C9:I9"/>
    <mergeCell ref="C10:I10"/>
    <mergeCell ref="A12:I12"/>
    <mergeCell ref="A21:I21"/>
    <mergeCell ref="A143:I1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62" t="s">
        <v>321</v>
      </c>
    </row>
    <row r="3" customFormat="false" ht="15" hidden="false" customHeight="false" outlineLevel="0" collapsed="false">
      <c r="A3" s="63" t="s">
        <v>322</v>
      </c>
    </row>
    <row r="4" customFormat="false" ht="77.6" hidden="false" customHeight="false" outlineLevel="0" collapsed="false">
      <c r="A4" s="64" t="s">
        <v>323</v>
      </c>
    </row>
    <row r="6" customFormat="false" ht="15" hidden="false" customHeight="false" outlineLevel="0" collapsed="false">
      <c r="A6" s="63" t="s">
        <v>324</v>
      </c>
    </row>
    <row r="7" customFormat="false" ht="15" hidden="false" customHeight="false" outlineLevel="0" collapsed="false">
      <c r="A7" s="65" t="s">
        <v>325</v>
      </c>
    </row>
    <row r="8" customFormat="false" ht="15" hidden="false" customHeight="false" outlineLevel="0" collapsed="false">
      <c r="A8" s="66" t="s">
        <v>326</v>
      </c>
    </row>
    <row r="9" customFormat="false" ht="15" hidden="false" customHeight="false" outlineLevel="0" collapsed="false">
      <c r="A9" s="67" t="s">
        <v>327</v>
      </c>
    </row>
    <row r="10" customFormat="false" ht="15" hidden="false" customHeight="false" outlineLevel="0" collapsed="false">
      <c r="A10" s="68" t="s">
        <v>328</v>
      </c>
    </row>
    <row r="11" customFormat="false" ht="15" hidden="false" customHeight="false" outlineLevel="0" collapsed="false">
      <c r="A11" s="69" t="s">
        <v>329</v>
      </c>
    </row>
    <row r="13" customFormat="false" ht="15" hidden="false" customHeight="false" outlineLevel="0" collapsed="false">
      <c r="A13" s="63" t="s">
        <v>330</v>
      </c>
    </row>
    <row r="14" customFormat="false" ht="15" hidden="false" customHeight="false" outlineLevel="0" collapsed="false">
      <c r="A14" s="64" t="s">
        <v>331</v>
      </c>
    </row>
    <row r="15" customFormat="false" ht="102.95" hidden="false" customHeight="false" outlineLevel="0" collapsed="false">
      <c r="A15" s="64" t="s">
        <v>332</v>
      </c>
    </row>
    <row r="16" customFormat="false" ht="26.85" hidden="false" customHeight="false" outlineLevel="0" collapsed="false">
      <c r="A16" s="64" t="s">
        <v>333</v>
      </c>
    </row>
    <row r="17" customFormat="false" ht="26.85" hidden="false" customHeight="false" outlineLevel="0" collapsed="false">
      <c r="A17" s="64" t="s">
        <v>334</v>
      </c>
    </row>
    <row r="18" customFormat="false" ht="39.55" hidden="false" customHeight="false" outlineLevel="0" collapsed="false">
      <c r="A18" s="64" t="s">
        <v>335</v>
      </c>
    </row>
    <row r="19" customFormat="false" ht="15" hidden="false" customHeight="false" outlineLevel="0" collapsed="false">
      <c r="A19" s="64" t="s">
        <v>336</v>
      </c>
    </row>
    <row r="21" customFormat="false" ht="15" hidden="false" customHeight="false" outlineLevel="0" collapsed="false">
      <c r="A21" s="63" t="s">
        <v>337</v>
      </c>
    </row>
    <row r="22" customFormat="false" ht="153.7" hidden="false" customHeight="false" outlineLevel="0" collapsed="false">
      <c r="A22" s="64" t="s">
        <v>338</v>
      </c>
    </row>
    <row r="24" customFormat="false" ht="15" hidden="false" customHeight="false" outlineLevel="0" collapsed="false">
      <c r="A24" s="63" t="s">
        <v>339</v>
      </c>
    </row>
    <row r="25" customFormat="false" ht="141" hidden="false" customHeight="false" outlineLevel="0" collapsed="false">
      <c r="A25" s="64" t="s">
        <v>340</v>
      </c>
    </row>
    <row r="27" customFormat="false" ht="15" hidden="false" customHeight="false" outlineLevel="0" collapsed="false">
      <c r="A27" s="63" t="s">
        <v>341</v>
      </c>
    </row>
    <row r="28" customFormat="false" ht="52.2" hidden="false" customHeight="false" outlineLevel="0" collapsed="false">
      <c r="A28" s="64" t="s">
        <v>342</v>
      </c>
    </row>
    <row r="29" customFormat="false" ht="26.85" hidden="false" customHeight="false" outlineLevel="0" collapsed="false">
      <c r="A29" s="64" t="s">
        <v>343</v>
      </c>
    </row>
    <row r="30" customFormat="false" ht="26.85" hidden="false" customHeight="false" outlineLevel="0" collapsed="false">
      <c r="A30" s="64" t="s">
        <v>344</v>
      </c>
    </row>
    <row r="31" customFormat="false" ht="26.85" hidden="false" customHeight="false" outlineLevel="0" collapsed="false">
      <c r="A31" s="64" t="s">
        <v>345</v>
      </c>
    </row>
    <row r="32" customFormat="false" ht="52.2" hidden="false" customHeight="false" outlineLevel="0" collapsed="false">
      <c r="A32" s="64" t="s">
        <v>346</v>
      </c>
    </row>
    <row r="33" customFormat="false" ht="26.85" hidden="false" customHeight="false" outlineLevel="0" collapsed="false">
      <c r="A33" s="64" t="s">
        <v>347</v>
      </c>
    </row>
    <row r="34" customFormat="false" ht="77.6" hidden="false" customHeight="false" outlineLevel="0" collapsed="false">
      <c r="A34" s="64" t="s">
        <v>348</v>
      </c>
    </row>
    <row r="35" customFormat="false" ht="15" hidden="false" customHeight="false" outlineLevel="0" collapsed="false">
      <c r="A35" s="64" t="s">
        <v>349</v>
      </c>
    </row>
    <row r="36" customFormat="false" ht="15" hidden="false" customHeight="false" outlineLevel="0" collapsed="false">
      <c r="A36" s="64" t="s">
        <v>350</v>
      </c>
    </row>
    <row r="37" customFormat="false" ht="26.85" hidden="false" customHeight="false" outlineLevel="0" collapsed="false">
      <c r="A37" s="64" t="s">
        <v>351</v>
      </c>
    </row>
    <row r="39" customFormat="false" ht="39.55" hidden="false" customHeight="false" outlineLevel="0" collapsed="false">
      <c r="A39" s="70" t="s">
        <v>352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2026-09-03T13:48:08Z</dcterms:created>
  <dc:creator>openpyxl</dc:creator>
  <dc:description/>
  <dc:language>en-US</dc:language>
  <cp:lastModifiedBy/>
  <dcterms:modified xsi:type="dcterms:W3CDTF">2026-09-03T13:48:08Z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