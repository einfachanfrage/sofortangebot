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Annahmen" sheetId="2" state="visible" r:id="rId2"/>
    <sheet xmlns:r="http://schemas.openxmlformats.org/officeDocument/2006/relationships" name="Kanal x Monat" sheetId="3" state="visible" r:id="rId3"/>
    <sheet xmlns:r="http://schemas.openxmlformats.org/officeDocument/2006/relationships" name="Mundpropagand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&quot; €&quot;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C2C2C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7F7F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EDEDEA"/>
        <bgColor rgb="FFF7F7F5"/>
      </patternFill>
    </fill>
  </fills>
  <borders count="2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7F7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A"/>
      <rgbColor rgb="FFCCFFFF"/>
      <rgbColor rgb="FF660066"/>
      <rgbColor rgb="FFFF8080"/>
      <rgbColor rgb="FF0066CC"/>
      <rgbColor rgb="FFD9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30" min="1" max="1"/>
  </cols>
  <sheetData>
    <row r="1" ht="17.35" customHeight="1" s="31">
      <c r="A1" s="32" t="inlineStr">
        <is>
          <t>Sofortangebot — Go-to-Market-Kanalplan (Zulieferung für CoS-F-003, 24 Monate)</t>
        </is>
      </c>
    </row>
    <row r="2" ht="23.85" customHeight="1" s="31">
      <c r="A2" s="33" t="inlineStr">
        <is>
          <t>Erstellt von Head of Marketing, 03.09.2026 · Auftrag: CoS-M-007 in docs/chief-of-staff-marketing-todos.md (dort steht die volle Begründung je Kanal).</t>
        </is>
      </c>
    </row>
    <row r="3" ht="15" customHeight="1" s="31">
      <c r="A3" s="33" t="n"/>
    </row>
    <row r="4" ht="15" customHeight="1" s="31">
      <c r="A4" s="34" t="inlineStr">
        <is>
          <t>So liest Finance dieses Sheet:</t>
        </is>
      </c>
    </row>
    <row r="5" ht="23.85" customHeight="1" s="31">
      <c r="A5" s="33" t="inlineStr">
        <is>
          <t>- Blatt 'Kanal x Monat': je Kanal fünf Zeilen — Neukunden (zahlend) in drei Szenarien, Stunden Sandy / Clemens / Head of Marketing, Sachkosten. Spalten = Monate Sep 26 bis Aug 28.</t>
        </is>
      </c>
    </row>
    <row r="6" ht="23.85" customHeight="1" s="31">
      <c r="A6" s="33" t="inlineStr">
        <is>
          <t>- Blaue Zahlen sind Eingaben (meine Kanal-Annahmen). Schwarze Zahlen sind Formeln (Summen, Kapazitätsabgleich). Bitte Eingaben ändern, nie Formeln.</t>
        </is>
      </c>
    </row>
    <row r="7" ht="23.85" customHeight="1" s="31">
      <c r="A7" s="33" t="inlineStr">
        <is>
          <t>- 'Neukunden' = Betriebe, die im jeweiligen Monat zahlend werden (nach 14-Tage-Test). Dezimalwerte sind Erwartungswerte, keine halben Kunden — über Monate summiert ergeben sie die Kurve.</t>
        </is>
      </c>
    </row>
    <row r="8" ht="23.85" customHeight="1" s="31">
      <c r="A8" s="33" t="inlineStr">
        <is>
          <t>- Szenarien: vorsichtig = jeder Kanal liefert am unteren Rand, was ich mir zutraue zu begründen · realistisch = mein bester Schätzwert · optimistisch = alles greift, aber ohne Viral-Glück und ohne Werbebudget.</t>
        </is>
      </c>
    </row>
    <row r="9" ht="23.85" customHeight="1" s="31">
      <c r="A9" s="33" t="inlineStr">
        <is>
          <t>- Mundpropaganda steht NICHT als Monatszahl hier, sondern als Parameter (Blatt 'Mundpropaganda'), weil sie eine Funktion der aktiven Kundenbasis ist, die Finance führt — bitte dort anwenden.</t>
        </is>
      </c>
    </row>
    <row r="10" ht="23.85" customHeight="1" s="31">
      <c r="A10" s="33" t="inlineStr">
        <is>
          <t>- Die Warteliste ist kein eigener Kundenkanal, sondern der Auffangbehälter aller Kanäle. Sie steht mit Stunden/Kosten drin, aber mit 0 Neukunden, damit nichts doppelt gezählt wird.</t>
        </is>
      </c>
    </row>
    <row r="11" ht="15" customHeight="1" s="31">
      <c r="A11" s="33" t="inlineStr">
        <is>
          <t>- Abwanderung (Churn) ist bewusst NICHT hier — das ist Finance-Annahme (Nachtrag 3). Mein Hinweis dazu steht im Blatt 'Annahmen'.</t>
        </is>
      </c>
    </row>
    <row r="12" ht="23.85" customHeight="1" s="31">
      <c r="A12" s="33" t="inlineStr">
        <is>
          <t>- Kapazität: Zeile 'Marketing-Stunden Sandy gesamt' gegen die zwei Kapazitätslinien (65 / 86 Std./Monat für ALLES, laut Nachtrag 4). Marketing darf davon nur einen Teil nehmen — Zielgröße: ca. ein Viertel, Oktober bewusst mehr.</t>
        </is>
      </c>
    </row>
    <row r="13" ht="15" customHeight="1" s="31">
      <c r="A13" s="33" t="n"/>
    </row>
    <row r="14" ht="15" customHeight="1" s="31">
      <c r="A14" s="34" t="inlineStr">
        <is>
          <t>Was in diesem Sheet unsicher ist (bitte nicht als Fakt lesen):</t>
        </is>
      </c>
    </row>
    <row r="15" ht="23.85" customHeight="1" s="31">
      <c r="A15" s="33" t="inlineStr">
        <is>
          <t>- Alle Neukunden-Zahlen sind begründete Annahmen ohne einen einzigen echten Datenpunkt — es gibt heute keinen Nutzer. Die Bandbreite zwischen vorsichtig und optimistisch ist bewusst groß.</t>
        </is>
      </c>
    </row>
    <row r="16" ht="23.85" customHeight="1" s="31">
      <c r="A16" s="33" t="inlineStr">
        <is>
          <t>- Dessau: Größe des Kundenstamms des Fachhandels ist NICHT bekannt (Annahme 60–100 wiederkehrende Maler-/Bodenleger-Betriebe). Erste Aufgabe im Oktober ist, diese Zahl vom Bekannten zu erfragen.</t>
        </is>
      </c>
    </row>
    <row r="17" ht="23.85" customHeight="1" s="31">
      <c r="A17" s="33" t="inlineStr">
        <is>
          <t>- Social Media: hohe Varianz. Ein einzelnes gut laufendes Reel kann einen ganzen Monat Warteliste füllen; der Plan rechnet ohne solche Ausreißer.</t>
        </is>
      </c>
    </row>
    <row r="18" ht="23.85" customHeight="1" s="31">
      <c r="A18" s="33" t="inlineStr">
        <is>
          <t>- Sachkosten sind Größenordnungen (Druck, Fahrt, kleines Equipment), keine Angebote. Tool-Kosten (Scheduling, E-Mail) sind als 0 geführt, weil kostenlose Stufen reichen sollten — falls nicht, bitte nachziehen.</t>
        </is>
      </c>
    </row>
    <row r="19" ht="15" customHeight="1" s="31">
      <c r="A19" s="33" t="n"/>
    </row>
    <row r="20" ht="23.85" customHeight="1" s="31">
      <c r="A20" s="33" t="inlineStr">
        <is>
          <t>Quellen: docs/preismodell.md (49 €/29 € Gründerpreis, 14 Tage Test) · docs/kalender.md (Gate 1 Dez 26, Launch Jan 27, Reisen) · docs/vision-strategie.md (kein Werbebudget, 15–20 Std./Woche) · docs/marketing-social-media.md (Social-Strategie).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0" min="1" max="1"/>
    <col width="20" customWidth="1" style="30" min="2" max="2"/>
    <col width="30" customWidth="1" style="30" min="3" max="3"/>
    <col width="38" customWidth="1" style="30" min="4" max="4"/>
    <col width="26" customWidth="1" style="30" min="5" max="5"/>
    <col width="24" customWidth="1" style="30" min="6" max="6"/>
    <col width="38" customWidth="1" style="30" min="7" max="7"/>
    <col width="28" customWidth="1" style="30" min="8" max="8"/>
  </cols>
  <sheetData>
    <row r="1" ht="35.05" customHeight="1" s="31">
      <c r="A1" s="35" t="inlineStr">
        <is>
          <t>Kanal</t>
        </is>
      </c>
      <c r="B1" s="35" t="inlineStr">
        <is>
          <t>Welches Kundengesicht</t>
        </is>
      </c>
      <c r="C1" s="35" t="inlineStr">
        <is>
          <t>Start / Verlaufsform</t>
        </is>
      </c>
      <c r="D1" s="35" t="inlineStr">
        <is>
          <t>Trichter-Annahme (realistisch)</t>
        </is>
      </c>
      <c r="E1" s="35" t="inlineStr">
        <is>
          <t>Stunden/Monat im laufenden Betrieb (Sandy / Clemens / HoM)</t>
        </is>
      </c>
      <c r="F1" s="35" t="inlineStr">
        <is>
          <t>Sachkosten</t>
        </is>
      </c>
      <c r="G1" s="35" t="inlineStr">
        <is>
          <t>Abbruchkriterium nach 6–8 Wochen</t>
        </is>
      </c>
      <c r="H1" s="35" t="inlineStr">
        <is>
          <t>Deckel / Grenze</t>
        </is>
      </c>
    </row>
    <row r="2" ht="150" customHeight="1" s="31">
      <c r="A2" s="36" t="inlineStr">
        <is>
          <t>1 · Dessau — Fachhandel als Empfehlungskanal (Tresen-Multiplikator)</t>
        </is>
      </c>
      <c r="B2" s="36" t="inlineStr">
        <is>
          <t>Etablierter Meister 45+ (Vertrauen über Menschen)</t>
        </is>
      </c>
      <c r="C2" s="36" t="inlineStr">
        <is>
          <t>Vorbereitung Okt 26 (Besuch, Material), aktiv ab Dez 26 mit Gate 1. Sprung Dez–Mär, danach Abklingen auf Tröpfeln. Kein Dauerbrunnen.</t>
        </is>
      </c>
      <c r="D2" s="36" t="inlineStr">
        <is>
          <t>Kundenstamm 60–100 Betriebe (ANNAHME, im Okt erfragen) → ~40 angesprochen in 6 Monaten → 12 Interessenten → 8 Testphasen → 5–6 zahlend. Vorsichtig 3, optimistisch 10.</t>
        </is>
      </c>
      <c r="E2" s="36" t="inlineStr">
        <is>
          <t>2 / 2 / 1 (Okt: 5 / 3 / 6)</t>
        </is>
      </c>
      <c r="F2" s="36" t="inlineStr">
        <is>
          <t>Okt: Druck Flyer+Aufsteller ~120 EUR, 2 Fahrten 0 EUR (Deutschlandticket) · danach ~20 EUR/Monat. ALLE Betraege BRUTTO (Endpreis inkl. USt). Druck 19 %. Fahrten Berlin&lt;&gt;Dessau: RE7 direkt, Nahverkehr - abgedeckt durch Sandys Deutschlandticket, das sie fuer ihren Angestelltenjob ohnehin haelt (Sandys Antwort, 23.09.2026). Keine zusaetzlichen Kosten, keine Vorsteuer. Als Tagesfahrten geplant, keine Uebernachtungszeile.</t>
        </is>
      </c>
      <c r="G2" s="36" t="inlineStr">
        <is>
          <t>Nach 8 Wochen ab Aktivierung weniger als 3 echte Gespräche → Material/Ansprache ändern. Weniger als 1 Testphase → Kanal auf reine Pflege (1 Std./Monat) zurückfahren.</t>
        </is>
      </c>
      <c r="H2" s="36" t="inlineStr">
        <is>
          <t>Hängt an EINER Person und EINEM Laden. Klumpenrisiko — im vorsichtigen Szenario sichtbar.</t>
        </is>
      </c>
    </row>
    <row r="3" ht="150" customHeight="1" s="31">
      <c r="A3" s="36" t="inlineStr">
        <is>
          <t>2 · Warteliste + E-Mail (eigener Kanal, Auffangbehälter)</t>
        </is>
      </c>
      <c r="B3" s="36" t="inlineStr">
        <is>
          <t>Beide</t>
        </is>
      </c>
      <c r="C3" s="36" t="inlineStr">
        <is>
          <t>Läuft seit Sommer (sofortangebot.app). Einziger Kanal, der im November ohne Präsenz arbeitet. Konvertiert, was andere Kanäle bringen.</t>
        </is>
      </c>
      <c r="D3" s="36" t="inlineStr">
        <is>
          <t>Keine eigenen Neukunden (Attribution beim Herkunftskanal). Annahme Warteliste → gestartete Testphase bei Einladung: 25–40 %. Testphase → zahlend: 30–50 % (Gründerpreis hilft).</t>
        </is>
      </c>
      <c r="E3" s="36" t="inlineStr">
        <is>
          <t>1 / 0 / 3</t>
        </is>
      </c>
      <c r="F3" s="36" t="inlineStr">
        <is>
          <t>0 (kostenlose E-Mail-Stufe angenommen — ANNAHME)</t>
        </is>
      </c>
      <c r="G3" s="36" t="inlineStr">
        <is>
          <t>Einladungsmail Dez: unter 15 % Klick auf 'Test starten' → Text/Timing ändern.</t>
        </is>
      </c>
      <c r="H3" s="36" t="inlineStr">
        <is>
          <t>Wächst nur so schnell wie die Zulieferer.</t>
        </is>
      </c>
    </row>
    <row r="4" ht="150" customHeight="1" s="31">
      <c r="A4" s="36" t="inlineStr">
        <is>
          <t>3 · Social Media organisch (TikTok zuerst, IG Reels Zweitverwertung, Clemens vor der Kamera)</t>
        </is>
      </c>
      <c r="B4" s="36" t="inlineStr">
        <is>
          <t>Nachfolgegeneration 25–40</t>
        </is>
      </c>
      <c r="C4" s="36" t="inlineStr">
        <is>
          <t>Okt = Produktionsmonat (3 Drehtage, Vorrat für Nov+Dez). Posten ab Nov. Langsame Rampe, erste Warteliste-Anmeldungen realistisch ab Jan/Feb, erste zahlende ab Feb/Mär. Deckel durch Aufmerksamkeit/Kadenz.</t>
        </is>
      </c>
      <c r="D4" s="36" t="inlineStr">
        <is>
          <t>3–4 Posts/Woche → nach 6 Monaten 800–2.500 Follower (ANNAHME) → 5–15 Warteliste/Monat → 1–3 Testphasen → 0,5–1,5 zahlend/Monat. Jahr 2 höher.</t>
        </is>
      </c>
      <c r="E4" s="36" t="inlineStr">
        <is>
          <t>12 / 6 / 10 (Okt: 12 / 8 / 12 — Vorrat)</t>
        </is>
      </c>
      <c r="F4" s="36" t="inlineStr">
        <is>
          <t>Okt einmalig ~60 € (Ansteckmikro, Stativ). BRUTTO, 19 %. Tools 0 (ANNAHME: Gratis-Stufen).</t>
        </is>
      </c>
      <c r="G4" s="36" t="inlineStr">
        <is>
          <t>Nach 8 Wochen Posten: unter 300 Follower gesamt ODER kein Post mit &gt;1.000 Views → Formate wechseln (mehr Pain-Point, weniger Erklärung). Nach 4 Monaten 0 Warteliste-Anmeldungen aus Social → Kadenz halbieren, Stunden in Fachhandel-Spielbuch umschichten.</t>
        </is>
      </c>
      <c r="H4" s="36" t="inlineStr">
        <is>
          <t>Sandys Schnittzeit und Clemens' Drehzeit. Nicht die Reichweite.</t>
        </is>
      </c>
    </row>
    <row r="5" ht="150" customHeight="1" s="31">
      <c r="A5" s="36" t="inlineStr">
        <is>
          <t>4 · Mundpropaganda / Empfehlung (Selbstverstärker)</t>
        </is>
      </c>
      <c r="B5" s="36" t="inlineStr">
        <is>
          <t>Beide — vor allem Meister zu Meister</t>
        </is>
      </c>
      <c r="C5" s="36" t="inlineStr">
        <is>
          <t>Ab dem 3. Monat nach erstem zahlenden Kunden. Funktion der aktiven Basis, mit 3 Monaten Verzögerung. Einziger Kanal, der wächst, ohne dass jemand Stunden reinsteckt.</t>
        </is>
      </c>
      <c r="D5" s="36" t="inlineStr">
        <is>
          <t>Parameter auf Blatt 'Mundpropaganda': vorsichtig 10 % / realistisch 20 % / optimistisch 35 % der aktiven Betriebe bringen pro Jahr eine Empfehlung, davon wird die Hälfte zahlend.</t>
        </is>
      </c>
      <c r="E5" s="36" t="inlineStr">
        <is>
          <t>0,5 / 0 / 1</t>
        </is>
      </c>
      <c r="F5" s="36" t="inlineStr">
        <is>
          <t>0 (ein Empfehlungs-Anreiz wäre eine Preisentscheidung — Vorschlag im Plan, Sandy entscheidet)</t>
        </is>
      </c>
      <c r="G5" s="36" t="inlineStr">
        <is>
          <t>Nach 6 Monaten mit ≥10 aktiven Kunden 0 Empfehlungen → Kunden aktiv fragen, warum nicht.</t>
        </is>
      </c>
      <c r="H5" s="36" t="inlineStr">
        <is>
          <t>Gedeckelt durch Kundenbasis × Zufriedenheit.</t>
        </is>
      </c>
    </row>
    <row r="6" ht="150" customHeight="1" s="31">
      <c r="A6" s="36" t="inlineStr">
        <is>
          <t>5 · Fachhandel-Spielbuch, kalt (weitere Läden / Großhandelstheken / Innung)</t>
        </is>
      </c>
      <c r="B6" s="36" t="inlineStr">
        <is>
          <t>Etablierter Meister</t>
        </is>
      </c>
      <c r="C6" s="36" t="inlineStr">
        <is>
          <t>Erst ab Apr 27, wenn Dessau bewiesen hat, dass die Mechanik trägt. Ein neuer Laden alle 2 Monate (realistisch). Kalt = ohne persönlichen Multiplikator, deshalb ~1/3 der Dessau-Ausbeute pro Laden.</t>
        </is>
      </c>
      <c r="D6" s="36" t="inlineStr">
        <is>
          <t>Pro kaltem Laden über 6 Monate: vorsichtig 0,5 / realistisch 1,5 / optimistisch 3 zahlende Betriebe.</t>
        </is>
      </c>
      <c r="E6" s="36" t="inlineStr">
        <is>
          <t>4 / 2 / 2 (ab Apr 27)</t>
        </is>
      </c>
      <c r="F6" s="36" t="inlineStr">
        <is>
          <t>Pro Laden ~60 EUR Druck + ~40 EUR Fahrt. BRUTTO. Druck 19 %, Fahrt = Bahn, 7 %. Fahrt hier bewusst NICHT auf 0 gesetzt, obwohl Sandy ein Deutschlandticket hat: dieser Kanal startet erst Apr 27, das Ticket haengt an ihrem Angestelltenjob, und welche Laeden es werden, steht nicht fest (ausserhalb des Nahverkehrs waere es ein eigener Fahrschein).</t>
        </is>
      </c>
      <c r="G6" s="36" t="inlineStr">
        <is>
          <t>Zwei kalte Läden testen. Unter 1 Testphase pro Laden nach 8 Wochen → nicht weiter ausrollen; stattdessen Innungen mit Referenzen angehen (Phase 4).</t>
        </is>
      </c>
      <c r="H6" s="36" t="inlineStr">
        <is>
          <t>Sandys Fahrzeit. Regional begrenzt auf Tagesreichweite.</t>
        </is>
      </c>
    </row>
    <row r="7" ht="150" customHeight="1" s="31">
      <c r="A7" s="36" t="inlineStr">
        <is>
          <t>6 · Content / SEO (Blog, Landingpage, Suchbegriffe wie 'Angebot schreiben Maler')</t>
        </is>
      </c>
      <c r="B7" s="36" t="inlineStr">
        <is>
          <t>Beide, eher Nachfolger</t>
        </is>
      </c>
      <c r="C7" s="36" t="inlineStr">
        <is>
          <t>Start Jan 27 (nach Landingpage-Rebuild). Läuft 6–12 Monate gegen Null, dann Niveau. Dauerquelle, klein.</t>
        </is>
      </c>
      <c r="D7" s="36" t="inlineStr">
        <is>
          <t>Jahr 1: praktisch 0 zahlende. Jahr 2: 0,5–1 zahlend/Monat (realistisch/optimistisch).</t>
        </is>
      </c>
      <c r="E7" s="36" t="inlineStr">
        <is>
          <t>1 / 0 / 8</t>
        </is>
      </c>
      <c r="F7" s="36" t="inlineStr">
        <is>
          <t>0</t>
        </is>
      </c>
      <c r="G7" s="36" t="inlineStr">
        <is>
          <t>Nach 6 Monaten keine organischen Landingpage-Besuche aus Suche → Kadenz auf 1 Artikel/Monat, kein weiterer Aufwand.</t>
        </is>
      </c>
      <c r="H7" s="36" t="inlineStr">
        <is>
          <t>Kleiner Markt, wenig Suchvolumen — nie ein Hauptkanal.</t>
        </is>
      </c>
    </row>
    <row r="8" ht="150" customHeight="1" s="31">
      <c r="A8" s="36" t="inlineStr">
        <is>
          <t>7 · Innungen / Handwerkskammer / Fachgruppen</t>
        </is>
      </c>
      <c r="B8" s="36" t="inlineStr">
        <is>
          <t>Etablierter Meister</t>
        </is>
      </c>
      <c r="C8" s="36" t="inlineStr">
        <is>
          <t>NICHT in den 24 Monaten eingerechnet. Braucht Referenzen und ein Produkt ohne bekannte Rechenfehler. Frühestens Phase 4 (2028) mit 25 Gründerkunden als Beleg.</t>
        </is>
      </c>
      <c r="D8" s="36" t="inlineStr">
        <is>
          <t>—</t>
        </is>
      </c>
      <c r="E8" s="36" t="inlineStr">
        <is>
          <t>—</t>
        </is>
      </c>
      <c r="F8" s="36" t="inlineStr">
        <is>
          <t>—</t>
        </is>
      </c>
      <c r="G8" s="36" t="inlineStr">
        <is>
          <t>—</t>
        </is>
      </c>
      <c r="H8" s="36" t="inlineStr">
        <is>
          <t>—</t>
        </is>
      </c>
    </row>
    <row r="10" ht="15" customHeight="1" s="31">
      <c r="A10" s="37" t="inlineStr">
        <is>
          <t>Hinweis zu Abwanderung (Finance-Annahme, nicht meine):</t>
        </is>
      </c>
    </row>
    <row r="11" ht="45" customHeight="1" s="31">
      <c r="A11" s="33" t="inlineStr">
        <is>
          <t>Aus Marketing-Sicht plausibel: 3–5 % der aktiven Betriebe pro Monat im ersten Jahr (Testphasen-Nachzügler, Saisonpausen), Gründerkunden deutlich darunter (Preis dauerhaft, Feedback-Bindung). Saisonal: Kündigungen eher Nov–Jan (Auftragsflaute), Neuabschlüsse eher Feb–Apr (Angebotssaison).</t>
        </is>
      </c>
    </row>
    <row r="13">
      <c r="A13" s="30" t="inlineStr">
        <is>
          <t>Hinweis Marketing (23.09.2026, 2. Fassung): Alle Sachkosten-Groessenordnungen auf diesem Blatt sind BRUTTO gemeint, also der Betrag, der vom Konto geht. Nicht netto. Steuersaetze: Druck/Ausruestung/Kleinbedarf 19 %, Fahrten 7 % (Bahn, § 12 Abs. 2 Nr. 10 UStG). Geaendert am 23.09.2026: die zwei Dessau-Fahrten im Okt 26 (80 EUR) stehen auf 0 EUR, weil Sandys Deutschlandticket sie abdeckt.</t>
        </is>
      </c>
    </row>
    <row r="14">
      <c r="A14" s="30" t="inlineStr">
        <is>
          <t>Sachkosten 24 Monate: 1.350 EUR (vorher 1.430 EUR). Aufschluesselung: Druck 660 EUR · Fahrten 360 EUR (nur noch kalte Laeden ab Apr 27) · Ausruestung 60 EUR · Kleinbedarf 270 EUR. Vorsteuer daraus: 181,62 EUR (vorher 186,85 EUR). Mischsatz 0,1345323176. Die Zahl im Finanzplan (Plan-Kosten AL47/AM47) setzt Finance, nicht Marketing.</t>
        </is>
      </c>
    </row>
  </sheetData>
  <mergeCells count="1">
    <mergeCell ref="A11:H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A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12" customWidth="1" style="30" min="2" max="2"/>
    <col width="8.5" customWidth="1" style="30" min="3" max="26"/>
    <col width="11" customWidth="1" style="30" min="27" max="27"/>
  </cols>
  <sheetData>
    <row r="1" ht="17.35" customHeight="1" s="31">
      <c r="A1" s="38" t="inlineStr">
        <is>
          <t>Kanal × Monat — Eingaben (blau) und Summen (schwarz)</t>
        </is>
      </c>
    </row>
    <row r="3" ht="30" customHeight="1" s="31">
      <c r="A3" s="39" t="inlineStr">
        <is>
          <t>Kanal / Kennzahl</t>
        </is>
      </c>
      <c r="B3" s="39" t="inlineStr">
        <is>
          <t>Einheit</t>
        </is>
      </c>
      <c r="C3" s="39" t="inlineStr">
        <is>
          <t>Sep 26</t>
        </is>
      </c>
      <c r="D3" s="39" t="inlineStr">
        <is>
          <t>Okt 26</t>
        </is>
      </c>
      <c r="E3" s="39" t="inlineStr">
        <is>
          <t>Nov 26</t>
        </is>
      </c>
      <c r="F3" s="39" t="inlineStr">
        <is>
          <t>Dez 26</t>
        </is>
      </c>
      <c r="G3" s="39" t="inlineStr">
        <is>
          <t>Jan 27</t>
        </is>
      </c>
      <c r="H3" s="39" t="inlineStr">
        <is>
          <t>Feb 27</t>
        </is>
      </c>
      <c r="I3" s="39" t="inlineStr">
        <is>
          <t>Mär 27</t>
        </is>
      </c>
      <c r="J3" s="39" t="inlineStr">
        <is>
          <t>Apr 27</t>
        </is>
      </c>
      <c r="K3" s="39" t="inlineStr">
        <is>
          <t>Mai 27</t>
        </is>
      </c>
      <c r="L3" s="39" t="inlineStr">
        <is>
          <t>Jun 27</t>
        </is>
      </c>
      <c r="M3" s="39" t="inlineStr">
        <is>
          <t>Jul 27</t>
        </is>
      </c>
      <c r="N3" s="39" t="inlineStr">
        <is>
          <t>Aug 27</t>
        </is>
      </c>
      <c r="O3" s="39" t="inlineStr">
        <is>
          <t>Sep 27</t>
        </is>
      </c>
      <c r="P3" s="39" t="inlineStr">
        <is>
          <t>Okt 27</t>
        </is>
      </c>
      <c r="Q3" s="39" t="inlineStr">
        <is>
          <t>Nov 27</t>
        </is>
      </c>
      <c r="R3" s="39" t="inlineStr">
        <is>
          <t>Dez 27</t>
        </is>
      </c>
      <c r="S3" s="39" t="inlineStr">
        <is>
          <t>Jan 28</t>
        </is>
      </c>
      <c r="T3" s="39" t="inlineStr">
        <is>
          <t>Feb 28</t>
        </is>
      </c>
      <c r="U3" s="39" t="inlineStr">
        <is>
          <t>Mär 28</t>
        </is>
      </c>
      <c r="V3" s="39" t="inlineStr">
        <is>
          <t>Apr 28</t>
        </is>
      </c>
      <c r="W3" s="39" t="inlineStr">
        <is>
          <t>Mai 28</t>
        </is>
      </c>
      <c r="X3" s="39" t="inlineStr">
        <is>
          <t>Jun 28</t>
        </is>
      </c>
      <c r="Y3" s="39" t="inlineStr">
        <is>
          <t>Jul 28</t>
        </is>
      </c>
      <c r="Z3" s="39" t="inlineStr">
        <is>
          <t>Aug 28</t>
        </is>
      </c>
      <c r="AA3" s="39" t="inlineStr">
        <is>
          <t>Summe 24 M</t>
        </is>
      </c>
    </row>
    <row r="4" ht="15" customHeight="1" s="31">
      <c r="A4" s="40" t="inlineStr">
        <is>
          <t>1 · Dessau — Fachhandel / Empfehlung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</row>
    <row r="5" ht="15" customHeight="1" s="31">
      <c r="A5" s="42" t="inlineStr">
        <is>
          <t xml:space="preserve">   Neukunden zahlend — vorsichtig</t>
        </is>
      </c>
      <c r="B5" s="42" t="inlineStr">
        <is>
          <t>Betriebe</t>
        </is>
      </c>
      <c r="C5" s="43" t="n">
        <v>0</v>
      </c>
      <c r="D5" s="43" t="n">
        <v>0</v>
      </c>
      <c r="E5" s="43" t="n">
        <v>0</v>
      </c>
      <c r="F5" s="43" t="n">
        <v>0</v>
      </c>
      <c r="G5" s="43" t="n">
        <v>1</v>
      </c>
      <c r="H5" s="43" t="n">
        <v>1</v>
      </c>
      <c r="I5" s="43" t="n">
        <v>1</v>
      </c>
      <c r="J5" s="43" t="n">
        <v>0</v>
      </c>
      <c r="K5" s="43" t="n">
        <v>0</v>
      </c>
      <c r="L5" s="43" t="n">
        <v>0.5</v>
      </c>
      <c r="M5" s="43" t="n">
        <v>0</v>
      </c>
      <c r="N5" s="43" t="n">
        <v>0</v>
      </c>
      <c r="O5" s="43" t="n">
        <v>0</v>
      </c>
      <c r="P5" s="43" t="n">
        <v>0</v>
      </c>
      <c r="Q5" s="43" t="n">
        <v>0</v>
      </c>
      <c r="R5" s="43" t="n">
        <v>0.5</v>
      </c>
      <c r="S5" s="43" t="n">
        <v>0</v>
      </c>
      <c r="T5" s="43" t="n">
        <v>0</v>
      </c>
      <c r="U5" s="43" t="n">
        <v>0</v>
      </c>
      <c r="V5" s="43" t="n">
        <v>0</v>
      </c>
      <c r="W5" s="43" t="n">
        <v>0</v>
      </c>
      <c r="X5" s="43" t="n">
        <v>0.5</v>
      </c>
      <c r="Y5" s="43" t="n">
        <v>0</v>
      </c>
      <c r="Z5" s="43" t="n">
        <v>0</v>
      </c>
      <c r="AA5" s="44">
        <f>SUM(C5:Z5)</f>
        <v/>
      </c>
    </row>
    <row r="6" ht="15" customHeight="1" s="31">
      <c r="A6" s="42" t="inlineStr">
        <is>
          <t xml:space="preserve">   Neukunden zahlend — realistisch</t>
        </is>
      </c>
      <c r="B6" s="42" t="inlineStr">
        <is>
          <t>Betriebe</t>
        </is>
      </c>
      <c r="C6" s="43" t="n">
        <v>0</v>
      </c>
      <c r="D6" s="43" t="n">
        <v>0</v>
      </c>
      <c r="E6" s="43" t="n">
        <v>0</v>
      </c>
      <c r="F6" s="43" t="n">
        <v>1</v>
      </c>
      <c r="G6" s="43" t="n">
        <v>1</v>
      </c>
      <c r="H6" s="43" t="n">
        <v>2</v>
      </c>
      <c r="I6" s="43" t="n">
        <v>1</v>
      </c>
      <c r="J6" s="43" t="n">
        <v>1</v>
      </c>
      <c r="K6" s="43" t="n">
        <v>0</v>
      </c>
      <c r="L6" s="43" t="n">
        <v>0</v>
      </c>
      <c r="M6" s="43" t="n">
        <v>0.5</v>
      </c>
      <c r="N6" s="43" t="n">
        <v>0</v>
      </c>
      <c r="O6" s="43" t="n">
        <v>0</v>
      </c>
      <c r="P6" s="43" t="n">
        <v>0.5</v>
      </c>
      <c r="Q6" s="43" t="n">
        <v>0</v>
      </c>
      <c r="R6" s="43" t="n">
        <v>0</v>
      </c>
      <c r="S6" s="43" t="n">
        <v>0.5</v>
      </c>
      <c r="T6" s="43" t="n">
        <v>0</v>
      </c>
      <c r="U6" s="43" t="n">
        <v>0</v>
      </c>
      <c r="V6" s="43" t="n">
        <v>0.5</v>
      </c>
      <c r="W6" s="43" t="n">
        <v>0</v>
      </c>
      <c r="X6" s="43" t="n">
        <v>0</v>
      </c>
      <c r="Y6" s="43" t="n">
        <v>0.5</v>
      </c>
      <c r="Z6" s="43" t="n">
        <v>0</v>
      </c>
      <c r="AA6" s="44">
        <f>SUM(C6:Z6)</f>
        <v/>
      </c>
    </row>
    <row r="7" ht="15" customHeight="1" s="31">
      <c r="A7" s="42" t="inlineStr">
        <is>
          <t xml:space="preserve">   Neukunden zahlend — optimistisch</t>
        </is>
      </c>
      <c r="B7" s="42" t="inlineStr">
        <is>
          <t>Betriebe</t>
        </is>
      </c>
      <c r="C7" s="43" t="n">
        <v>0</v>
      </c>
      <c r="D7" s="43" t="n">
        <v>0</v>
      </c>
      <c r="E7" s="43" t="n">
        <v>0</v>
      </c>
      <c r="F7" s="43" t="n">
        <v>1</v>
      </c>
      <c r="G7" s="43" t="n">
        <v>2</v>
      </c>
      <c r="H7" s="43" t="n">
        <v>3</v>
      </c>
      <c r="I7" s="43" t="n">
        <v>2</v>
      </c>
      <c r="J7" s="43" t="n">
        <v>1</v>
      </c>
      <c r="K7" s="43" t="n">
        <v>1</v>
      </c>
      <c r="L7" s="43" t="n">
        <v>0</v>
      </c>
      <c r="M7" s="43" t="n">
        <v>0.5</v>
      </c>
      <c r="N7" s="43" t="n">
        <v>0.5</v>
      </c>
      <c r="O7" s="43" t="n">
        <v>0.5</v>
      </c>
      <c r="P7" s="43" t="n">
        <v>0.5</v>
      </c>
      <c r="Q7" s="43" t="n">
        <v>0.5</v>
      </c>
      <c r="R7" s="43" t="n">
        <v>0.5</v>
      </c>
      <c r="S7" s="43" t="n">
        <v>0.5</v>
      </c>
      <c r="T7" s="43" t="n">
        <v>0.5</v>
      </c>
      <c r="U7" s="43" t="n">
        <v>0.5</v>
      </c>
      <c r="V7" s="43" t="n">
        <v>0.5</v>
      </c>
      <c r="W7" s="43" t="n">
        <v>0.5</v>
      </c>
      <c r="X7" s="43" t="n">
        <v>0.5</v>
      </c>
      <c r="Y7" s="43" t="n">
        <v>0.5</v>
      </c>
      <c r="Z7" s="43" t="n">
        <v>0.5</v>
      </c>
      <c r="AA7" s="44">
        <f>SUM(C7:Z7)</f>
        <v/>
      </c>
    </row>
    <row r="8" ht="15" customHeight="1" s="31">
      <c r="A8" s="42" t="inlineStr">
        <is>
          <t xml:space="preserve">   Stunden Sandy</t>
        </is>
      </c>
      <c r="B8" s="42" t="inlineStr">
        <is>
          <t>Std.</t>
        </is>
      </c>
      <c r="C8" s="45" t="n">
        <v>0</v>
      </c>
      <c r="D8" s="45" t="n">
        <v>5</v>
      </c>
      <c r="E8" s="45" t="n">
        <v>0</v>
      </c>
      <c r="F8" s="45" t="n">
        <v>2</v>
      </c>
      <c r="G8" s="45" t="n">
        <v>2</v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4">
        <f>SUM(C8:Z8)</f>
        <v/>
      </c>
    </row>
    <row r="9" ht="15" customHeight="1" s="31">
      <c r="A9" s="42" t="inlineStr">
        <is>
          <t xml:space="preserve">   Stunden Clemens</t>
        </is>
      </c>
      <c r="B9" s="42" t="inlineStr">
        <is>
          <t>Std.</t>
        </is>
      </c>
      <c r="C9" s="45" t="n">
        <v>0</v>
      </c>
      <c r="D9" s="45" t="n">
        <v>3</v>
      </c>
      <c r="E9" s="45" t="n">
        <v>0</v>
      </c>
      <c r="F9" s="45" t="n">
        <v>2</v>
      </c>
      <c r="G9" s="45" t="n">
        <v>2</v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4">
        <f>SUM(C9:Z9)</f>
        <v/>
      </c>
    </row>
    <row r="10" ht="15" customHeight="1" s="31">
      <c r="A10" s="42" t="inlineStr">
        <is>
          <t xml:space="preserve">   Stunden Head of Marketing (KI)</t>
        </is>
      </c>
      <c r="B10" s="42" t="inlineStr">
        <is>
          <t>Std.</t>
        </is>
      </c>
      <c r="C10" s="45" t="n">
        <v>0</v>
      </c>
      <c r="D10" s="45" t="n">
        <v>6</v>
      </c>
      <c r="E10" s="45" t="n">
        <v>1</v>
      </c>
      <c r="F10" s="45" t="n">
        <v>1</v>
      </c>
      <c r="G10" s="45" t="n">
        <v>1</v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0.5</v>
      </c>
      <c r="M10" s="45" t="n">
        <v>0.5</v>
      </c>
      <c r="N10" s="45" t="n">
        <v>0.5</v>
      </c>
      <c r="O10" s="45" t="n">
        <v>0.5</v>
      </c>
      <c r="P10" s="45" t="n">
        <v>0.5</v>
      </c>
      <c r="Q10" s="45" t="n">
        <v>0.5</v>
      </c>
      <c r="R10" s="45" t="n">
        <v>0.5</v>
      </c>
      <c r="S10" s="45" t="n">
        <v>0.5</v>
      </c>
      <c r="T10" s="45" t="n">
        <v>0.5</v>
      </c>
      <c r="U10" s="45" t="n">
        <v>0.5</v>
      </c>
      <c r="V10" s="45" t="n">
        <v>0.5</v>
      </c>
      <c r="W10" s="45" t="n">
        <v>0.5</v>
      </c>
      <c r="X10" s="45" t="n">
        <v>0.5</v>
      </c>
      <c r="Y10" s="45" t="n">
        <v>0.5</v>
      </c>
      <c r="Z10" s="45" t="n">
        <v>0.5</v>
      </c>
      <c r="AA10" s="44">
        <f>SUM(C10:Z10)</f>
        <v/>
      </c>
    </row>
    <row r="11" ht="15" customHeight="1" s="31">
      <c r="A11" s="42" t="inlineStr">
        <is>
          <t xml:space="preserve">   Sachkosten</t>
        </is>
      </c>
      <c r="B11" s="42" t="inlineStr">
        <is>
          <t>€</t>
        </is>
      </c>
      <c r="C11" s="46" t="n">
        <v>0</v>
      </c>
      <c r="D11" s="46" t="n">
        <v>120</v>
      </c>
      <c r="E11" s="46" t="n">
        <v>0</v>
      </c>
      <c r="F11" s="46" t="n">
        <v>20</v>
      </c>
      <c r="G11" s="46" t="n">
        <v>20</v>
      </c>
      <c r="H11" s="46" t="n">
        <v>20</v>
      </c>
      <c r="I11" s="46" t="n">
        <v>20</v>
      </c>
      <c r="J11" s="46" t="n">
        <v>20</v>
      </c>
      <c r="K11" s="46" t="n">
        <v>20</v>
      </c>
      <c r="L11" s="46" t="n">
        <v>10</v>
      </c>
      <c r="M11" s="46" t="n">
        <v>10</v>
      </c>
      <c r="N11" s="46" t="n">
        <v>10</v>
      </c>
      <c r="O11" s="46" t="n">
        <v>10</v>
      </c>
      <c r="P11" s="46" t="n">
        <v>10</v>
      </c>
      <c r="Q11" s="46" t="n">
        <v>10</v>
      </c>
      <c r="R11" s="46" t="n">
        <v>10</v>
      </c>
      <c r="S11" s="46" t="n">
        <v>10</v>
      </c>
      <c r="T11" s="46" t="n">
        <v>10</v>
      </c>
      <c r="U11" s="46" t="n">
        <v>10</v>
      </c>
      <c r="V11" s="46" t="n">
        <v>10</v>
      </c>
      <c r="W11" s="46" t="n">
        <v>10</v>
      </c>
      <c r="X11" s="46" t="n">
        <v>10</v>
      </c>
      <c r="Y11" s="46" t="n">
        <v>10</v>
      </c>
      <c r="Z11" s="46" t="n">
        <v>10</v>
      </c>
      <c r="AA11" s="47">
        <f>SUM(C11:Z11)</f>
        <v/>
      </c>
    </row>
    <row r="13" ht="15" customHeight="1" s="31">
      <c r="A13" s="40" t="inlineStr">
        <is>
          <t>2 · Warteliste + E-Mail (Auffangbehälter, 0 Neukunden — Attribution beim Herkunftskanal)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</row>
    <row r="14" ht="15" customHeight="1" s="31">
      <c r="A14" s="42" t="inlineStr">
        <is>
          <t xml:space="preserve">   Neukunden zahlend — vorsichtig</t>
        </is>
      </c>
      <c r="B14" s="42" t="inlineStr">
        <is>
          <t>Betriebe</t>
        </is>
      </c>
      <c r="C14" s="43" t="n">
        <v>0</v>
      </c>
      <c r="D14" s="43" t="n">
        <v>0</v>
      </c>
      <c r="E14" s="43" t="n">
        <v>0</v>
      </c>
      <c r="F14" s="43" t="n">
        <v>0</v>
      </c>
      <c r="G14" s="43" t="n">
        <v>0</v>
      </c>
      <c r="H14" s="43" t="n">
        <v>0</v>
      </c>
      <c r="I14" s="43" t="n">
        <v>0</v>
      </c>
      <c r="J14" s="43" t="n">
        <v>0</v>
      </c>
      <c r="K14" s="43" t="n">
        <v>0</v>
      </c>
      <c r="L14" s="43" t="n">
        <v>0</v>
      </c>
      <c r="M14" s="43" t="n">
        <v>0</v>
      </c>
      <c r="N14" s="43" t="n">
        <v>0</v>
      </c>
      <c r="O14" s="43" t="n">
        <v>0</v>
      </c>
      <c r="P14" s="43" t="n">
        <v>0</v>
      </c>
      <c r="Q14" s="43" t="n">
        <v>0</v>
      </c>
      <c r="R14" s="43" t="n">
        <v>0</v>
      </c>
      <c r="S14" s="43" t="n">
        <v>0</v>
      </c>
      <c r="T14" s="43" t="n">
        <v>0</v>
      </c>
      <c r="U14" s="43" t="n">
        <v>0</v>
      </c>
      <c r="V14" s="43" t="n">
        <v>0</v>
      </c>
      <c r="W14" s="43" t="n">
        <v>0</v>
      </c>
      <c r="X14" s="43" t="n">
        <v>0</v>
      </c>
      <c r="Y14" s="43" t="n">
        <v>0</v>
      </c>
      <c r="Z14" s="43" t="n">
        <v>0</v>
      </c>
      <c r="AA14" s="44">
        <f>SUM(C14:Z14)</f>
        <v/>
      </c>
    </row>
    <row r="15" ht="15" customHeight="1" s="31">
      <c r="A15" s="42" t="inlineStr">
        <is>
          <t xml:space="preserve">   Neukunden zahlend — realistisch</t>
        </is>
      </c>
      <c r="B15" s="42" t="inlineStr">
        <is>
          <t>Betriebe</t>
        </is>
      </c>
      <c r="C15" s="43" t="n">
        <v>0</v>
      </c>
      <c r="D15" s="43" t="n">
        <v>0</v>
      </c>
      <c r="E15" s="43" t="n">
        <v>0</v>
      </c>
      <c r="F15" s="43" t="n">
        <v>0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3" t="n">
        <v>0</v>
      </c>
      <c r="M15" s="43" t="n">
        <v>0</v>
      </c>
      <c r="N15" s="43" t="n">
        <v>0</v>
      </c>
      <c r="O15" s="43" t="n">
        <v>0</v>
      </c>
      <c r="P15" s="43" t="n">
        <v>0</v>
      </c>
      <c r="Q15" s="43" t="n">
        <v>0</v>
      </c>
      <c r="R15" s="43" t="n">
        <v>0</v>
      </c>
      <c r="S15" s="43" t="n">
        <v>0</v>
      </c>
      <c r="T15" s="43" t="n">
        <v>0</v>
      </c>
      <c r="U15" s="43" t="n">
        <v>0</v>
      </c>
      <c r="V15" s="43" t="n">
        <v>0</v>
      </c>
      <c r="W15" s="43" t="n">
        <v>0</v>
      </c>
      <c r="X15" s="43" t="n">
        <v>0</v>
      </c>
      <c r="Y15" s="43" t="n">
        <v>0</v>
      </c>
      <c r="Z15" s="43" t="n">
        <v>0</v>
      </c>
      <c r="AA15" s="44">
        <f>SUM(C15:Z15)</f>
        <v/>
      </c>
    </row>
    <row r="16" ht="15" customHeight="1" s="31">
      <c r="A16" s="42" t="inlineStr">
        <is>
          <t xml:space="preserve">   Neukunden zahlend — optimistisch</t>
        </is>
      </c>
      <c r="B16" s="42" t="inlineStr">
        <is>
          <t>Betriebe</t>
        </is>
      </c>
      <c r="C16" s="43" t="n">
        <v>0</v>
      </c>
      <c r="D16" s="43" t="n">
        <v>0</v>
      </c>
      <c r="E16" s="43" t="n">
        <v>0</v>
      </c>
      <c r="F16" s="43" t="n">
        <v>0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3" t="n">
        <v>0</v>
      </c>
      <c r="M16" s="43" t="n">
        <v>0</v>
      </c>
      <c r="N16" s="43" t="n">
        <v>0</v>
      </c>
      <c r="O16" s="43" t="n">
        <v>0</v>
      </c>
      <c r="P16" s="43" t="n">
        <v>0</v>
      </c>
      <c r="Q16" s="43" t="n">
        <v>0</v>
      </c>
      <c r="R16" s="43" t="n">
        <v>0</v>
      </c>
      <c r="S16" s="43" t="n">
        <v>0</v>
      </c>
      <c r="T16" s="43" t="n">
        <v>0</v>
      </c>
      <c r="U16" s="43" t="n">
        <v>0</v>
      </c>
      <c r="V16" s="43" t="n">
        <v>0</v>
      </c>
      <c r="W16" s="43" t="n">
        <v>0</v>
      </c>
      <c r="X16" s="43" t="n">
        <v>0</v>
      </c>
      <c r="Y16" s="43" t="n">
        <v>0</v>
      </c>
      <c r="Z16" s="43" t="n">
        <v>0</v>
      </c>
      <c r="AA16" s="44">
        <f>SUM(C16:Z16)</f>
        <v/>
      </c>
    </row>
    <row r="17" ht="15" customHeight="1" s="31">
      <c r="A17" s="42" t="inlineStr">
        <is>
          <t xml:space="preserve">   Stunden Sandy</t>
        </is>
      </c>
      <c r="B17" s="42" t="inlineStr">
        <is>
          <t>Std.</t>
        </is>
      </c>
      <c r="C17" s="45" t="n">
        <v>2</v>
      </c>
      <c r="D17" s="45" t="n">
        <v>1</v>
      </c>
      <c r="E17" s="45" t="n">
        <v>1</v>
      </c>
      <c r="F17" s="45" t="n">
        <v>1</v>
      </c>
      <c r="G17" s="45" t="n">
        <v>1</v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4">
        <f>SUM(C17:Z17)</f>
        <v/>
      </c>
    </row>
    <row r="18" ht="15" customHeight="1" s="31">
      <c r="A18" s="42" t="inlineStr">
        <is>
          <t xml:space="preserve">   Stunden Clemens</t>
        </is>
      </c>
      <c r="B18" s="42" t="inlineStr">
        <is>
          <t>Std.</t>
        </is>
      </c>
      <c r="C18" s="45" t="n">
        <v>0</v>
      </c>
      <c r="D18" s="45" t="n">
        <v>0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5" t="n">
        <v>0</v>
      </c>
      <c r="K18" s="45" t="n">
        <v>0</v>
      </c>
      <c r="L18" s="45" t="n">
        <v>0</v>
      </c>
      <c r="M18" s="45" t="n">
        <v>0</v>
      </c>
      <c r="N18" s="45" t="n">
        <v>0</v>
      </c>
      <c r="O18" s="45" t="n">
        <v>0</v>
      </c>
      <c r="P18" s="45" t="n">
        <v>0</v>
      </c>
      <c r="Q18" s="45" t="n">
        <v>0</v>
      </c>
      <c r="R18" s="45" t="n">
        <v>0</v>
      </c>
      <c r="S18" s="45" t="n">
        <v>0</v>
      </c>
      <c r="T18" s="45" t="n">
        <v>0</v>
      </c>
      <c r="U18" s="45" t="n">
        <v>0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4">
        <f>SUM(C18:Z18)</f>
        <v/>
      </c>
    </row>
    <row r="19" ht="15" customHeight="1" s="31">
      <c r="A19" s="42" t="inlineStr">
        <is>
          <t xml:space="preserve">   Stunden Head of Marketing (KI)</t>
        </is>
      </c>
      <c r="B19" s="42" t="inlineStr">
        <is>
          <t>Std.</t>
        </is>
      </c>
      <c r="C19" s="45" t="n">
        <v>4</v>
      </c>
      <c r="D19" s="45" t="n">
        <v>2</v>
      </c>
      <c r="E19" s="45" t="n">
        <v>2</v>
      </c>
      <c r="F19" s="45" t="n">
        <v>3</v>
      </c>
      <c r="G19" s="45" t="n">
        <v>3</v>
      </c>
      <c r="H19" s="45" t="n">
        <v>3</v>
      </c>
      <c r="I19" s="45" t="n">
        <v>3</v>
      </c>
      <c r="J19" s="45" t="n">
        <v>3</v>
      </c>
      <c r="K19" s="45" t="n">
        <v>3</v>
      </c>
      <c r="L19" s="45" t="n">
        <v>3</v>
      </c>
      <c r="M19" s="45" t="n">
        <v>3</v>
      </c>
      <c r="N19" s="45" t="n">
        <v>3</v>
      </c>
      <c r="O19" s="45" t="n">
        <v>3</v>
      </c>
      <c r="P19" s="45" t="n">
        <v>3</v>
      </c>
      <c r="Q19" s="45" t="n">
        <v>3</v>
      </c>
      <c r="R19" s="45" t="n">
        <v>3</v>
      </c>
      <c r="S19" s="45" t="n">
        <v>3</v>
      </c>
      <c r="T19" s="45" t="n">
        <v>3</v>
      </c>
      <c r="U19" s="45" t="n">
        <v>3</v>
      </c>
      <c r="V19" s="45" t="n">
        <v>3</v>
      </c>
      <c r="W19" s="45" t="n">
        <v>3</v>
      </c>
      <c r="X19" s="45" t="n">
        <v>3</v>
      </c>
      <c r="Y19" s="45" t="n">
        <v>3</v>
      </c>
      <c r="Z19" s="45" t="n">
        <v>3</v>
      </c>
      <c r="AA19" s="44">
        <f>SUM(C19:Z19)</f>
        <v/>
      </c>
    </row>
    <row r="20" ht="15" customHeight="1" s="31">
      <c r="A20" s="42" t="inlineStr">
        <is>
          <t xml:space="preserve">   Sachkosten</t>
        </is>
      </c>
      <c r="B20" s="42" t="inlineStr">
        <is>
          <t>€</t>
        </is>
      </c>
      <c r="C20" s="46" t="n">
        <v>0</v>
      </c>
      <c r="D20" s="46" t="n">
        <v>0</v>
      </c>
      <c r="E20" s="46" t="n">
        <v>0</v>
      </c>
      <c r="F20" s="46" t="n">
        <v>0</v>
      </c>
      <c r="G20" s="46" t="n">
        <v>0</v>
      </c>
      <c r="H20" s="46" t="n">
        <v>0</v>
      </c>
      <c r="I20" s="46" t="n">
        <v>0</v>
      </c>
      <c r="J20" s="46" t="n">
        <v>0</v>
      </c>
      <c r="K20" s="46" t="n">
        <v>0</v>
      </c>
      <c r="L20" s="46" t="n">
        <v>0</v>
      </c>
      <c r="M20" s="46" t="n">
        <v>0</v>
      </c>
      <c r="N20" s="46" t="n">
        <v>0</v>
      </c>
      <c r="O20" s="46" t="n">
        <v>0</v>
      </c>
      <c r="P20" s="46" t="n">
        <v>0</v>
      </c>
      <c r="Q20" s="46" t="n">
        <v>0</v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7">
        <f>SUM(C20:Z20)</f>
        <v/>
      </c>
    </row>
    <row r="22" ht="15" customHeight="1" s="31">
      <c r="A22" s="40" t="inlineStr">
        <is>
          <t>3 · Social Media organisch (TikTok / IG Reels)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</row>
    <row r="23" ht="15" customHeight="1" s="31">
      <c r="A23" s="42" t="inlineStr">
        <is>
          <t xml:space="preserve">   Neukunden zahlend — vorsichtig</t>
        </is>
      </c>
      <c r="B23" s="42" t="inlineStr">
        <is>
          <t>Betriebe</t>
        </is>
      </c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0.25</v>
      </c>
      <c r="J23" s="43" t="n">
        <v>0.25</v>
      </c>
      <c r="K23" s="43" t="n">
        <v>0.25</v>
      </c>
      <c r="L23" s="43" t="n">
        <v>0.25</v>
      </c>
      <c r="M23" s="43" t="n">
        <v>0.25</v>
      </c>
      <c r="N23" s="43" t="n">
        <v>0.25</v>
      </c>
      <c r="O23" s="43" t="n">
        <v>0.5</v>
      </c>
      <c r="P23" s="43" t="n">
        <v>0.5</v>
      </c>
      <c r="Q23" s="43" t="n">
        <v>0.5</v>
      </c>
      <c r="R23" s="43" t="n">
        <v>0.5</v>
      </c>
      <c r="S23" s="43" t="n">
        <v>0.5</v>
      </c>
      <c r="T23" s="43" t="n">
        <v>0.5</v>
      </c>
      <c r="U23" s="43" t="n">
        <v>0.75</v>
      </c>
      <c r="V23" s="43" t="n">
        <v>0.75</v>
      </c>
      <c r="W23" s="43" t="n">
        <v>0.75</v>
      </c>
      <c r="X23" s="43" t="n">
        <v>0.75</v>
      </c>
      <c r="Y23" s="43" t="n">
        <v>0.75</v>
      </c>
      <c r="Z23" s="43" t="n">
        <v>0.75</v>
      </c>
      <c r="AA23" s="44">
        <f>SUM(C23:Z23)</f>
        <v/>
      </c>
    </row>
    <row r="24" ht="15" customHeight="1" s="31">
      <c r="A24" s="42" t="inlineStr">
        <is>
          <t xml:space="preserve">   Neukunden zahlend — realistisch</t>
        </is>
      </c>
      <c r="B24" s="42" t="inlineStr">
        <is>
          <t>Betriebe</t>
        </is>
      </c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0.5</v>
      </c>
      <c r="H24" s="43" t="n">
        <v>0.5</v>
      </c>
      <c r="I24" s="43" t="n">
        <v>1</v>
      </c>
      <c r="J24" s="43" t="n">
        <v>1</v>
      </c>
      <c r="K24" s="43" t="n">
        <v>1</v>
      </c>
      <c r="L24" s="43" t="n">
        <v>1</v>
      </c>
      <c r="M24" s="43" t="n">
        <v>1.5</v>
      </c>
      <c r="N24" s="43" t="n">
        <v>1.5</v>
      </c>
      <c r="O24" s="43" t="n">
        <v>1.5</v>
      </c>
      <c r="P24" s="43" t="n">
        <v>1.5</v>
      </c>
      <c r="Q24" s="43" t="n">
        <v>1.5</v>
      </c>
      <c r="R24" s="43" t="n">
        <v>1.5</v>
      </c>
      <c r="S24" s="43" t="n">
        <v>2</v>
      </c>
      <c r="T24" s="43" t="n">
        <v>2</v>
      </c>
      <c r="U24" s="43" t="n">
        <v>2</v>
      </c>
      <c r="V24" s="43" t="n">
        <v>2</v>
      </c>
      <c r="W24" s="43" t="n">
        <v>2</v>
      </c>
      <c r="X24" s="43" t="n">
        <v>2</v>
      </c>
      <c r="Y24" s="43" t="n">
        <v>2</v>
      </c>
      <c r="Z24" s="43" t="n">
        <v>2</v>
      </c>
      <c r="AA24" s="44">
        <f>SUM(C24:Z24)</f>
        <v/>
      </c>
    </row>
    <row r="25" ht="15" customHeight="1" s="31">
      <c r="A25" s="42" t="inlineStr">
        <is>
          <t xml:space="preserve">   Neukunden zahlend — optimistisch</t>
        </is>
      </c>
      <c r="B25" s="42" t="inlineStr">
        <is>
          <t>Betriebe</t>
        </is>
      </c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0.5</v>
      </c>
      <c r="H25" s="43" t="n">
        <v>1</v>
      </c>
      <c r="I25" s="43" t="n">
        <v>2</v>
      </c>
      <c r="J25" s="43" t="n">
        <v>2</v>
      </c>
      <c r="K25" s="43" t="n">
        <v>2</v>
      </c>
      <c r="L25" s="43" t="n">
        <v>3</v>
      </c>
      <c r="M25" s="43" t="n">
        <v>3</v>
      </c>
      <c r="N25" s="43" t="n">
        <v>3</v>
      </c>
      <c r="O25" s="43" t="n">
        <v>3</v>
      </c>
      <c r="P25" s="43" t="n">
        <v>3</v>
      </c>
      <c r="Q25" s="43" t="n">
        <v>3</v>
      </c>
      <c r="R25" s="43" t="n">
        <v>3</v>
      </c>
      <c r="S25" s="43" t="n">
        <v>4</v>
      </c>
      <c r="T25" s="43" t="n">
        <v>4</v>
      </c>
      <c r="U25" s="43" t="n">
        <v>4</v>
      </c>
      <c r="V25" s="43" t="n">
        <v>4</v>
      </c>
      <c r="W25" s="43" t="n">
        <v>4</v>
      </c>
      <c r="X25" s="43" t="n">
        <v>4</v>
      </c>
      <c r="Y25" s="43" t="n">
        <v>4</v>
      </c>
      <c r="Z25" s="43" t="n">
        <v>4</v>
      </c>
      <c r="AA25" s="44">
        <f>SUM(C25:Z25)</f>
        <v/>
      </c>
    </row>
    <row r="26" ht="15" customHeight="1" s="31">
      <c r="A26" s="42" t="inlineStr">
        <is>
          <t xml:space="preserve">   Stunden Sandy</t>
        </is>
      </c>
      <c r="B26" s="42" t="inlineStr">
        <is>
          <t>Std.</t>
        </is>
      </c>
      <c r="C26" s="45" t="n">
        <v>2</v>
      </c>
      <c r="D26" s="45" t="n">
        <v>12</v>
      </c>
      <c r="E26" s="45" t="n">
        <v>4</v>
      </c>
      <c r="F26" s="45" t="n">
        <v>12</v>
      </c>
      <c r="G26" s="45" t="n">
        <v>12</v>
      </c>
      <c r="H26" s="45" t="n">
        <v>12</v>
      </c>
      <c r="I26" s="45" t="n">
        <v>12</v>
      </c>
      <c r="J26" s="45" t="n">
        <v>12</v>
      </c>
      <c r="K26" s="45" t="n">
        <v>12</v>
      </c>
      <c r="L26" s="45" t="n">
        <v>12</v>
      </c>
      <c r="M26" s="45" t="n">
        <v>12</v>
      </c>
      <c r="N26" s="45" t="n">
        <v>12</v>
      </c>
      <c r="O26" s="45" t="n">
        <v>12</v>
      </c>
      <c r="P26" s="45" t="n">
        <v>12</v>
      </c>
      <c r="Q26" s="45" t="n">
        <v>12</v>
      </c>
      <c r="R26" s="45" t="n">
        <v>12</v>
      </c>
      <c r="S26" s="45" t="n">
        <v>12</v>
      </c>
      <c r="T26" s="45" t="n">
        <v>12</v>
      </c>
      <c r="U26" s="45" t="n">
        <v>12</v>
      </c>
      <c r="V26" s="45" t="n">
        <v>12</v>
      </c>
      <c r="W26" s="45" t="n">
        <v>12</v>
      </c>
      <c r="X26" s="45" t="n">
        <v>12</v>
      </c>
      <c r="Y26" s="45" t="n">
        <v>12</v>
      </c>
      <c r="Z26" s="45" t="n">
        <v>12</v>
      </c>
      <c r="AA26" s="44">
        <f>SUM(C26:Z26)</f>
        <v/>
      </c>
    </row>
    <row r="27" ht="15" customHeight="1" s="31">
      <c r="A27" s="42" t="inlineStr">
        <is>
          <t xml:space="preserve">   Stunden Clemens</t>
        </is>
      </c>
      <c r="B27" s="42" t="inlineStr">
        <is>
          <t>Std.</t>
        </is>
      </c>
      <c r="C27" s="45" t="n">
        <v>0</v>
      </c>
      <c r="D27" s="45" t="n">
        <v>8</v>
      </c>
      <c r="E27" s="45" t="n">
        <v>0</v>
      </c>
      <c r="F27" s="45" t="n">
        <v>6</v>
      </c>
      <c r="G27" s="45" t="n">
        <v>6</v>
      </c>
      <c r="H27" s="45" t="n">
        <v>6</v>
      </c>
      <c r="I27" s="45" t="n">
        <v>6</v>
      </c>
      <c r="J27" s="45" t="n">
        <v>6</v>
      </c>
      <c r="K27" s="45" t="n">
        <v>6</v>
      </c>
      <c r="L27" s="45" t="n">
        <v>6</v>
      </c>
      <c r="M27" s="45" t="n">
        <v>6</v>
      </c>
      <c r="N27" s="45" t="n">
        <v>6</v>
      </c>
      <c r="O27" s="45" t="n">
        <v>6</v>
      </c>
      <c r="P27" s="45" t="n">
        <v>6</v>
      </c>
      <c r="Q27" s="45" t="n">
        <v>6</v>
      </c>
      <c r="R27" s="45" t="n">
        <v>6</v>
      </c>
      <c r="S27" s="45" t="n">
        <v>6</v>
      </c>
      <c r="T27" s="45" t="n">
        <v>6</v>
      </c>
      <c r="U27" s="45" t="n">
        <v>6</v>
      </c>
      <c r="V27" s="45" t="n">
        <v>6</v>
      </c>
      <c r="W27" s="45" t="n">
        <v>6</v>
      </c>
      <c r="X27" s="45" t="n">
        <v>6</v>
      </c>
      <c r="Y27" s="45" t="n">
        <v>6</v>
      </c>
      <c r="Z27" s="45" t="n">
        <v>6</v>
      </c>
      <c r="AA27" s="44">
        <f>SUM(C27:Z27)</f>
        <v/>
      </c>
    </row>
    <row r="28" ht="15" customHeight="1" s="31">
      <c r="A28" s="42" t="inlineStr">
        <is>
          <t xml:space="preserve">   Stunden Head of Marketing (KI)</t>
        </is>
      </c>
      <c r="B28" s="42" t="inlineStr">
        <is>
          <t>Std.</t>
        </is>
      </c>
      <c r="C28" s="45" t="n">
        <v>6</v>
      </c>
      <c r="D28" s="45" t="n">
        <v>12</v>
      </c>
      <c r="E28" s="45" t="n">
        <v>6</v>
      </c>
      <c r="F28" s="45" t="n">
        <v>10</v>
      </c>
      <c r="G28" s="45" t="n">
        <v>10</v>
      </c>
      <c r="H28" s="45" t="n">
        <v>10</v>
      </c>
      <c r="I28" s="45" t="n">
        <v>10</v>
      </c>
      <c r="J28" s="45" t="n">
        <v>10</v>
      </c>
      <c r="K28" s="45" t="n">
        <v>10</v>
      </c>
      <c r="L28" s="45" t="n">
        <v>10</v>
      </c>
      <c r="M28" s="45" t="n">
        <v>10</v>
      </c>
      <c r="N28" s="45" t="n">
        <v>10</v>
      </c>
      <c r="O28" s="45" t="n">
        <v>10</v>
      </c>
      <c r="P28" s="45" t="n">
        <v>10</v>
      </c>
      <c r="Q28" s="45" t="n">
        <v>10</v>
      </c>
      <c r="R28" s="45" t="n">
        <v>10</v>
      </c>
      <c r="S28" s="45" t="n">
        <v>10</v>
      </c>
      <c r="T28" s="45" t="n">
        <v>10</v>
      </c>
      <c r="U28" s="45" t="n">
        <v>10</v>
      </c>
      <c r="V28" s="45" t="n">
        <v>10</v>
      </c>
      <c r="W28" s="45" t="n">
        <v>10</v>
      </c>
      <c r="X28" s="45" t="n">
        <v>10</v>
      </c>
      <c r="Y28" s="45" t="n">
        <v>10</v>
      </c>
      <c r="Z28" s="45" t="n">
        <v>10</v>
      </c>
      <c r="AA28" s="44">
        <f>SUM(C28:Z28)</f>
        <v/>
      </c>
    </row>
    <row r="29" ht="15" customHeight="1" s="31">
      <c r="A29" s="42" t="inlineStr">
        <is>
          <t xml:space="preserve">   Sachkosten</t>
        </is>
      </c>
      <c r="B29" s="42" t="inlineStr">
        <is>
          <t>€</t>
        </is>
      </c>
      <c r="C29" s="46" t="n">
        <v>0</v>
      </c>
      <c r="D29" s="46" t="n">
        <v>60</v>
      </c>
      <c r="E29" s="46" t="n">
        <v>0</v>
      </c>
      <c r="F29" s="46" t="n">
        <v>0</v>
      </c>
      <c r="G29" s="46" t="n">
        <v>0</v>
      </c>
      <c r="H29" s="46" t="n">
        <v>0</v>
      </c>
      <c r="I29" s="46" t="n">
        <v>0</v>
      </c>
      <c r="J29" s="46" t="n">
        <v>0</v>
      </c>
      <c r="K29" s="46" t="n">
        <v>0</v>
      </c>
      <c r="L29" s="46" t="n">
        <v>0</v>
      </c>
      <c r="M29" s="46" t="n">
        <v>0</v>
      </c>
      <c r="N29" s="46" t="n">
        <v>0</v>
      </c>
      <c r="O29" s="46" t="n">
        <v>0</v>
      </c>
      <c r="P29" s="46" t="n">
        <v>0</v>
      </c>
      <c r="Q29" s="46" t="n">
        <v>0</v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7">
        <f>SUM(C29:Z29)</f>
        <v/>
      </c>
    </row>
    <row r="31" ht="15" customHeight="1" s="31">
      <c r="A31" s="40" t="inlineStr">
        <is>
          <t>4 · Mundpropaganda (Neukunden siehe Blatt 'Mundpropaganda' — Funktion der aktiven Basis)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</row>
    <row r="32" ht="15" customHeight="1" s="31">
      <c r="A32" s="42" t="inlineStr">
        <is>
          <t xml:space="preserve">   Neukunden zahlend — vorsichtig</t>
        </is>
      </c>
      <c r="B32" s="42" t="inlineStr">
        <is>
          <t>Betriebe</t>
        </is>
      </c>
      <c r="C32" s="43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3" t="n">
        <v>0</v>
      </c>
      <c r="M32" s="43" t="n">
        <v>0</v>
      </c>
      <c r="N32" s="43" t="n">
        <v>0</v>
      </c>
      <c r="O32" s="43" t="n">
        <v>0</v>
      </c>
      <c r="P32" s="43" t="n">
        <v>0</v>
      </c>
      <c r="Q32" s="43" t="n">
        <v>0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4">
        <f>SUM(C32:Z32)</f>
        <v/>
      </c>
    </row>
    <row r="33" ht="15" customHeight="1" s="31">
      <c r="A33" s="42" t="inlineStr">
        <is>
          <t xml:space="preserve">   Neukunden zahlend — realistisch</t>
        </is>
      </c>
      <c r="B33" s="42" t="inlineStr">
        <is>
          <t>Betriebe</t>
        </is>
      </c>
      <c r="C33" s="43" t="n">
        <v>0</v>
      </c>
      <c r="D33" s="43" t="n">
        <v>0</v>
      </c>
      <c r="E33" s="43" t="n">
        <v>0</v>
      </c>
      <c r="F33" s="43" t="n">
        <v>0</v>
      </c>
      <c r="G33" s="43" t="n">
        <v>0</v>
      </c>
      <c r="H33" s="43" t="n">
        <v>0</v>
      </c>
      <c r="I33" s="43" t="n">
        <v>0</v>
      </c>
      <c r="J33" s="43" t="n">
        <v>0</v>
      </c>
      <c r="K33" s="43" t="n">
        <v>0</v>
      </c>
      <c r="L33" s="43" t="n">
        <v>0</v>
      </c>
      <c r="M33" s="43" t="n">
        <v>0</v>
      </c>
      <c r="N33" s="43" t="n">
        <v>0</v>
      </c>
      <c r="O33" s="43" t="n">
        <v>0</v>
      </c>
      <c r="P33" s="43" t="n">
        <v>0</v>
      </c>
      <c r="Q33" s="43" t="n">
        <v>0</v>
      </c>
      <c r="R33" s="43" t="n">
        <v>0</v>
      </c>
      <c r="S33" s="43" t="n">
        <v>0</v>
      </c>
      <c r="T33" s="43" t="n">
        <v>0</v>
      </c>
      <c r="U33" s="43" t="n">
        <v>0</v>
      </c>
      <c r="V33" s="43" t="n">
        <v>0</v>
      </c>
      <c r="W33" s="43" t="n">
        <v>0</v>
      </c>
      <c r="X33" s="43" t="n">
        <v>0</v>
      </c>
      <c r="Y33" s="43" t="n">
        <v>0</v>
      </c>
      <c r="Z33" s="43" t="n">
        <v>0</v>
      </c>
      <c r="AA33" s="44">
        <f>SUM(C33:Z33)</f>
        <v/>
      </c>
    </row>
    <row r="34" ht="15" customHeight="1" s="31">
      <c r="A34" s="42" t="inlineStr">
        <is>
          <t xml:space="preserve">   Neukunden zahlend — optimistisch</t>
        </is>
      </c>
      <c r="B34" s="42" t="inlineStr">
        <is>
          <t>Betriebe</t>
        </is>
      </c>
      <c r="C34" s="43" t="n">
        <v>0</v>
      </c>
      <c r="D34" s="43" t="n">
        <v>0</v>
      </c>
      <c r="E34" s="43" t="n">
        <v>0</v>
      </c>
      <c r="F34" s="43" t="n">
        <v>0</v>
      </c>
      <c r="G34" s="43" t="n">
        <v>0</v>
      </c>
      <c r="H34" s="43" t="n">
        <v>0</v>
      </c>
      <c r="I34" s="43" t="n">
        <v>0</v>
      </c>
      <c r="J34" s="43" t="n">
        <v>0</v>
      </c>
      <c r="K34" s="43" t="n">
        <v>0</v>
      </c>
      <c r="L34" s="43" t="n">
        <v>0</v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0</v>
      </c>
      <c r="R34" s="43" t="n">
        <v>0</v>
      </c>
      <c r="S34" s="43" t="n">
        <v>0</v>
      </c>
      <c r="T34" s="43" t="n">
        <v>0</v>
      </c>
      <c r="U34" s="43" t="n">
        <v>0</v>
      </c>
      <c r="V34" s="43" t="n">
        <v>0</v>
      </c>
      <c r="W34" s="43" t="n">
        <v>0</v>
      </c>
      <c r="X34" s="43" t="n">
        <v>0</v>
      </c>
      <c r="Y34" s="43" t="n">
        <v>0</v>
      </c>
      <c r="Z34" s="43" t="n">
        <v>0</v>
      </c>
      <c r="AA34" s="44">
        <f>SUM(C34:Z34)</f>
        <v/>
      </c>
    </row>
    <row r="35" ht="15" customHeight="1" s="31">
      <c r="A35" s="42" t="inlineStr">
        <is>
          <t xml:space="preserve">   Stunden Sandy</t>
        </is>
      </c>
      <c r="B35" s="42" t="inlineStr">
        <is>
          <t>Std.</t>
        </is>
      </c>
      <c r="C35" s="45" t="n">
        <v>0</v>
      </c>
      <c r="D35" s="45" t="n">
        <v>0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0.5</v>
      </c>
      <c r="J35" s="45" t="n">
        <v>0.5</v>
      </c>
      <c r="K35" s="45" t="n">
        <v>0.5</v>
      </c>
      <c r="L35" s="45" t="n">
        <v>0.5</v>
      </c>
      <c r="M35" s="45" t="n">
        <v>0.5</v>
      </c>
      <c r="N35" s="45" t="n">
        <v>0.5</v>
      </c>
      <c r="O35" s="45" t="n">
        <v>0.5</v>
      </c>
      <c r="P35" s="45" t="n">
        <v>0.5</v>
      </c>
      <c r="Q35" s="45" t="n">
        <v>0.5</v>
      </c>
      <c r="R35" s="45" t="n">
        <v>0.5</v>
      </c>
      <c r="S35" s="45" t="n">
        <v>0.5</v>
      </c>
      <c r="T35" s="45" t="n">
        <v>0.5</v>
      </c>
      <c r="U35" s="45" t="n">
        <v>0.5</v>
      </c>
      <c r="V35" s="45" t="n">
        <v>0.5</v>
      </c>
      <c r="W35" s="45" t="n">
        <v>0.5</v>
      </c>
      <c r="X35" s="45" t="n">
        <v>0.5</v>
      </c>
      <c r="Y35" s="45" t="n">
        <v>0.5</v>
      </c>
      <c r="Z35" s="45" t="n">
        <v>0.5</v>
      </c>
      <c r="AA35" s="44">
        <f>SUM(C35:Z35)</f>
        <v/>
      </c>
    </row>
    <row r="36" ht="15" customHeight="1" s="31">
      <c r="A36" s="42" t="inlineStr">
        <is>
          <t xml:space="preserve">   Stunden Clemens</t>
        </is>
      </c>
      <c r="B36" s="42" t="inlineStr">
        <is>
          <t>Std.</t>
        </is>
      </c>
      <c r="C36" s="45" t="n">
        <v>0</v>
      </c>
      <c r="D36" s="45" t="n">
        <v>0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5" t="n">
        <v>0</v>
      </c>
      <c r="K36" s="45" t="n">
        <v>0</v>
      </c>
      <c r="L36" s="45" t="n">
        <v>0</v>
      </c>
      <c r="M36" s="45" t="n">
        <v>0</v>
      </c>
      <c r="N36" s="45" t="n">
        <v>0</v>
      </c>
      <c r="O36" s="45" t="n">
        <v>0</v>
      </c>
      <c r="P36" s="45" t="n">
        <v>0</v>
      </c>
      <c r="Q36" s="45" t="n">
        <v>0</v>
      </c>
      <c r="R36" s="45" t="n">
        <v>0</v>
      </c>
      <c r="S36" s="45" t="n">
        <v>0</v>
      </c>
      <c r="T36" s="45" t="n">
        <v>0</v>
      </c>
      <c r="U36" s="45" t="n">
        <v>0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4">
        <f>SUM(C36:Z36)</f>
        <v/>
      </c>
    </row>
    <row r="37" ht="15" customHeight="1" s="31">
      <c r="A37" s="42" t="inlineStr">
        <is>
          <t xml:space="preserve">   Stunden Head of Marketing (KI)</t>
        </is>
      </c>
      <c r="B37" s="42" t="inlineStr">
        <is>
          <t>Std.</t>
        </is>
      </c>
      <c r="C37" s="45" t="n">
        <v>0</v>
      </c>
      <c r="D37" s="45" t="n">
        <v>0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1</v>
      </c>
      <c r="J37" s="45" t="n">
        <v>1</v>
      </c>
      <c r="K37" s="45" t="n">
        <v>1</v>
      </c>
      <c r="L37" s="45" t="n">
        <v>1</v>
      </c>
      <c r="M37" s="45" t="n">
        <v>1</v>
      </c>
      <c r="N37" s="45" t="n">
        <v>1</v>
      </c>
      <c r="O37" s="45" t="n">
        <v>1</v>
      </c>
      <c r="P37" s="45" t="n">
        <v>1</v>
      </c>
      <c r="Q37" s="45" t="n">
        <v>1</v>
      </c>
      <c r="R37" s="45" t="n">
        <v>1</v>
      </c>
      <c r="S37" s="45" t="n">
        <v>1</v>
      </c>
      <c r="T37" s="45" t="n">
        <v>1</v>
      </c>
      <c r="U37" s="45" t="n">
        <v>1</v>
      </c>
      <c r="V37" s="45" t="n">
        <v>1</v>
      </c>
      <c r="W37" s="45" t="n">
        <v>1</v>
      </c>
      <c r="X37" s="45" t="n">
        <v>1</v>
      </c>
      <c r="Y37" s="45" t="n">
        <v>1</v>
      </c>
      <c r="Z37" s="45" t="n">
        <v>1</v>
      </c>
      <c r="AA37" s="44">
        <f>SUM(C37:Z37)</f>
        <v/>
      </c>
    </row>
    <row r="38" ht="15" customHeight="1" s="31">
      <c r="A38" s="42" t="inlineStr">
        <is>
          <t xml:space="preserve">   Sachkosten</t>
        </is>
      </c>
      <c r="B38" s="42" t="inlineStr">
        <is>
          <t>€</t>
        </is>
      </c>
      <c r="C38" s="46" t="n">
        <v>0</v>
      </c>
      <c r="D38" s="46" t="n">
        <v>0</v>
      </c>
      <c r="E38" s="46" t="n">
        <v>0</v>
      </c>
      <c r="F38" s="46" t="n">
        <v>0</v>
      </c>
      <c r="G38" s="46" t="n">
        <v>0</v>
      </c>
      <c r="H38" s="46" t="n">
        <v>0</v>
      </c>
      <c r="I38" s="46" t="n">
        <v>0</v>
      </c>
      <c r="J38" s="46" t="n">
        <v>0</v>
      </c>
      <c r="K38" s="46" t="n">
        <v>0</v>
      </c>
      <c r="L38" s="46" t="n">
        <v>0</v>
      </c>
      <c r="M38" s="46" t="n">
        <v>0</v>
      </c>
      <c r="N38" s="46" t="n">
        <v>0</v>
      </c>
      <c r="O38" s="46" t="n">
        <v>0</v>
      </c>
      <c r="P38" s="46" t="n">
        <v>0</v>
      </c>
      <c r="Q38" s="46" t="n">
        <v>0</v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7">
        <f>SUM(C38:Z38)</f>
        <v/>
      </c>
    </row>
    <row r="40" ht="15" customHeight="1" s="31">
      <c r="A40" s="40" t="inlineStr">
        <is>
          <t>5 · Fachhandel-Spielbuch, kalt (weitere Läden)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 ht="15" customHeight="1" s="31">
      <c r="A41" s="42" t="inlineStr">
        <is>
          <t xml:space="preserve">   Neukunden zahlend — vorsichtig</t>
        </is>
      </c>
      <c r="B41" s="42" t="inlineStr">
        <is>
          <t>Betriebe</t>
        </is>
      </c>
      <c r="C41" s="43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0</v>
      </c>
      <c r="J41" s="43" t="n">
        <v>0</v>
      </c>
      <c r="K41" s="43" t="n">
        <v>0</v>
      </c>
      <c r="L41" s="43" t="n">
        <v>0</v>
      </c>
      <c r="M41" s="43" t="n">
        <v>0</v>
      </c>
      <c r="N41" s="43" t="n">
        <v>0</v>
      </c>
      <c r="O41" s="43" t="n">
        <v>0.25</v>
      </c>
      <c r="P41" s="43" t="n">
        <v>0.25</v>
      </c>
      <c r="Q41" s="43" t="n">
        <v>0.25</v>
      </c>
      <c r="R41" s="43" t="n">
        <v>0.25</v>
      </c>
      <c r="S41" s="43" t="n">
        <v>0.25</v>
      </c>
      <c r="T41" s="43" t="n">
        <v>0.25</v>
      </c>
      <c r="U41" s="43" t="n">
        <v>0.25</v>
      </c>
      <c r="V41" s="43" t="n">
        <v>0.25</v>
      </c>
      <c r="W41" s="43" t="n">
        <v>0.25</v>
      </c>
      <c r="X41" s="43" t="n">
        <v>0.25</v>
      </c>
      <c r="Y41" s="43" t="n">
        <v>0.25</v>
      </c>
      <c r="Z41" s="43" t="n">
        <v>0.25</v>
      </c>
      <c r="AA41" s="44">
        <f>SUM(C41:Z41)</f>
        <v/>
      </c>
    </row>
    <row r="42" ht="15" customHeight="1" s="31">
      <c r="A42" s="42" t="inlineStr">
        <is>
          <t xml:space="preserve">   Neukunden zahlend — realistisch</t>
        </is>
      </c>
      <c r="B42" s="42" t="inlineStr">
        <is>
          <t>Betriebe</t>
        </is>
      </c>
      <c r="C42" s="43" t="n">
        <v>0</v>
      </c>
      <c r="D42" s="43" t="n">
        <v>0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0.25</v>
      </c>
      <c r="L42" s="43" t="n">
        <v>0.25</v>
      </c>
      <c r="M42" s="43" t="n">
        <v>0.25</v>
      </c>
      <c r="N42" s="43" t="n">
        <v>0.5</v>
      </c>
      <c r="O42" s="43" t="n">
        <v>0.5</v>
      </c>
      <c r="P42" s="43" t="n">
        <v>0.5</v>
      </c>
      <c r="Q42" s="43" t="n">
        <v>0.5</v>
      </c>
      <c r="R42" s="43" t="n">
        <v>0.75</v>
      </c>
      <c r="S42" s="43" t="n">
        <v>0.75</v>
      </c>
      <c r="T42" s="43" t="n">
        <v>0.75</v>
      </c>
      <c r="U42" s="43" t="n">
        <v>0.75</v>
      </c>
      <c r="V42" s="43" t="n">
        <v>1</v>
      </c>
      <c r="W42" s="43" t="n">
        <v>1</v>
      </c>
      <c r="X42" s="43" t="n">
        <v>1</v>
      </c>
      <c r="Y42" s="43" t="n">
        <v>1</v>
      </c>
      <c r="Z42" s="43" t="n">
        <v>1</v>
      </c>
      <c r="AA42" s="44">
        <f>SUM(C42:Z42)</f>
        <v/>
      </c>
    </row>
    <row r="43" ht="15" customHeight="1" s="31">
      <c r="A43" s="42" t="inlineStr">
        <is>
          <t xml:space="preserve">   Neukunden zahlend — optimistisch</t>
        </is>
      </c>
      <c r="B43" s="42" t="inlineStr">
        <is>
          <t>Betriebe</t>
        </is>
      </c>
      <c r="C43" s="43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0.5</v>
      </c>
      <c r="L43" s="43" t="n">
        <v>0.5</v>
      </c>
      <c r="M43" s="43" t="n">
        <v>0.5</v>
      </c>
      <c r="N43" s="43" t="n">
        <v>1</v>
      </c>
      <c r="O43" s="43" t="n">
        <v>1</v>
      </c>
      <c r="P43" s="43" t="n">
        <v>1</v>
      </c>
      <c r="Q43" s="43" t="n">
        <v>1</v>
      </c>
      <c r="R43" s="43" t="n">
        <v>1.25</v>
      </c>
      <c r="S43" s="43" t="n">
        <v>1.25</v>
      </c>
      <c r="T43" s="43" t="n">
        <v>1.25</v>
      </c>
      <c r="U43" s="43" t="n">
        <v>1.25</v>
      </c>
      <c r="V43" s="43" t="n">
        <v>1.5</v>
      </c>
      <c r="W43" s="43" t="n">
        <v>1.5</v>
      </c>
      <c r="X43" s="43" t="n">
        <v>1.5</v>
      </c>
      <c r="Y43" s="43" t="n">
        <v>1.5</v>
      </c>
      <c r="Z43" s="43" t="n">
        <v>1.5</v>
      </c>
      <c r="AA43" s="44">
        <f>SUM(C43:Z43)</f>
        <v/>
      </c>
    </row>
    <row r="44" ht="15" customHeight="1" s="31">
      <c r="A44" s="42" t="inlineStr">
        <is>
          <t xml:space="preserve">   Stunden Sandy</t>
        </is>
      </c>
      <c r="B44" s="42" t="inlineStr">
        <is>
          <t>Std.</t>
        </is>
      </c>
      <c r="C44" s="45" t="n">
        <v>0</v>
      </c>
      <c r="D44" s="45" t="n">
        <v>0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5" t="n">
        <v>4</v>
      </c>
      <c r="K44" s="45" t="n">
        <v>4</v>
      </c>
      <c r="L44" s="45" t="n">
        <v>4</v>
      </c>
      <c r="M44" s="45" t="n">
        <v>4</v>
      </c>
      <c r="N44" s="45" t="n">
        <v>4</v>
      </c>
      <c r="O44" s="45" t="n">
        <v>4</v>
      </c>
      <c r="P44" s="45" t="n">
        <v>4</v>
      </c>
      <c r="Q44" s="45" t="n">
        <v>4</v>
      </c>
      <c r="R44" s="45" t="n">
        <v>4</v>
      </c>
      <c r="S44" s="45" t="n">
        <v>4</v>
      </c>
      <c r="T44" s="45" t="n">
        <v>4</v>
      </c>
      <c r="U44" s="45" t="n">
        <v>4</v>
      </c>
      <c r="V44" s="45" t="n">
        <v>4</v>
      </c>
      <c r="W44" s="45" t="n">
        <v>4</v>
      </c>
      <c r="X44" s="45" t="n">
        <v>4</v>
      </c>
      <c r="Y44" s="45" t="n">
        <v>4</v>
      </c>
      <c r="Z44" s="45" t="n">
        <v>4</v>
      </c>
      <c r="AA44" s="44">
        <f>SUM(C44:Z44)</f>
        <v/>
      </c>
    </row>
    <row r="45" ht="15" customHeight="1" s="31">
      <c r="A45" s="42" t="inlineStr">
        <is>
          <t xml:space="preserve">   Stunden Clemens</t>
        </is>
      </c>
      <c r="B45" s="42" t="inlineStr">
        <is>
          <t>Std.</t>
        </is>
      </c>
      <c r="C45" s="45" t="n">
        <v>0</v>
      </c>
      <c r="D45" s="45" t="n">
        <v>0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5" t="n">
        <v>2</v>
      </c>
      <c r="K45" s="45" t="n">
        <v>2</v>
      </c>
      <c r="L45" s="45" t="n">
        <v>2</v>
      </c>
      <c r="M45" s="45" t="n">
        <v>2</v>
      </c>
      <c r="N45" s="45" t="n">
        <v>2</v>
      </c>
      <c r="O45" s="45" t="n">
        <v>2</v>
      </c>
      <c r="P45" s="45" t="n">
        <v>2</v>
      </c>
      <c r="Q45" s="45" t="n">
        <v>2</v>
      </c>
      <c r="R45" s="45" t="n">
        <v>2</v>
      </c>
      <c r="S45" s="45" t="n">
        <v>2</v>
      </c>
      <c r="T45" s="45" t="n">
        <v>2</v>
      </c>
      <c r="U45" s="45" t="n">
        <v>2</v>
      </c>
      <c r="V45" s="45" t="n">
        <v>2</v>
      </c>
      <c r="W45" s="45" t="n">
        <v>2</v>
      </c>
      <c r="X45" s="45" t="n">
        <v>2</v>
      </c>
      <c r="Y45" s="45" t="n">
        <v>2</v>
      </c>
      <c r="Z45" s="45" t="n">
        <v>2</v>
      </c>
      <c r="AA45" s="44">
        <f>SUM(C45:Z45)</f>
        <v/>
      </c>
    </row>
    <row r="46" ht="15" customHeight="1" s="31">
      <c r="A46" s="42" t="inlineStr">
        <is>
          <t xml:space="preserve">   Stunden Head of Marketing (KI)</t>
        </is>
      </c>
      <c r="B46" s="42" t="inlineStr">
        <is>
          <t>Std.</t>
        </is>
      </c>
      <c r="C46" s="45" t="n">
        <v>0</v>
      </c>
      <c r="D46" s="45" t="n">
        <v>0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5" t="n">
        <v>2</v>
      </c>
      <c r="K46" s="45" t="n">
        <v>2</v>
      </c>
      <c r="L46" s="45" t="n">
        <v>2</v>
      </c>
      <c r="M46" s="45" t="n">
        <v>2</v>
      </c>
      <c r="N46" s="45" t="n">
        <v>2</v>
      </c>
      <c r="O46" s="45" t="n">
        <v>2</v>
      </c>
      <c r="P46" s="45" t="n">
        <v>2</v>
      </c>
      <c r="Q46" s="45" t="n">
        <v>2</v>
      </c>
      <c r="R46" s="45" t="n">
        <v>2</v>
      </c>
      <c r="S46" s="45" t="n">
        <v>2</v>
      </c>
      <c r="T46" s="45" t="n">
        <v>2</v>
      </c>
      <c r="U46" s="45" t="n">
        <v>2</v>
      </c>
      <c r="V46" s="45" t="n">
        <v>2</v>
      </c>
      <c r="W46" s="45" t="n">
        <v>2</v>
      </c>
      <c r="X46" s="45" t="n">
        <v>2</v>
      </c>
      <c r="Y46" s="45" t="n">
        <v>2</v>
      </c>
      <c r="Z46" s="45" t="n">
        <v>2</v>
      </c>
      <c r="AA46" s="44">
        <f>SUM(C46:Z46)</f>
        <v/>
      </c>
    </row>
    <row r="47" ht="15" customHeight="1" s="31">
      <c r="A47" s="42" t="inlineStr">
        <is>
          <t xml:space="preserve">   Sachkosten</t>
        </is>
      </c>
      <c r="B47" s="42" t="inlineStr">
        <is>
          <t>€</t>
        </is>
      </c>
      <c r="C47" s="46" t="n">
        <v>0</v>
      </c>
      <c r="D47" s="46" t="n">
        <v>0</v>
      </c>
      <c r="E47" s="46" t="n">
        <v>0</v>
      </c>
      <c r="F47" s="46" t="n">
        <v>0</v>
      </c>
      <c r="G47" s="46" t="n">
        <v>0</v>
      </c>
      <c r="H47" s="46" t="n">
        <v>0</v>
      </c>
      <c r="I47" s="46" t="n">
        <v>0</v>
      </c>
      <c r="J47" s="46" t="n">
        <v>100</v>
      </c>
      <c r="K47" s="46" t="n">
        <v>0</v>
      </c>
      <c r="L47" s="46" t="n">
        <v>100</v>
      </c>
      <c r="M47" s="46" t="n">
        <v>0</v>
      </c>
      <c r="N47" s="46" t="n">
        <v>100</v>
      </c>
      <c r="O47" s="46" t="n">
        <v>0</v>
      </c>
      <c r="P47" s="46" t="n">
        <v>100</v>
      </c>
      <c r="Q47" s="46" t="n">
        <v>0</v>
      </c>
      <c r="R47" s="46" t="n">
        <v>100</v>
      </c>
      <c r="S47" s="46" t="n">
        <v>0</v>
      </c>
      <c r="T47" s="46" t="n">
        <v>100</v>
      </c>
      <c r="U47" s="46" t="n">
        <v>0</v>
      </c>
      <c r="V47" s="46" t="n">
        <v>100</v>
      </c>
      <c r="W47" s="46" t="n">
        <v>0</v>
      </c>
      <c r="X47" s="46" t="n">
        <v>100</v>
      </c>
      <c r="Y47" s="46" t="n">
        <v>0</v>
      </c>
      <c r="Z47" s="46" t="n">
        <v>100</v>
      </c>
      <c r="AA47" s="47">
        <f>SUM(C47:Z47)</f>
        <v/>
      </c>
    </row>
    <row r="49" ht="15" customHeight="1" s="31">
      <c r="A49" s="40" t="inlineStr">
        <is>
          <t>6 · Content / SEO</t>
        </is>
      </c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</row>
    <row r="50" ht="15" customHeight="1" s="31">
      <c r="A50" s="42" t="inlineStr">
        <is>
          <t xml:space="preserve">   Neukunden zahlend — vorsichtig</t>
        </is>
      </c>
      <c r="B50" s="42" t="inlineStr">
        <is>
          <t>Betriebe</t>
        </is>
      </c>
      <c r="C50" s="43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3" t="n">
        <v>0</v>
      </c>
      <c r="M50" s="43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0</v>
      </c>
      <c r="U50" s="43" t="n">
        <v>0</v>
      </c>
      <c r="V50" s="43" t="n">
        <v>0</v>
      </c>
      <c r="W50" s="43" t="n">
        <v>0</v>
      </c>
      <c r="X50" s="43" t="n">
        <v>0</v>
      </c>
      <c r="Y50" s="43" t="n">
        <v>0</v>
      </c>
      <c r="Z50" s="43" t="n">
        <v>0</v>
      </c>
      <c r="AA50" s="44">
        <f>SUM(C50:Z50)</f>
        <v/>
      </c>
    </row>
    <row r="51" ht="15" customHeight="1" s="31">
      <c r="A51" s="42" t="inlineStr">
        <is>
          <t xml:space="preserve">   Neukunden zahlend — realistisch</t>
        </is>
      </c>
      <c r="B51" s="42" t="inlineStr">
        <is>
          <t>Betriebe</t>
        </is>
      </c>
      <c r="C51" s="43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3" t="n">
        <v>0</v>
      </c>
      <c r="M51" s="43" t="n">
        <v>0</v>
      </c>
      <c r="N51" s="43" t="n">
        <v>0</v>
      </c>
      <c r="O51" s="43" t="n">
        <v>0</v>
      </c>
      <c r="P51" s="43" t="n">
        <v>0</v>
      </c>
      <c r="Q51" s="43" t="n">
        <v>0</v>
      </c>
      <c r="R51" s="43" t="n">
        <v>0</v>
      </c>
      <c r="S51" s="43" t="n">
        <v>0</v>
      </c>
      <c r="T51" s="43" t="n">
        <v>0</v>
      </c>
      <c r="U51" s="43" t="n">
        <v>0.5</v>
      </c>
      <c r="V51" s="43" t="n">
        <v>0.5</v>
      </c>
      <c r="W51" s="43" t="n">
        <v>0.5</v>
      </c>
      <c r="X51" s="43" t="n">
        <v>0.5</v>
      </c>
      <c r="Y51" s="43" t="n">
        <v>0.5</v>
      </c>
      <c r="Z51" s="43" t="n">
        <v>0.5</v>
      </c>
      <c r="AA51" s="44">
        <f>SUM(C51:Z51)</f>
        <v/>
      </c>
    </row>
    <row r="52" ht="15" customHeight="1" s="31">
      <c r="A52" s="42" t="inlineStr">
        <is>
          <t xml:space="preserve">   Neukunden zahlend — optimistisch</t>
        </is>
      </c>
      <c r="B52" s="42" t="inlineStr">
        <is>
          <t>Betriebe</t>
        </is>
      </c>
      <c r="C52" s="43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3" t="n">
        <v>0</v>
      </c>
      <c r="M52" s="43" t="n">
        <v>0</v>
      </c>
      <c r="N52" s="43" t="n">
        <v>0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1</v>
      </c>
      <c r="T52" s="43" t="n">
        <v>1</v>
      </c>
      <c r="U52" s="43" t="n">
        <v>1</v>
      </c>
      <c r="V52" s="43" t="n">
        <v>1</v>
      </c>
      <c r="W52" s="43" t="n">
        <v>1</v>
      </c>
      <c r="X52" s="43" t="n">
        <v>1</v>
      </c>
      <c r="Y52" s="43" t="n">
        <v>1</v>
      </c>
      <c r="Z52" s="43" t="n">
        <v>1</v>
      </c>
      <c r="AA52" s="44">
        <f>SUM(C52:Z52)</f>
        <v/>
      </c>
    </row>
    <row r="53" ht="15" customHeight="1" s="31">
      <c r="A53" s="42" t="inlineStr">
        <is>
          <t xml:space="preserve">   Stunden Sandy</t>
        </is>
      </c>
      <c r="B53" s="42" t="inlineStr">
        <is>
          <t>Std.</t>
        </is>
      </c>
      <c r="C53" s="45" t="n">
        <v>0</v>
      </c>
      <c r="D53" s="45" t="n">
        <v>0</v>
      </c>
      <c r="E53" s="45" t="n">
        <v>0</v>
      </c>
      <c r="F53" s="45" t="n">
        <v>0</v>
      </c>
      <c r="G53" s="45" t="n">
        <v>1</v>
      </c>
      <c r="H53" s="45" t="n">
        <v>1</v>
      </c>
      <c r="I53" s="45" t="n">
        <v>1</v>
      </c>
      <c r="J53" s="45" t="n">
        <v>1</v>
      </c>
      <c r="K53" s="45" t="n">
        <v>1</v>
      </c>
      <c r="L53" s="45" t="n">
        <v>1</v>
      </c>
      <c r="M53" s="45" t="n">
        <v>1</v>
      </c>
      <c r="N53" s="45" t="n">
        <v>1</v>
      </c>
      <c r="O53" s="45" t="n">
        <v>1</v>
      </c>
      <c r="P53" s="45" t="n">
        <v>1</v>
      </c>
      <c r="Q53" s="45" t="n">
        <v>1</v>
      </c>
      <c r="R53" s="45" t="n">
        <v>1</v>
      </c>
      <c r="S53" s="45" t="n">
        <v>1</v>
      </c>
      <c r="T53" s="45" t="n">
        <v>1</v>
      </c>
      <c r="U53" s="45" t="n">
        <v>1</v>
      </c>
      <c r="V53" s="45" t="n">
        <v>1</v>
      </c>
      <c r="W53" s="45" t="n">
        <v>1</v>
      </c>
      <c r="X53" s="45" t="n">
        <v>1</v>
      </c>
      <c r="Y53" s="45" t="n">
        <v>1</v>
      </c>
      <c r="Z53" s="45" t="n">
        <v>1</v>
      </c>
      <c r="AA53" s="44">
        <f>SUM(C53:Z53)</f>
        <v/>
      </c>
    </row>
    <row r="54" ht="15" customHeight="1" s="31">
      <c r="A54" s="42" t="inlineStr">
        <is>
          <t xml:space="preserve">   Stunden Clemens</t>
        </is>
      </c>
      <c r="B54" s="42" t="inlineStr">
        <is>
          <t>Std.</t>
        </is>
      </c>
      <c r="C54" s="45" t="n">
        <v>0</v>
      </c>
      <c r="D54" s="45" t="n">
        <v>0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5" t="n">
        <v>0</v>
      </c>
      <c r="K54" s="45" t="n">
        <v>0</v>
      </c>
      <c r="L54" s="45" t="n">
        <v>0</v>
      </c>
      <c r="M54" s="45" t="n">
        <v>0</v>
      </c>
      <c r="N54" s="45" t="n">
        <v>0</v>
      </c>
      <c r="O54" s="45" t="n">
        <v>0</v>
      </c>
      <c r="P54" s="45" t="n">
        <v>0</v>
      </c>
      <c r="Q54" s="45" t="n">
        <v>0</v>
      </c>
      <c r="R54" s="45" t="n">
        <v>0</v>
      </c>
      <c r="S54" s="45" t="n">
        <v>0</v>
      </c>
      <c r="T54" s="45" t="n">
        <v>0</v>
      </c>
      <c r="U54" s="45" t="n">
        <v>0</v>
      </c>
      <c r="V54" s="45" t="n">
        <v>0</v>
      </c>
      <c r="W54" s="45" t="n">
        <v>0</v>
      </c>
      <c r="X54" s="45" t="n">
        <v>0</v>
      </c>
      <c r="Y54" s="45" t="n">
        <v>0</v>
      </c>
      <c r="Z54" s="45" t="n">
        <v>0</v>
      </c>
      <c r="AA54" s="44">
        <f>SUM(C54:Z54)</f>
        <v/>
      </c>
    </row>
    <row r="55" ht="15" customHeight="1" s="31">
      <c r="A55" s="42" t="inlineStr">
        <is>
          <t xml:space="preserve">   Stunden Head of Marketing (KI)</t>
        </is>
      </c>
      <c r="B55" s="42" t="inlineStr">
        <is>
          <t>Std.</t>
        </is>
      </c>
      <c r="C55" s="45" t="n">
        <v>0</v>
      </c>
      <c r="D55" s="45" t="n">
        <v>0</v>
      </c>
      <c r="E55" s="45" t="n">
        <v>0</v>
      </c>
      <c r="F55" s="45" t="n">
        <v>0</v>
      </c>
      <c r="G55" s="45" t="n">
        <v>8</v>
      </c>
      <c r="H55" s="45" t="n">
        <v>8</v>
      </c>
      <c r="I55" s="45" t="n">
        <v>8</v>
      </c>
      <c r="J55" s="45" t="n">
        <v>8</v>
      </c>
      <c r="K55" s="45" t="n">
        <v>8</v>
      </c>
      <c r="L55" s="45" t="n">
        <v>8</v>
      </c>
      <c r="M55" s="45" t="n">
        <v>8</v>
      </c>
      <c r="N55" s="45" t="n">
        <v>8</v>
      </c>
      <c r="O55" s="45" t="n">
        <v>8</v>
      </c>
      <c r="P55" s="45" t="n">
        <v>8</v>
      </c>
      <c r="Q55" s="45" t="n">
        <v>8</v>
      </c>
      <c r="R55" s="45" t="n">
        <v>8</v>
      </c>
      <c r="S55" s="45" t="n">
        <v>8</v>
      </c>
      <c r="T55" s="45" t="n">
        <v>8</v>
      </c>
      <c r="U55" s="45" t="n">
        <v>8</v>
      </c>
      <c r="V55" s="45" t="n">
        <v>8</v>
      </c>
      <c r="W55" s="45" t="n">
        <v>8</v>
      </c>
      <c r="X55" s="45" t="n">
        <v>8</v>
      </c>
      <c r="Y55" s="45" t="n">
        <v>8</v>
      </c>
      <c r="Z55" s="45" t="n">
        <v>8</v>
      </c>
      <c r="AA55" s="44">
        <f>SUM(C55:Z55)</f>
        <v/>
      </c>
    </row>
    <row r="56" ht="15" customHeight="1" s="31">
      <c r="A56" s="42" t="inlineStr">
        <is>
          <t xml:space="preserve">   Sachkosten</t>
        </is>
      </c>
      <c r="B56" s="42" t="inlineStr">
        <is>
          <t>€</t>
        </is>
      </c>
      <c r="C56" s="46" t="n">
        <v>0</v>
      </c>
      <c r="D56" s="46" t="n">
        <v>0</v>
      </c>
      <c r="E56" s="46" t="n">
        <v>0</v>
      </c>
      <c r="F56" s="46" t="n">
        <v>0</v>
      </c>
      <c r="G56" s="46" t="n">
        <v>0</v>
      </c>
      <c r="H56" s="46" t="n">
        <v>0</v>
      </c>
      <c r="I56" s="46" t="n">
        <v>0</v>
      </c>
      <c r="J56" s="46" t="n">
        <v>0</v>
      </c>
      <c r="K56" s="46" t="n">
        <v>0</v>
      </c>
      <c r="L56" s="46" t="n">
        <v>0</v>
      </c>
      <c r="M56" s="46" t="n">
        <v>0</v>
      </c>
      <c r="N56" s="46" t="n">
        <v>0</v>
      </c>
      <c r="O56" s="46" t="n">
        <v>0</v>
      </c>
      <c r="P56" s="46" t="n">
        <v>0</v>
      </c>
      <c r="Q56" s="46" t="n">
        <v>0</v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7">
        <f>SUM(C56:Z56)</f>
        <v/>
      </c>
    </row>
    <row r="58" ht="15" customHeight="1" s="31">
      <c r="A58" s="48" t="inlineStr">
        <is>
          <t>SUMME über alle Kanäle</t>
        </is>
      </c>
    </row>
    <row r="59" ht="15" customHeight="1" s="31">
      <c r="A59" s="37" t="inlineStr">
        <is>
          <t>Neukunden zahlend — vorsichtig — gesamt</t>
        </is>
      </c>
      <c r="B59" s="42" t="inlineStr">
        <is>
          <t>Betriebe</t>
        </is>
      </c>
      <c r="C59" s="49">
        <f>C5+C14+C23+C32+C41+C50</f>
        <v/>
      </c>
      <c r="D59" s="49">
        <f>D5+D14+D23+D32+D41+D50</f>
        <v/>
      </c>
      <c r="E59" s="49">
        <f>E5+E14+E23+E32+E41+E50</f>
        <v/>
      </c>
      <c r="F59" s="49">
        <f>F5+F14+F23+F32+F41+F50</f>
        <v/>
      </c>
      <c r="G59" s="49">
        <f>G5+G14+G23+G32+G41+G50</f>
        <v/>
      </c>
      <c r="H59" s="49">
        <f>H5+H14+H23+H32+H41+H50</f>
        <v/>
      </c>
      <c r="I59" s="49">
        <f>I5+I14+I23+I32+I41+I50</f>
        <v/>
      </c>
      <c r="J59" s="49">
        <f>J5+J14+J23+J32+J41+J50</f>
        <v/>
      </c>
      <c r="K59" s="49">
        <f>K5+K14+K23+K32+K41+K50</f>
        <v/>
      </c>
      <c r="L59" s="49">
        <f>L5+L14+L23+L32+L41+L50</f>
        <v/>
      </c>
      <c r="M59" s="49">
        <f>M5+M14+M23+M32+M41+M50</f>
        <v/>
      </c>
      <c r="N59" s="49">
        <f>N5+N14+N23+N32+N41+N50</f>
        <v/>
      </c>
      <c r="O59" s="49">
        <f>O5+O14+O23+O32+O41+O50</f>
        <v/>
      </c>
      <c r="P59" s="49">
        <f>P5+P14+P23+P32+P41+P50</f>
        <v/>
      </c>
      <c r="Q59" s="49">
        <f>Q5+Q14+Q23+Q32+Q41+Q50</f>
        <v/>
      </c>
      <c r="R59" s="49">
        <f>R5+R14+R23+R32+R41+R50</f>
        <v/>
      </c>
      <c r="S59" s="49">
        <f>S5+S14+S23+S32+S41+S50</f>
        <v/>
      </c>
      <c r="T59" s="49">
        <f>T5+T14+T23+T32+T41+T50</f>
        <v/>
      </c>
      <c r="U59" s="49">
        <f>U5+U14+U23+U32+U41+U50</f>
        <v/>
      </c>
      <c r="V59" s="49">
        <f>V5+V14+V23+V32+V41+V50</f>
        <v/>
      </c>
      <c r="W59" s="49">
        <f>W5+W14+W23+W32+W41+W50</f>
        <v/>
      </c>
      <c r="X59" s="49">
        <f>X5+X14+X23+X32+X41+X50</f>
        <v/>
      </c>
      <c r="Y59" s="49">
        <f>Y5+Y14+Y23+Y32+Y41+Y50</f>
        <v/>
      </c>
      <c r="Z59" s="49">
        <f>Z5+Z14+Z23+Z32+Z41+Z50</f>
        <v/>
      </c>
      <c r="AA59" s="44">
        <f>SUM(C59:Z59)</f>
        <v/>
      </c>
    </row>
    <row r="60" ht="15" customHeight="1" s="31">
      <c r="A60" s="37" t="inlineStr">
        <is>
          <t>Neukunden zahlend — realistisch — gesamt</t>
        </is>
      </c>
      <c r="B60" s="42" t="inlineStr">
        <is>
          <t>Betriebe</t>
        </is>
      </c>
      <c r="C60" s="49">
        <f>C6+C15+C24+C33+C42+C51</f>
        <v/>
      </c>
      <c r="D60" s="49">
        <f>D6+D15+D24+D33+D42+D51</f>
        <v/>
      </c>
      <c r="E60" s="49">
        <f>E6+E15+E24+E33+E42+E51</f>
        <v/>
      </c>
      <c r="F60" s="49">
        <f>F6+F15+F24+F33+F42+F51</f>
        <v/>
      </c>
      <c r="G60" s="49">
        <f>G6+G15+G24+G33+G42+G51</f>
        <v/>
      </c>
      <c r="H60" s="49">
        <f>H6+H15+H24+H33+H42+H51</f>
        <v/>
      </c>
      <c r="I60" s="49">
        <f>I6+I15+I24+I33+I42+I51</f>
        <v/>
      </c>
      <c r="J60" s="49">
        <f>J6+J15+J24+J33+J42+J51</f>
        <v/>
      </c>
      <c r="K60" s="49">
        <f>K6+K15+K24+K33+K42+K51</f>
        <v/>
      </c>
      <c r="L60" s="49">
        <f>L6+L15+L24+L33+L42+L51</f>
        <v/>
      </c>
      <c r="M60" s="49">
        <f>M6+M15+M24+M33+M42+M51</f>
        <v/>
      </c>
      <c r="N60" s="49">
        <f>N6+N15+N24+N33+N42+N51</f>
        <v/>
      </c>
      <c r="O60" s="49">
        <f>O6+O15+O24+O33+O42+O51</f>
        <v/>
      </c>
      <c r="P60" s="49">
        <f>P6+P15+P24+P33+P42+P51</f>
        <v/>
      </c>
      <c r="Q60" s="49">
        <f>Q6+Q15+Q24+Q33+Q42+Q51</f>
        <v/>
      </c>
      <c r="R60" s="49">
        <f>R6+R15+R24+R33+R42+R51</f>
        <v/>
      </c>
      <c r="S60" s="49">
        <f>S6+S15+S24+S33+S42+S51</f>
        <v/>
      </c>
      <c r="T60" s="49">
        <f>T6+T15+T24+T33+T42+T51</f>
        <v/>
      </c>
      <c r="U60" s="49">
        <f>U6+U15+U24+U33+U42+U51</f>
        <v/>
      </c>
      <c r="V60" s="49">
        <f>V6+V15+V24+V33+V42+V51</f>
        <v/>
      </c>
      <c r="W60" s="49">
        <f>W6+W15+W24+W33+W42+W51</f>
        <v/>
      </c>
      <c r="X60" s="49">
        <f>X6+X15+X24+X33+X42+X51</f>
        <v/>
      </c>
      <c r="Y60" s="49">
        <f>Y6+Y15+Y24+Y33+Y42+Y51</f>
        <v/>
      </c>
      <c r="Z60" s="49">
        <f>Z6+Z15+Z24+Z33+Z42+Z51</f>
        <v/>
      </c>
      <c r="AA60" s="44">
        <f>SUM(C60:Z60)</f>
        <v/>
      </c>
    </row>
    <row r="61" ht="15" customHeight="1" s="31">
      <c r="A61" s="37" t="inlineStr">
        <is>
          <t>Neukunden zahlend — optimistisch — gesamt</t>
        </is>
      </c>
      <c r="B61" s="42" t="inlineStr">
        <is>
          <t>Betriebe</t>
        </is>
      </c>
      <c r="C61" s="49">
        <f>C7+C16+C25+C34+C43+C52</f>
        <v/>
      </c>
      <c r="D61" s="49">
        <f>D7+D16+D25+D34+D43+D52</f>
        <v/>
      </c>
      <c r="E61" s="49">
        <f>E7+E16+E25+E34+E43+E52</f>
        <v/>
      </c>
      <c r="F61" s="49">
        <f>F7+F16+F25+F34+F43+F52</f>
        <v/>
      </c>
      <c r="G61" s="49">
        <f>G7+G16+G25+G34+G43+G52</f>
        <v/>
      </c>
      <c r="H61" s="49">
        <f>H7+H16+H25+H34+H43+H52</f>
        <v/>
      </c>
      <c r="I61" s="49">
        <f>I7+I16+I25+I34+I43+I52</f>
        <v/>
      </c>
      <c r="J61" s="49">
        <f>J7+J16+J25+J34+J43+J52</f>
        <v/>
      </c>
      <c r="K61" s="49">
        <f>K7+K16+K25+K34+K43+K52</f>
        <v/>
      </c>
      <c r="L61" s="49">
        <f>L7+L16+L25+L34+L43+L52</f>
        <v/>
      </c>
      <c r="M61" s="49">
        <f>M7+M16+M25+M34+M43+M52</f>
        <v/>
      </c>
      <c r="N61" s="49">
        <f>N7+N16+N25+N34+N43+N52</f>
        <v/>
      </c>
      <c r="O61" s="49">
        <f>O7+O16+O25+O34+O43+O52</f>
        <v/>
      </c>
      <c r="P61" s="49">
        <f>P7+P16+P25+P34+P43+P52</f>
        <v/>
      </c>
      <c r="Q61" s="49">
        <f>Q7+Q16+Q25+Q34+Q43+Q52</f>
        <v/>
      </c>
      <c r="R61" s="49">
        <f>R7+R16+R25+R34+R43+R52</f>
        <v/>
      </c>
      <c r="S61" s="49">
        <f>S7+S16+S25+S34+S43+S52</f>
        <v/>
      </c>
      <c r="T61" s="49">
        <f>T7+T16+T25+T34+T43+T52</f>
        <v/>
      </c>
      <c r="U61" s="49">
        <f>U7+U16+U25+U34+U43+U52</f>
        <v/>
      </c>
      <c r="V61" s="49">
        <f>V7+V16+V25+V34+V43+V52</f>
        <v/>
      </c>
      <c r="W61" s="49">
        <f>W7+W16+W25+W34+W43+W52</f>
        <v/>
      </c>
      <c r="X61" s="49">
        <f>X7+X16+X25+X34+X43+X52</f>
        <v/>
      </c>
      <c r="Y61" s="49">
        <f>Y7+Y16+Y25+Y34+Y43+Y52</f>
        <v/>
      </c>
      <c r="Z61" s="49">
        <f>Z7+Z16+Z25+Z34+Z43+Z52</f>
        <v/>
      </c>
      <c r="AA61" s="44">
        <f>SUM(C61:Z61)</f>
        <v/>
      </c>
    </row>
    <row r="62" ht="15" customHeight="1" s="31">
      <c r="A62" s="37" t="inlineStr">
        <is>
          <t>Stunden Sandy — gesamt</t>
        </is>
      </c>
      <c r="B62" s="42" t="inlineStr">
        <is>
          <t>Std.</t>
        </is>
      </c>
      <c r="C62" s="44">
        <f>C8+C17+C26+C35+C44+C53</f>
        <v/>
      </c>
      <c r="D62" s="44">
        <f>D8+D17+D26+D35+D44+D53</f>
        <v/>
      </c>
      <c r="E62" s="44">
        <f>E8+E17+E26+E35+E44+E53</f>
        <v/>
      </c>
      <c r="F62" s="44">
        <f>F8+F17+F26+F35+F44+F53</f>
        <v/>
      </c>
      <c r="G62" s="44">
        <f>G8+G17+G26+G35+G44+G53</f>
        <v/>
      </c>
      <c r="H62" s="44">
        <f>H8+H17+H26+H35+H44+H53</f>
        <v/>
      </c>
      <c r="I62" s="44">
        <f>I8+I17+I26+I35+I44+I53</f>
        <v/>
      </c>
      <c r="J62" s="44">
        <f>J8+J17+J26+J35+J44+J53</f>
        <v/>
      </c>
      <c r="K62" s="44">
        <f>K8+K17+K26+K35+K44+K53</f>
        <v/>
      </c>
      <c r="L62" s="44">
        <f>L8+L17+L26+L35+L44+L53</f>
        <v/>
      </c>
      <c r="M62" s="44">
        <f>M8+M17+M26+M35+M44+M53</f>
        <v/>
      </c>
      <c r="N62" s="44">
        <f>N8+N17+N26+N35+N44+N53</f>
        <v/>
      </c>
      <c r="O62" s="44">
        <f>O8+O17+O26+O35+O44+O53</f>
        <v/>
      </c>
      <c r="P62" s="44">
        <f>P8+P17+P26+P35+P44+P53</f>
        <v/>
      </c>
      <c r="Q62" s="44">
        <f>Q8+Q17+Q26+Q35+Q44+Q53</f>
        <v/>
      </c>
      <c r="R62" s="44">
        <f>R8+R17+R26+R35+R44+R53</f>
        <v/>
      </c>
      <c r="S62" s="44">
        <f>S8+S17+S26+S35+S44+S53</f>
        <v/>
      </c>
      <c r="T62" s="44">
        <f>T8+T17+T26+T35+T44+T53</f>
        <v/>
      </c>
      <c r="U62" s="44">
        <f>U8+U17+U26+U35+U44+U53</f>
        <v/>
      </c>
      <c r="V62" s="44">
        <f>V8+V17+V26+V35+V44+V53</f>
        <v/>
      </c>
      <c r="W62" s="44">
        <f>W8+W17+W26+W35+W44+W53</f>
        <v/>
      </c>
      <c r="X62" s="44">
        <f>X8+X17+X26+X35+X44+X53</f>
        <v/>
      </c>
      <c r="Y62" s="44">
        <f>Y8+Y17+Y26+Y35+Y44+Y53</f>
        <v/>
      </c>
      <c r="Z62" s="44">
        <f>Z8+Z17+Z26+Z35+Z44+Z53</f>
        <v/>
      </c>
      <c r="AA62" s="44">
        <f>SUM(C62:Z62)</f>
        <v/>
      </c>
    </row>
    <row r="63" ht="15" customHeight="1" s="31">
      <c r="A63" s="37" t="inlineStr">
        <is>
          <t>Stunden Clemens — gesamt</t>
        </is>
      </c>
      <c r="B63" s="42" t="inlineStr">
        <is>
          <t>Std.</t>
        </is>
      </c>
      <c r="C63" s="44">
        <f>C9+C18+C27+C36+C45+C54</f>
        <v/>
      </c>
      <c r="D63" s="44">
        <f>D9+D18+D27+D36+D45+D54</f>
        <v/>
      </c>
      <c r="E63" s="44">
        <f>E9+E18+E27+E36+E45+E54</f>
        <v/>
      </c>
      <c r="F63" s="44">
        <f>F9+F18+F27+F36+F45+F54</f>
        <v/>
      </c>
      <c r="G63" s="44">
        <f>G9+G18+G27+G36+G45+G54</f>
        <v/>
      </c>
      <c r="H63" s="44">
        <f>H9+H18+H27+H36+H45+H54</f>
        <v/>
      </c>
      <c r="I63" s="44">
        <f>I9+I18+I27+I36+I45+I54</f>
        <v/>
      </c>
      <c r="J63" s="44">
        <f>J9+J18+J27+J36+J45+J54</f>
        <v/>
      </c>
      <c r="K63" s="44">
        <f>K9+K18+K27+K36+K45+K54</f>
        <v/>
      </c>
      <c r="L63" s="44">
        <f>L9+L18+L27+L36+L45+L54</f>
        <v/>
      </c>
      <c r="M63" s="44">
        <f>M9+M18+M27+M36+M45+M54</f>
        <v/>
      </c>
      <c r="N63" s="44">
        <f>N9+N18+N27+N36+N45+N54</f>
        <v/>
      </c>
      <c r="O63" s="44">
        <f>O9+O18+O27+O36+O45+O54</f>
        <v/>
      </c>
      <c r="P63" s="44">
        <f>P9+P18+P27+P36+P45+P54</f>
        <v/>
      </c>
      <c r="Q63" s="44">
        <f>Q9+Q18+Q27+Q36+Q45+Q54</f>
        <v/>
      </c>
      <c r="R63" s="44">
        <f>R9+R18+R27+R36+R45+R54</f>
        <v/>
      </c>
      <c r="S63" s="44">
        <f>S9+S18+S27+S36+S45+S54</f>
        <v/>
      </c>
      <c r="T63" s="44">
        <f>T9+T18+T27+T36+T45+T54</f>
        <v/>
      </c>
      <c r="U63" s="44">
        <f>U9+U18+U27+U36+U45+U54</f>
        <v/>
      </c>
      <c r="V63" s="44">
        <f>V9+V18+V27+V36+V45+V54</f>
        <v/>
      </c>
      <c r="W63" s="44">
        <f>W9+W18+W27+W36+W45+W54</f>
        <v/>
      </c>
      <c r="X63" s="44">
        <f>X9+X18+X27+X36+X45+X54</f>
        <v/>
      </c>
      <c r="Y63" s="44">
        <f>Y9+Y18+Y27+Y36+Y45+Y54</f>
        <v/>
      </c>
      <c r="Z63" s="44">
        <f>Z9+Z18+Z27+Z36+Z45+Z54</f>
        <v/>
      </c>
      <c r="AA63" s="44">
        <f>SUM(C63:Z63)</f>
        <v/>
      </c>
    </row>
    <row r="64" ht="15" customHeight="1" s="31">
      <c r="A64" s="37" t="inlineStr">
        <is>
          <t>Stunden Head of Marketing (KI) — gesamt</t>
        </is>
      </c>
      <c r="B64" s="42" t="inlineStr">
        <is>
          <t>Std.</t>
        </is>
      </c>
      <c r="C64" s="44">
        <f>C10+C19+C28+C37+C46+C55</f>
        <v/>
      </c>
      <c r="D64" s="44">
        <f>D10+D19+D28+D37+D46+D55</f>
        <v/>
      </c>
      <c r="E64" s="44">
        <f>E10+E19+E28+E37+E46+E55</f>
        <v/>
      </c>
      <c r="F64" s="44">
        <f>F10+F19+F28+F37+F46+F55</f>
        <v/>
      </c>
      <c r="G64" s="44">
        <f>G10+G19+G28+G37+G46+G55</f>
        <v/>
      </c>
      <c r="H64" s="44">
        <f>H10+H19+H28+H37+H46+H55</f>
        <v/>
      </c>
      <c r="I64" s="44">
        <f>I10+I19+I28+I37+I46+I55</f>
        <v/>
      </c>
      <c r="J64" s="44">
        <f>J10+J19+J28+J37+J46+J55</f>
        <v/>
      </c>
      <c r="K64" s="44">
        <f>K10+K19+K28+K37+K46+K55</f>
        <v/>
      </c>
      <c r="L64" s="44">
        <f>L10+L19+L28+L37+L46+L55</f>
        <v/>
      </c>
      <c r="M64" s="44">
        <f>M10+M19+M28+M37+M46+M55</f>
        <v/>
      </c>
      <c r="N64" s="44">
        <f>N10+N19+N28+N37+N46+N55</f>
        <v/>
      </c>
      <c r="O64" s="44">
        <f>O10+O19+O28+O37+O46+O55</f>
        <v/>
      </c>
      <c r="P64" s="44">
        <f>P10+P19+P28+P37+P46+P55</f>
        <v/>
      </c>
      <c r="Q64" s="44">
        <f>Q10+Q19+Q28+Q37+Q46+Q55</f>
        <v/>
      </c>
      <c r="R64" s="44">
        <f>R10+R19+R28+R37+R46+R55</f>
        <v/>
      </c>
      <c r="S64" s="44">
        <f>S10+S19+S28+S37+S46+S55</f>
        <v/>
      </c>
      <c r="T64" s="44">
        <f>T10+T19+T28+T37+T46+T55</f>
        <v/>
      </c>
      <c r="U64" s="44">
        <f>U10+U19+U28+U37+U46+U55</f>
        <v/>
      </c>
      <c r="V64" s="44">
        <f>V10+V19+V28+V37+V46+V55</f>
        <v/>
      </c>
      <c r="W64" s="44">
        <f>W10+W19+W28+W37+W46+W55</f>
        <v/>
      </c>
      <c r="X64" s="44">
        <f>X10+X19+X28+X37+X46+X55</f>
        <v/>
      </c>
      <c r="Y64" s="44">
        <f>Y10+Y19+Y28+Y37+Y46+Y55</f>
        <v/>
      </c>
      <c r="Z64" s="44">
        <f>Z10+Z19+Z28+Z37+Z46+Z55</f>
        <v/>
      </c>
      <c r="AA64" s="44">
        <f>SUM(C64:Z64)</f>
        <v/>
      </c>
    </row>
    <row r="65" ht="15" customHeight="1" s="31">
      <c r="A65" s="37" t="inlineStr">
        <is>
          <t>Sachkosten — gesamt</t>
        </is>
      </c>
      <c r="B65" s="42" t="inlineStr">
        <is>
          <t>€</t>
        </is>
      </c>
      <c r="C65" s="47">
        <f>C11+C20+C29+C38+C47+C56</f>
        <v/>
      </c>
      <c r="D65" s="47">
        <f>D11+D20+D29+D38+D47+D56</f>
        <v/>
      </c>
      <c r="E65" s="47">
        <f>E11+E20+E29+E38+E47+E56</f>
        <v/>
      </c>
      <c r="F65" s="47">
        <f>F11+F20+F29+F38+F47+F56</f>
        <v/>
      </c>
      <c r="G65" s="47">
        <f>G11+G20+G29+G38+G47+G56</f>
        <v/>
      </c>
      <c r="H65" s="47">
        <f>H11+H20+H29+H38+H47+H56</f>
        <v/>
      </c>
      <c r="I65" s="47">
        <f>I11+I20+I29+I38+I47+I56</f>
        <v/>
      </c>
      <c r="J65" s="47">
        <f>J11+J20+J29+J38+J47+J56</f>
        <v/>
      </c>
      <c r="K65" s="47">
        <f>K11+K20+K29+K38+K47+K56</f>
        <v/>
      </c>
      <c r="L65" s="47">
        <f>L11+L20+L29+L38+L47+L56</f>
        <v/>
      </c>
      <c r="M65" s="47">
        <f>M11+M20+M29+M38+M47+M56</f>
        <v/>
      </c>
      <c r="N65" s="47">
        <f>N11+N20+N29+N38+N47+N56</f>
        <v/>
      </c>
      <c r="O65" s="47">
        <f>O11+O20+O29+O38+O47+O56</f>
        <v/>
      </c>
      <c r="P65" s="47">
        <f>P11+P20+P29+P38+P47+P56</f>
        <v/>
      </c>
      <c r="Q65" s="47">
        <f>Q11+Q20+Q29+Q38+Q47+Q56</f>
        <v/>
      </c>
      <c r="R65" s="47">
        <f>R11+R20+R29+R38+R47+R56</f>
        <v/>
      </c>
      <c r="S65" s="47">
        <f>S11+S20+S29+S38+S47+S56</f>
        <v/>
      </c>
      <c r="T65" s="47">
        <f>T11+T20+T29+T38+T47+T56</f>
        <v/>
      </c>
      <c r="U65" s="47">
        <f>U11+U20+U29+U38+U47+U56</f>
        <v/>
      </c>
      <c r="V65" s="47">
        <f>V11+V20+V29+V38+V47+V56</f>
        <v/>
      </c>
      <c r="W65" s="47">
        <f>W11+W20+W29+W38+W47+W56</f>
        <v/>
      </c>
      <c r="X65" s="47">
        <f>X11+X20+X29+X38+X47+X56</f>
        <v/>
      </c>
      <c r="Y65" s="47">
        <f>Y11+Y20+Y29+Y38+Y47+Y56</f>
        <v/>
      </c>
      <c r="Z65" s="47">
        <f>Z11+Z20+Z29+Z38+Z47+Z56</f>
        <v/>
      </c>
      <c r="AA65" s="47">
        <f>SUM(C65:Z65)</f>
        <v/>
      </c>
    </row>
    <row r="67" ht="15" customHeight="1" s="31">
      <c r="A67" s="37" t="inlineStr">
        <is>
          <t>Kumuliert zahlend (ohne Mundpropaganda, ohne Abwanderung) — realistisch</t>
        </is>
      </c>
      <c r="B67" s="42" t="inlineStr">
        <is>
          <t>Betriebe</t>
        </is>
      </c>
      <c r="C67" s="44">
        <f>C60</f>
        <v/>
      </c>
      <c r="D67" s="44">
        <f>C67+D60</f>
        <v/>
      </c>
      <c r="E67" s="44">
        <f>D67+E60</f>
        <v/>
      </c>
      <c r="F67" s="44">
        <f>E67+F60</f>
        <v/>
      </c>
      <c r="G67" s="44">
        <f>F67+G60</f>
        <v/>
      </c>
      <c r="H67" s="44">
        <f>G67+H60</f>
        <v/>
      </c>
      <c r="I67" s="44">
        <f>H67+I60</f>
        <v/>
      </c>
      <c r="J67" s="44">
        <f>I67+J60</f>
        <v/>
      </c>
      <c r="K67" s="44">
        <f>J67+K60</f>
        <v/>
      </c>
      <c r="L67" s="44">
        <f>K67+L60</f>
        <v/>
      </c>
      <c r="M67" s="44">
        <f>L67+M60</f>
        <v/>
      </c>
      <c r="N67" s="44">
        <f>M67+N60</f>
        <v/>
      </c>
      <c r="O67" s="44">
        <f>N67+O60</f>
        <v/>
      </c>
      <c r="P67" s="44">
        <f>O67+P60</f>
        <v/>
      </c>
      <c r="Q67" s="44">
        <f>P67+Q60</f>
        <v/>
      </c>
      <c r="R67" s="44">
        <f>Q67+R60</f>
        <v/>
      </c>
      <c r="S67" s="44">
        <f>R67+S60</f>
        <v/>
      </c>
      <c r="T67" s="44">
        <f>S67+T60</f>
        <v/>
      </c>
      <c r="U67" s="44">
        <f>T67+U60</f>
        <v/>
      </c>
      <c r="V67" s="44">
        <f>U67+V60</f>
        <v/>
      </c>
      <c r="W67" s="44">
        <f>V67+W60</f>
        <v/>
      </c>
      <c r="X67" s="44">
        <f>W67+X60</f>
        <v/>
      </c>
      <c r="Y67" s="44">
        <f>X67+Y60</f>
        <v/>
      </c>
      <c r="Z67" s="44">
        <f>Y67+Z60</f>
        <v/>
      </c>
    </row>
    <row r="68" ht="15" customHeight="1" s="31">
      <c r="A68" s="37" t="inlineStr">
        <is>
          <t>Gründerplätze noch frei (25 − kumuliert realistisch, ohne Mundpropaganda)</t>
        </is>
      </c>
      <c r="C68" s="44">
        <f>MAX(0,25-C67)</f>
        <v/>
      </c>
      <c r="D68" s="44">
        <f>MAX(0,25-D67)</f>
        <v/>
      </c>
      <c r="E68" s="44">
        <f>MAX(0,25-E67)</f>
        <v/>
      </c>
      <c r="F68" s="44">
        <f>MAX(0,25-F67)</f>
        <v/>
      </c>
      <c r="G68" s="44">
        <f>MAX(0,25-G67)</f>
        <v/>
      </c>
      <c r="H68" s="44">
        <f>MAX(0,25-H67)</f>
        <v/>
      </c>
      <c r="I68" s="44">
        <f>MAX(0,25-I67)</f>
        <v/>
      </c>
      <c r="J68" s="44">
        <f>MAX(0,25-J67)</f>
        <v/>
      </c>
      <c r="K68" s="44">
        <f>MAX(0,25-K67)</f>
        <v/>
      </c>
      <c r="L68" s="44">
        <f>MAX(0,25-L67)</f>
        <v/>
      </c>
      <c r="M68" s="44">
        <f>MAX(0,25-M67)</f>
        <v/>
      </c>
      <c r="N68" s="44">
        <f>MAX(0,25-N67)</f>
        <v/>
      </c>
      <c r="O68" s="44">
        <f>MAX(0,25-O67)</f>
        <v/>
      </c>
      <c r="P68" s="44">
        <f>MAX(0,25-P67)</f>
        <v/>
      </c>
      <c r="Q68" s="44">
        <f>MAX(0,25-Q67)</f>
        <v/>
      </c>
      <c r="R68" s="44">
        <f>MAX(0,25-R67)</f>
        <v/>
      </c>
      <c r="S68" s="44">
        <f>MAX(0,25-S67)</f>
        <v/>
      </c>
      <c r="T68" s="44">
        <f>MAX(0,25-T67)</f>
        <v/>
      </c>
      <c r="U68" s="44">
        <f>MAX(0,25-U67)</f>
        <v/>
      </c>
      <c r="V68" s="44">
        <f>MAX(0,25-V67)</f>
        <v/>
      </c>
      <c r="W68" s="44">
        <f>MAX(0,25-W67)</f>
        <v/>
      </c>
      <c r="X68" s="44">
        <f>MAX(0,25-X67)</f>
        <v/>
      </c>
      <c r="Y68" s="44">
        <f>MAX(0,25-Y67)</f>
        <v/>
      </c>
      <c r="Z68" s="44">
        <f>MAX(0,25-Z67)</f>
        <v/>
      </c>
    </row>
    <row r="70" ht="15" customHeight="1" s="31">
      <c r="A70" s="48" t="inlineStr">
        <is>
          <t>Kapazitätsabgleich Sandy (Marketing-Anteil)</t>
        </is>
      </c>
    </row>
    <row r="71" ht="15" customHeight="1" s="31">
      <c r="A71" s="42" t="inlineStr">
        <is>
          <t>Kapazitätslinie 1 — Sprint (15–20 Std./Woche → 86 Std./Monat für ALLES)</t>
        </is>
      </c>
      <c r="B71" s="42" t="inlineStr">
        <is>
          <t>Std.</t>
        </is>
      </c>
      <c r="C71" s="50" t="n">
        <v>86</v>
      </c>
      <c r="D71" s="50" t="n">
        <v>86</v>
      </c>
      <c r="E71" s="50" t="n">
        <v>86</v>
      </c>
      <c r="F71" s="50" t="n">
        <v>86</v>
      </c>
      <c r="G71" s="50" t="n">
        <v>86</v>
      </c>
      <c r="H71" s="50" t="n">
        <v>86</v>
      </c>
      <c r="I71" s="50" t="n">
        <v>86</v>
      </c>
      <c r="J71" s="50" t="n">
        <v>86</v>
      </c>
      <c r="K71" s="50" t="n">
        <v>86</v>
      </c>
      <c r="L71" s="50" t="n">
        <v>86</v>
      </c>
      <c r="M71" s="50" t="n">
        <v>86</v>
      </c>
      <c r="N71" s="50" t="n">
        <v>86</v>
      </c>
      <c r="O71" s="50" t="n">
        <v>86</v>
      </c>
      <c r="P71" s="50" t="n">
        <v>86</v>
      </c>
      <c r="Q71" s="50" t="n">
        <v>86</v>
      </c>
      <c r="R71" s="50" t="n">
        <v>86</v>
      </c>
      <c r="S71" s="50" t="n">
        <v>86</v>
      </c>
      <c r="T71" s="50" t="n">
        <v>86</v>
      </c>
      <c r="U71" s="50" t="n">
        <v>86</v>
      </c>
      <c r="V71" s="50" t="n">
        <v>86</v>
      </c>
      <c r="W71" s="50" t="n">
        <v>86</v>
      </c>
      <c r="X71" s="50" t="n">
        <v>86</v>
      </c>
      <c r="Y71" s="50" t="n">
        <v>86</v>
      </c>
      <c r="Z71" s="50" t="n">
        <v>86</v>
      </c>
    </row>
    <row r="72" ht="15" customHeight="1" s="31">
      <c r="A72" s="42" t="inlineStr">
        <is>
          <t>Kapazitätslinie 2 — Dauerlinie konservativ (65 Std./Monat für ALLES)</t>
        </is>
      </c>
      <c r="B72" s="42" t="inlineStr">
        <is>
          <t>Std.</t>
        </is>
      </c>
      <c r="C72" s="50" t="n">
        <v>65</v>
      </c>
      <c r="D72" s="50" t="n">
        <v>65</v>
      </c>
      <c r="E72" s="50" t="n">
        <v>65</v>
      </c>
      <c r="F72" s="50" t="n">
        <v>65</v>
      </c>
      <c r="G72" s="50" t="n">
        <v>65</v>
      </c>
      <c r="H72" s="50" t="n">
        <v>65</v>
      </c>
      <c r="I72" s="50" t="n">
        <v>65</v>
      </c>
      <c r="J72" s="50" t="n">
        <v>65</v>
      </c>
      <c r="K72" s="50" t="n">
        <v>65</v>
      </c>
      <c r="L72" s="50" t="n">
        <v>65</v>
      </c>
      <c r="M72" s="50" t="n">
        <v>65</v>
      </c>
      <c r="N72" s="50" t="n">
        <v>65</v>
      </c>
      <c r="O72" s="50" t="n">
        <v>65</v>
      </c>
      <c r="P72" s="50" t="n">
        <v>65</v>
      </c>
      <c r="Q72" s="50" t="n">
        <v>65</v>
      </c>
      <c r="R72" s="50" t="n">
        <v>65</v>
      </c>
      <c r="S72" s="50" t="n">
        <v>65</v>
      </c>
      <c r="T72" s="50" t="n">
        <v>65</v>
      </c>
      <c r="U72" s="50" t="n">
        <v>65</v>
      </c>
      <c r="V72" s="50" t="n">
        <v>65</v>
      </c>
      <c r="W72" s="50" t="n">
        <v>65</v>
      </c>
      <c r="X72" s="50" t="n">
        <v>65</v>
      </c>
      <c r="Y72" s="50" t="n">
        <v>65</v>
      </c>
      <c r="Z72" s="50" t="n">
        <v>65</v>
      </c>
    </row>
    <row r="73" ht="15" customHeight="1" s="31">
      <c r="A73" s="42" t="inlineStr">
        <is>
          <t>Marketing-Anteil an Linie 2 (Ziel: ≤ 25 %, Okt Ausnahme)</t>
        </is>
      </c>
      <c r="B73" s="42" t="inlineStr">
        <is>
          <t>%</t>
        </is>
      </c>
      <c r="C73" s="51">
        <f>IF(C72=0,0,C62/C72)</f>
        <v/>
      </c>
      <c r="D73" s="51">
        <f>IF(D72=0,0,D62/D72)</f>
        <v/>
      </c>
      <c r="E73" s="51">
        <f>IF(E72=0,0,E62/E72)</f>
        <v/>
      </c>
      <c r="F73" s="51">
        <f>IF(F72=0,0,F62/F72)</f>
        <v/>
      </c>
      <c r="G73" s="51">
        <f>IF(G72=0,0,G62/G72)</f>
        <v/>
      </c>
      <c r="H73" s="51">
        <f>IF(H72=0,0,H62/H72)</f>
        <v/>
      </c>
      <c r="I73" s="51">
        <f>IF(I72=0,0,I62/I72)</f>
        <v/>
      </c>
      <c r="J73" s="51">
        <f>IF(J72=0,0,J62/J72)</f>
        <v/>
      </c>
      <c r="K73" s="51">
        <f>IF(K72=0,0,K62/K72)</f>
        <v/>
      </c>
      <c r="L73" s="51">
        <f>IF(L72=0,0,L62/L72)</f>
        <v/>
      </c>
      <c r="M73" s="51">
        <f>IF(M72=0,0,M62/M72)</f>
        <v/>
      </c>
      <c r="N73" s="51">
        <f>IF(N72=0,0,N62/N72)</f>
        <v/>
      </c>
      <c r="O73" s="51">
        <f>IF(O72=0,0,O62/O72)</f>
        <v/>
      </c>
      <c r="P73" s="51">
        <f>IF(P72=0,0,P62/P72)</f>
        <v/>
      </c>
      <c r="Q73" s="51">
        <f>IF(Q72=0,0,Q62/Q72)</f>
        <v/>
      </c>
      <c r="R73" s="51">
        <f>IF(R72=0,0,R62/R72)</f>
        <v/>
      </c>
      <c r="S73" s="51">
        <f>IF(S72=0,0,S62/S72)</f>
        <v/>
      </c>
      <c r="T73" s="51">
        <f>IF(T72=0,0,T62/T72)</f>
        <v/>
      </c>
      <c r="U73" s="51">
        <f>IF(U72=0,0,U62/U72)</f>
        <v/>
      </c>
      <c r="V73" s="51">
        <f>IF(V72=0,0,V62/V72)</f>
        <v/>
      </c>
      <c r="W73" s="51">
        <f>IF(W72=0,0,W62/W72)</f>
        <v/>
      </c>
      <c r="X73" s="51">
        <f>IF(X72=0,0,X62/X72)</f>
        <v/>
      </c>
      <c r="Y73" s="51">
        <f>IF(Y72=0,0,Y62/Y72)</f>
        <v/>
      </c>
      <c r="Z73" s="51">
        <f>IF(Z72=0,0,Z62/Z72)</f>
        <v/>
      </c>
    </row>
    <row r="74" ht="15" customHeight="1" s="31">
      <c r="A74" s="42" t="inlineStr">
        <is>
          <t>Rest für Produkt/Support/Verwaltung bei Linie 2</t>
        </is>
      </c>
      <c r="B74" s="42" t="inlineStr">
        <is>
          <t>Std.</t>
        </is>
      </c>
      <c r="C74" s="44">
        <f>C72-C62</f>
        <v/>
      </c>
      <c r="D74" s="44">
        <f>D72-D62</f>
        <v/>
      </c>
      <c r="E74" s="44">
        <f>E72-E62</f>
        <v/>
      </c>
      <c r="F74" s="44">
        <f>F72-F62</f>
        <v/>
      </c>
      <c r="G74" s="44">
        <f>G72-G62</f>
        <v/>
      </c>
      <c r="H74" s="44">
        <f>H72-H62</f>
        <v/>
      </c>
      <c r="I74" s="44">
        <f>I72-I62</f>
        <v/>
      </c>
      <c r="J74" s="44">
        <f>J72-J62</f>
        <v/>
      </c>
      <c r="K74" s="44">
        <f>K72-K62</f>
        <v/>
      </c>
      <c r="L74" s="44">
        <f>L72-L62</f>
        <v/>
      </c>
      <c r="M74" s="44">
        <f>M72-M62</f>
        <v/>
      </c>
      <c r="N74" s="44">
        <f>N72-N62</f>
        <v/>
      </c>
      <c r="O74" s="44">
        <f>O72-O62</f>
        <v/>
      </c>
      <c r="P74" s="44">
        <f>P72-P62</f>
        <v/>
      </c>
      <c r="Q74" s="44">
        <f>Q72-Q62</f>
        <v/>
      </c>
      <c r="R74" s="44">
        <f>R72-R62</f>
        <v/>
      </c>
      <c r="S74" s="44">
        <f>S72-S62</f>
        <v/>
      </c>
      <c r="T74" s="44">
        <f>T72-T62</f>
        <v/>
      </c>
      <c r="U74" s="44">
        <f>U72-U62</f>
        <v/>
      </c>
      <c r="V74" s="44">
        <f>V72-V62</f>
        <v/>
      </c>
      <c r="W74" s="44">
        <f>W72-W62</f>
        <v/>
      </c>
      <c r="X74" s="44">
        <f>X72-X62</f>
        <v/>
      </c>
      <c r="Y74" s="44">
        <f>Y72-Y62</f>
        <v/>
      </c>
      <c r="Z74" s="44">
        <f>Z72-Z62</f>
        <v/>
      </c>
    </row>
    <row r="76" ht="15" customHeight="1" s="31">
      <c r="A76" s="52" t="inlineStr">
        <is>
          <t>Hinweis: Head-of-Marketing-Stunden sind KI-Arbeitszeit — sie kosten keine Sandy-Zeit und kein Gehalt, nur Anthropic-Nutzung. Sie stehen hier der Vollständigkeit halber (wer macht was), nicht als Kapazitätsgrenze.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0" min="1" max="1"/>
    <col width="16" customWidth="1" style="30" min="2" max="4"/>
  </cols>
  <sheetData>
    <row r="1" ht="17.35" customHeight="1" s="31">
      <c r="A1" s="38" t="inlineStr">
        <is>
          <t>Mundpropaganda — Parameter für das Kundenmodell (Finance wendet sie auf die aktive Basis an)</t>
        </is>
      </c>
    </row>
    <row r="3" ht="15" customHeight="1" s="31">
      <c r="A3" s="53" t="inlineStr">
        <is>
          <t>Parameter</t>
        </is>
      </c>
      <c r="B3" s="53" t="inlineStr">
        <is>
          <t>vorsichtig</t>
        </is>
      </c>
      <c r="C3" s="53" t="inlineStr">
        <is>
          <t>realistisch</t>
        </is>
      </c>
      <c r="D3" s="53" t="inlineStr">
        <is>
          <t>optimistisch</t>
        </is>
      </c>
    </row>
    <row r="4" ht="15" customHeight="1" s="31">
      <c r="A4" s="42" t="inlineStr">
        <is>
          <t>Anteil aktiver Betriebe, die pro Jahr eine Empfehlung aussprechen</t>
        </is>
      </c>
      <c r="B4" s="54" t="n">
        <v>0.1</v>
      </c>
      <c r="C4" s="54" t="n">
        <v>0.2</v>
      </c>
      <c r="D4" s="54" t="n">
        <v>0.35</v>
      </c>
    </row>
    <row r="5" ht="15" customHeight="1" s="31">
      <c r="A5" s="42" t="inlineStr">
        <is>
          <t>Davon: Anteil, der zahlend wird (nach Testphase)</t>
        </is>
      </c>
      <c r="B5" s="54" t="n">
        <v>0.4</v>
      </c>
      <c r="C5" s="54" t="n">
        <v>0.5</v>
      </c>
      <c r="D5" s="54" t="n">
        <v>0.6</v>
      </c>
    </row>
    <row r="6" ht="15" customHeight="1" s="31">
      <c r="A6" s="42" t="inlineStr">
        <is>
          <t>Verzögerung: Monate Nutzung, bevor jemand empfiehlt</t>
        </is>
      </c>
      <c r="B6" s="55" t="n">
        <v>4</v>
      </c>
      <c r="C6" s="55" t="n">
        <v>3</v>
      </c>
      <c r="D6" s="55" t="n">
        <v>2</v>
      </c>
    </row>
    <row r="7" ht="15" customHeight="1" s="31">
      <c r="A7" s="42" t="inlineStr">
        <is>
          <t>Frühester Monat mit Wirkung (Gate 1 Dez 26 + Verzögerung)</t>
        </is>
      </c>
      <c r="B7" s="56" t="inlineStr">
        <is>
          <t>Apr 27</t>
        </is>
      </c>
      <c r="C7" s="56" t="inlineStr">
        <is>
          <t>Mär 27</t>
        </is>
      </c>
      <c r="D7" s="56" t="inlineStr">
        <is>
          <t>Feb 27</t>
        </is>
      </c>
    </row>
    <row r="9" ht="15" customHeight="1" s="31">
      <c r="A9" s="37" t="inlineStr">
        <is>
          <t>Rechenregel (Monat t):  Empfehlungs-Neukunden(t) = aktive Betriebe(t − Verzögerung) × Jahresanteil ÷ 12 × Zahlend-Anteil</t>
        </is>
      </c>
    </row>
    <row r="10" ht="48" customHeight="1" s="31">
      <c r="A10" s="33" t="inlineStr">
        <is>
          <t>Beispiel realistisch: 20 aktive Betriebe im Dez 27 → im Mär 28: 20 × 20 % ÷ 12 × 50 % = 0,17 Neukunden. Das ist der ehrliche Wert — Mundpropaganda trägt erst ab 60–100 aktiven Betrieben spürbar. Deshalb ist sie in Jahr 1 kein Kanal, auf den man baut.</t>
        </is>
      </c>
    </row>
    <row r="12" ht="15" customHeight="1" s="31">
      <c r="A12" s="37" t="inlineStr">
        <is>
          <t>Beispiel-Rechnung zum Nachvollziehen (Formeln):</t>
        </is>
      </c>
    </row>
    <row r="13" ht="15" customHeight="1" s="31">
      <c r="A13" s="42" t="inlineStr">
        <is>
          <t>Aktive Betriebe (Eingabe zum Testen)</t>
        </is>
      </c>
      <c r="B13" s="57" t="n">
        <v>20</v>
      </c>
    </row>
    <row r="14" ht="15" customHeight="1" s="31">
      <c r="A14" s="42" t="inlineStr">
        <is>
          <t>Empfehlungs-Neukunden pro Monat — realistisch</t>
        </is>
      </c>
      <c r="B14" s="58">
        <f>B13*C4/12*C5</f>
        <v/>
      </c>
    </row>
    <row r="15" ht="15" customHeight="1" s="31">
      <c r="A15" s="42" t="inlineStr">
        <is>
          <t>Empfehlungs-Neukunden pro Monat — optimistisch</t>
        </is>
      </c>
      <c r="B15" s="58">
        <f>B13*D4/12*D5</f>
        <v/>
      </c>
    </row>
    <row r="17" ht="36" customHeight="1" s="31">
      <c r="A17" s="59" t="inlineStr">
        <is>
          <t>Vorschlag (Preisentscheidung, nur Sandy): Empfehlungs-Anreiz 'Ein Kollege, ein Monat geschenkt' — hebt den Jahresanteil erfahrungsgemäß spürbar, kostet pro Empfehlung 49 € Umsatz. Nicht eingerechnet.</t>
        </is>
      </c>
    </row>
  </sheetData>
  <mergeCells count="2">
    <mergeCell ref="A10:D10"/>
    <mergeCell ref="A17: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2026-09-03T15:56:15Z</dcterms:created>
  <dcterms:modified xmlns:dcterms="http://purl.org/dc/terms/" xmlns:xsi="http://www.w3.org/2001/XMLSchema-instance" xsi:type="dcterms:W3CDTF">2026-09-23T09:52:49Z</dcterms:modified>
  <cp:revision>0</cp:revision>
</cp:coreProperties>
</file>